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Consejo Municipal\Downloads\"/>
    </mc:Choice>
  </mc:AlternateContent>
  <xr:revisionPtr revIDLastSave="0" documentId="13_ncr:1_{88678F4C-190C-47DA-A1BC-BF45A24D31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SO" sheetId="2" r:id="rId1"/>
    <sheet name="RESPUESTA" sheetId="5" r:id="rId2"/>
    <sheet name="PARÁMETROS" sheetId="3" r:id="rId3"/>
  </sheets>
  <definedNames>
    <definedName name="_xlnm.Print_Area" localSheetId="0">CASO!$A$1:$AA$39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V9" i="5" l="1"/>
  <c r="D9" i="5"/>
  <c r="D8" i="5"/>
  <c r="V7" i="5"/>
  <c r="D7" i="5"/>
  <c r="S31" i="2"/>
  <c r="A32" i="2"/>
  <c r="S25" i="5"/>
</calcChain>
</file>

<file path=xl/sharedStrings.xml><?xml version="1.0" encoding="utf-8"?>
<sst xmlns="http://schemas.openxmlformats.org/spreadsheetml/2006/main" count="242" uniqueCount="158">
  <si>
    <t xml:space="preserve">FORMULARIO PARA REQUERIMIENTOS DE  INTERVENCIÓN MUNICIPAL </t>
  </si>
  <si>
    <t>1.  DATOS DEL SOLICITANTE</t>
  </si>
  <si>
    <t>NOMBRE :</t>
  </si>
  <si>
    <t>CÉDULA:</t>
  </si>
  <si>
    <t>DIRECCIÓN:</t>
  </si>
  <si>
    <t>CORREO ELECTRÓNICO PARA RECIBIR NOTIFICACIONES:</t>
  </si>
  <si>
    <t>TELÉFONO:</t>
  </si>
  <si>
    <t xml:space="preserve">FIRMA </t>
  </si>
  <si>
    <t>2.  SOLICITUD</t>
  </si>
  <si>
    <t>3.  RECEPCIÓN (para uso interno)</t>
  </si>
  <si>
    <t>PLATAFORMISTA</t>
  </si>
  <si>
    <t>FUNCIONARIO ASIGNADO</t>
  </si>
  <si>
    <t>PLAZO RESOLUCIÓN</t>
  </si>
  <si>
    <t>Francela Ulloa Rojas</t>
  </si>
  <si>
    <t>Zeidy Campos Artavia</t>
  </si>
  <si>
    <t>Artículo 262 LGAP</t>
  </si>
  <si>
    <t xml:space="preserve">FECHA DE RECEPCIÓN </t>
  </si>
  <si>
    <t>FIRMA</t>
  </si>
  <si>
    <t>Los de méro trámite y la decisión de peticiones de ese carácter</t>
  </si>
  <si>
    <t>FORMULARIO MUNICIPAL DE RESPUESTA CIUDADANA</t>
  </si>
  <si>
    <t>CORREO:</t>
  </si>
  <si>
    <t>2.  RESPUESTA</t>
  </si>
  <si>
    <t xml:space="preserve">LA propiedad es apta para construir, sin embargo debe solicitar el alineamiento del MOPT por ruta nacional. En lugares donde las propiedades no cuentan con el servicio de ASADAS o AYA y se cuenta con pozos o nacientes es necesario solicitar la concesion de agua a direccion de aguas del minae donde indique que el agua es de uso domestico y debe mencionar directamente a la propiedad en este caso especifico 9485-000. En el caso de no existir el alumbrado electrico  debe indicarse en los planos el sistema que se va usar para alimentar la casa de electricidad, en caso de ser paneles solares. </t>
  </si>
  <si>
    <t>3. ADJUNTOS:</t>
  </si>
  <si>
    <t>FUNCIONARIO</t>
  </si>
  <si>
    <t>FECHA:</t>
  </si>
  <si>
    <t>Rose Mary Ruiz Soto</t>
  </si>
  <si>
    <t>ASUNTO</t>
  </si>
  <si>
    <t>NORMA</t>
  </si>
  <si>
    <t>ARTÍCULO</t>
  </si>
  <si>
    <t>Juan Pablo Barquero Sánchez</t>
  </si>
  <si>
    <t>jbarquero@tilaran.go.cr</t>
  </si>
  <si>
    <t>ALCALDE MUNICIPAL</t>
  </si>
  <si>
    <t>Autorización municipal para la presentación de espectáculos públicos</t>
  </si>
  <si>
    <t>Reglamento General de Patentes Comerciales y Similares de la Municipalidad de Tilarán</t>
  </si>
  <si>
    <t>Meybelin Ramírez García</t>
  </si>
  <si>
    <t>mramirez@tilaran.go.cr</t>
  </si>
  <si>
    <t>ASISTENTE ALCALDE</t>
  </si>
  <si>
    <t>Comercialización de bebidas con contenido alcohólico en casas de habitación</t>
  </si>
  <si>
    <t>Ley de Regulación y Comercialización de bebidas con contenido alcohólico</t>
  </si>
  <si>
    <t>Las notificaciones,  a partir del acto de que se trate o de producidos los hechos que deben darse a conocer.</t>
  </si>
  <si>
    <t>Frayman Pérez Ramírez</t>
  </si>
  <si>
    <t>fperez@tilaran.go.cr</t>
  </si>
  <si>
    <t>ASISTENTE TÉCNICO</t>
  </si>
  <si>
    <t>Comercialización y consumo de bebidas con contenido alcohólico en vías públicas</t>
  </si>
  <si>
    <t>Los dictámenes, peritajes, e informes técnicos similares, después de solicitados.</t>
  </si>
  <si>
    <t>Yamileth Carvajal Manzanares</t>
  </si>
  <si>
    <t>ycarvajal@tilaran.go.cr</t>
  </si>
  <si>
    <t>Distancia sala de juegos</t>
  </si>
  <si>
    <t>Reglamento a la Ley de Juegos</t>
  </si>
  <si>
    <t>Los meros informes administrativos no técnicos,  después de solicitados.</t>
  </si>
  <si>
    <t>zcampos@tilaran.go.cr</t>
  </si>
  <si>
    <t>Distancias para la comercialización de bebidas con contenido alcohólico</t>
  </si>
  <si>
    <t>rruiz@tilaran.go.cr</t>
  </si>
  <si>
    <t>COORDINADOR DE DESARROLLO Y CONTROL URBANO</t>
  </si>
  <si>
    <t>Edad mínima para consumo de bebidas con contenido alcohólico</t>
  </si>
  <si>
    <t>Marlon Campos Castillo</t>
  </si>
  <si>
    <t>mcampos@tilaran.go.cr</t>
  </si>
  <si>
    <t>COORDINADOR SERVICIOS AMBIENTALES</t>
  </si>
  <si>
    <t>Establecimientos comerciales con construcciones ilegales</t>
  </si>
  <si>
    <t>Reglamento para la obtención de permisos de construción de la Municipalidad de Tilarán</t>
  </si>
  <si>
    <t>José Antonio Rodríguez Herrera</t>
  </si>
  <si>
    <t>jrodriguez@tilaran.go.cr</t>
  </si>
  <si>
    <t>COORDINADOR SERVICIOS CIUDADANOS Y TÉCNICOS</t>
  </si>
  <si>
    <t>Horario billares</t>
  </si>
  <si>
    <t xml:space="preserve"> Ley de Juegos nº 3</t>
  </si>
  <si>
    <t>Didier Fonseca Obando</t>
  </si>
  <si>
    <t>dfonseca@tilaran.go.cr</t>
  </si>
  <si>
    <t>COORDINADOR SERVICIOS DE INFRAESTRUCTURA</t>
  </si>
  <si>
    <t>Horario máquinas de juegos</t>
  </si>
  <si>
    <t>Reglamento para máquinas de juegos</t>
  </si>
  <si>
    <t>Zayda Molina Barrantes</t>
  </si>
  <si>
    <t>zmolina@tilaran.go.cr</t>
  </si>
  <si>
    <t>COORDINADORA DE SERVICIOS FINANCIEROS Y LOGÍSTICOS</t>
  </si>
  <si>
    <t>Horario para la comercialización de bebidas con contenido alcohólico</t>
  </si>
  <si>
    <t>Ley de Regulación y Comercialización de bebidas con contenido alcohólico N° 9047</t>
  </si>
  <si>
    <t>Ana Cecilia Cruz Mejías</t>
  </si>
  <si>
    <t>acruz@tilaran.go.cr</t>
  </si>
  <si>
    <t>COORDINADORA SERVICIOS JURÍDICOS</t>
  </si>
  <si>
    <t>Ingreso de menores de edad en establecimientos en los que se expenden bebidas con contenido alcohólico como actividad principal</t>
  </si>
  <si>
    <t>Wilberth Ramos Chacón</t>
  </si>
  <si>
    <t>wramos@tilaran.go.cr</t>
  </si>
  <si>
    <t>ENCARGADO ARCHIVO</t>
  </si>
  <si>
    <t>Juegos permitidos</t>
  </si>
  <si>
    <t>Rigoberto Hernández Quesada</t>
  </si>
  <si>
    <t>rhernandez@tilaran.go.cr</t>
  </si>
  <si>
    <t>ENCARGADO DE BIENES INMUEBLES Y VALORACIÓN</t>
  </si>
  <si>
    <t>Licencia de construcciones</t>
  </si>
  <si>
    <t>Ley de construcciones</t>
  </si>
  <si>
    <t>Gustavo Bogantes Morera</t>
  </si>
  <si>
    <t>gbogantes@tilaran.go.cr</t>
  </si>
  <si>
    <t>ENCARGADO GESTIÓN CATASTRAL</t>
  </si>
  <si>
    <t>Licencia para expedio de bebidas con contenido alcohólico</t>
  </si>
  <si>
    <t>Donaldo Marchena Mendez</t>
  </si>
  <si>
    <t>dmarchena@tilaran.go.cr</t>
  </si>
  <si>
    <t>ENCARGADO PROYECTOS</t>
  </si>
  <si>
    <t>Licencia temporal para expedio de bebidas con contenido alcohólico</t>
  </si>
  <si>
    <t>Pedro Carranza Suarez</t>
  </si>
  <si>
    <t>INGENIERO DE CAMINOS</t>
  </si>
  <si>
    <t>Multa por infracción Ley de Construcciones</t>
  </si>
  <si>
    <t>Brallan Vásquez Reyes</t>
  </si>
  <si>
    <t>bvasquez@tilaran.go.cr</t>
  </si>
  <si>
    <t>INSPECTOR</t>
  </si>
  <si>
    <t>Obligaciones de los munícipes</t>
  </si>
  <si>
    <t>Código Municipal</t>
  </si>
  <si>
    <t>Jimmy Espinoza Masis</t>
  </si>
  <si>
    <t>jespinoza@tilaran.go.cr</t>
  </si>
  <si>
    <t>Pago de patente comercial</t>
  </si>
  <si>
    <t>90 bis</t>
  </si>
  <si>
    <t>Uber Masis Solis</t>
  </si>
  <si>
    <t>hmasis@tilaran.go.cr</t>
  </si>
  <si>
    <t>Pago del derecho para la comercialización de bebidas con contenido alcohólico</t>
  </si>
  <si>
    <t>Annia Ramírez Rodríguez</t>
  </si>
  <si>
    <t>aramirez@tilaran.go.cr</t>
  </si>
  <si>
    <t>Pago del impuesto de construcciones</t>
  </si>
  <si>
    <t>Carolay Solera Calvo</t>
  </si>
  <si>
    <t>carolay.solera@tilaran.go.cr</t>
  </si>
  <si>
    <t>Pago impuesto espectáculos públicos</t>
  </si>
  <si>
    <t>asistente.sc@tilaran.go.cr</t>
  </si>
  <si>
    <t>Participación de menores en juegos</t>
  </si>
  <si>
    <t>Gerald Vega Zamora</t>
  </si>
  <si>
    <t>gerald.vega@tilaran.go.cr</t>
  </si>
  <si>
    <t>Patente comercial</t>
  </si>
  <si>
    <t>Mario Alvarado Barrantes</t>
  </si>
  <si>
    <t>mario.alvarado@tilaran.go.cr</t>
  </si>
  <si>
    <t>Permiso de construcción para instituciones públicas</t>
  </si>
  <si>
    <t>Shirley Ramírez Méndez</t>
  </si>
  <si>
    <t>sramirez@tilaran.go.cr</t>
  </si>
  <si>
    <t>PROVEEDORA</t>
  </si>
  <si>
    <t>Permiso de espetáculos públicos y horario</t>
  </si>
  <si>
    <t>Silvia Centeno Gonzalez</t>
  </si>
  <si>
    <t>scenteno@tilaran.go.cr</t>
  </si>
  <si>
    <t>SECRETARIA CONCEJO MUNICIPAL</t>
  </si>
  <si>
    <r>
      <t>Permiso para obras menores a 30 m</t>
    </r>
    <r>
      <rPr>
        <vertAlign val="superscript"/>
        <sz val="10"/>
        <rFont val="Arial"/>
        <family val="2"/>
      </rPr>
      <t>2</t>
    </r>
  </si>
  <si>
    <t>Yendry Ulloa Rodriguez</t>
  </si>
  <si>
    <t>yulloa@tilaran.go.cr</t>
  </si>
  <si>
    <t>TESORERIA</t>
  </si>
  <si>
    <t>Prohibiciones para la comercialización de bebidas con contenido alcohólico, por distancias</t>
  </si>
  <si>
    <t>Recurso de Revocatoria con Apelación en subsidio</t>
  </si>
  <si>
    <t>Renuencia en construcciones</t>
  </si>
  <si>
    <t>Resello</t>
  </si>
  <si>
    <t>Sujeto de multa por construcciones sin permiso</t>
  </si>
  <si>
    <t>Suspención y cancelación de patente</t>
  </si>
  <si>
    <t>Trabajo menores de edad en expedios de bebidas con contenido alcohólico</t>
  </si>
  <si>
    <t>Traspasos y traslados de licencias comerciales</t>
  </si>
  <si>
    <t>Ventas ambulantes</t>
  </si>
  <si>
    <t>Verificación cierre de negocios</t>
  </si>
  <si>
    <t>No aplica</t>
  </si>
  <si>
    <t>Verificación de metros lineales de aseo de vías</t>
  </si>
  <si>
    <t>Verificación de metros lineales de seo de vías</t>
  </si>
  <si>
    <t>Verificación de servicios de basura</t>
  </si>
  <si>
    <t>Verificación de unidades de Recolección de basura</t>
  </si>
  <si>
    <t>Verificación tamaño de construcción</t>
  </si>
  <si>
    <t>Vigencia permisos de construcción</t>
  </si>
  <si>
    <t>Obstrucción vía pública</t>
  </si>
  <si>
    <t>Ley General de Caminos</t>
  </si>
  <si>
    <t>Otros</t>
  </si>
  <si>
    <t>ÚLTIMA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</si>
</sst>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sz val="11"/>
      <name val="Tahoma"/>
      <family val="2"/>
    </font>
    <font>
      <sz val="10"/>
      <name val="Arial"/>
      <family val="2"/>
    </font>
    <font>
      <b/>
      <sz val="9"/>
      <name val="Tahoma"/>
      <family val="2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b/>
      <sz val="10"/>
      <color theme="0"/>
      <name val="Arial"/>
      <family val="2"/>
    </font>
    <font>
      <vertAlign val="superscript"/>
      <sz val="10"/>
      <name val="Arial"/>
      <family val="2"/>
    </font>
    <font>
      <b/>
      <sz val="20"/>
      <color rgb="FFFF0000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0000"/>
      <name val="Tahoma"/>
      <family val="2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4" fillId="0" borderId="0"/>
    <xf numFmtId="0" fontId="13" fillId="0" borderId="0" applyNumberFormat="0" applyFill="0" applyBorder="0" applyAlignment="0" applyProtection="0"/>
    <xf numFmtId="0" fontId="14" fillId="0" borderId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1" fillId="2" borderId="2" xfId="0" applyFont="1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7" fillId="0" borderId="0" xfId="1" applyAlignment="1" applyProtection="1"/>
    <xf numFmtId="0" fontId="7" fillId="0" borderId="0" xfId="1"/>
    <xf numFmtId="0" fontId="4" fillId="0" borderId="18" xfId="2" applyBorder="1" applyAlignment="1">
      <alignment horizontal="center" vertical="center" wrapText="1"/>
    </xf>
    <xf numFmtId="0" fontId="4" fillId="0" borderId="18" xfId="2" applyBorder="1" applyAlignment="1">
      <alignment horizontal="justify" vertical="center" wrapText="1"/>
    </xf>
    <xf numFmtId="0" fontId="4" fillId="2" borderId="18" xfId="2" applyFill="1" applyBorder="1" applyAlignment="1">
      <alignment horizontal="center" vertical="center" wrapText="1"/>
    </xf>
    <xf numFmtId="0" fontId="0" fillId="0" borderId="18" xfId="0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/>
    </xf>
    <xf numFmtId="0" fontId="4" fillId="2" borderId="0" xfId="0" applyFont="1" applyFill="1"/>
    <xf numFmtId="49" fontId="4" fillId="2" borderId="4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8" fillId="3" borderId="0" xfId="2" applyFont="1" applyFill="1" applyAlignment="1">
      <alignment horizontal="center"/>
    </xf>
    <xf numFmtId="0" fontId="14" fillId="2" borderId="0" xfId="4" applyFill="1"/>
    <xf numFmtId="0" fontId="5" fillId="2" borderId="0" xfId="4" applyFont="1" applyFill="1" applyAlignment="1">
      <alignment horizontal="center" vertical="center"/>
    </xf>
    <xf numFmtId="0" fontId="5" fillId="2" borderId="24" xfId="4" applyFont="1" applyFill="1" applyBorder="1" applyAlignment="1">
      <alignment horizontal="center" vertical="center"/>
    </xf>
    <xf numFmtId="0" fontId="1" fillId="2" borderId="2" xfId="4" applyFont="1" applyFill="1" applyBorder="1"/>
    <xf numFmtId="0" fontId="4" fillId="2" borderId="0" xfId="4" applyFont="1" applyFill="1" applyAlignment="1">
      <alignment horizontal="center" vertical="center"/>
    </xf>
    <xf numFmtId="0" fontId="1" fillId="2" borderId="5" xfId="4" applyFont="1" applyFill="1" applyBorder="1"/>
    <xf numFmtId="0" fontId="14" fillId="2" borderId="6" xfId="4" applyFill="1" applyBorder="1"/>
    <xf numFmtId="0" fontId="7" fillId="2" borderId="0" xfId="5" applyFont="1" applyFill="1" applyBorder="1" applyAlignment="1">
      <alignment horizontal="left" vertical="center"/>
    </xf>
    <xf numFmtId="49" fontId="4" fillId="2" borderId="0" xfId="4" applyNumberFormat="1" applyFont="1" applyFill="1" applyAlignment="1">
      <alignment horizontal="center" vertical="center"/>
    </xf>
    <xf numFmtId="49" fontId="4" fillId="2" borderId="4" xfId="4" applyNumberFormat="1" applyFont="1" applyFill="1" applyBorder="1" applyAlignment="1">
      <alignment horizontal="center" vertical="center"/>
    </xf>
    <xf numFmtId="0" fontId="14" fillId="2" borderId="2" xfId="4" applyFill="1" applyBorder="1"/>
    <xf numFmtId="0" fontId="14" fillId="2" borderId="1" xfId="4" applyFill="1" applyBorder="1"/>
    <xf numFmtId="0" fontId="14" fillId="2" borderId="4" xfId="4" applyFill="1" applyBorder="1"/>
    <xf numFmtId="0" fontId="2" fillId="2" borderId="5" xfId="4" applyFont="1" applyFill="1" applyBorder="1" applyAlignment="1">
      <alignment horizontal="center"/>
    </xf>
    <xf numFmtId="0" fontId="2" fillId="2" borderId="6" xfId="4" applyFont="1" applyFill="1" applyBorder="1" applyAlignment="1">
      <alignment horizontal="center"/>
    </xf>
    <xf numFmtId="0" fontId="2" fillId="2" borderId="7" xfId="4" applyFont="1" applyFill="1" applyBorder="1" applyAlignment="1">
      <alignment horizontal="center"/>
    </xf>
    <xf numFmtId="0" fontId="4" fillId="2" borderId="0" xfId="4" applyFont="1" applyFill="1"/>
    <xf numFmtId="0" fontId="4" fillId="0" borderId="0" xfId="0" applyFont="1"/>
    <xf numFmtId="0" fontId="4" fillId="0" borderId="18" xfId="0" applyFont="1" applyBorder="1"/>
    <xf numFmtId="0" fontId="7" fillId="0" borderId="18" xfId="1" applyBorder="1"/>
    <xf numFmtId="0" fontId="16" fillId="0" borderId="18" xfId="0" applyFont="1" applyBorder="1"/>
    <xf numFmtId="0" fontId="4" fillId="2" borderId="18" xfId="0" applyFont="1" applyFill="1" applyBorder="1"/>
    <xf numFmtId="0" fontId="4" fillId="0" borderId="18" xfId="1" applyFont="1" applyBorder="1" applyAlignment="1" applyProtection="1"/>
    <xf numFmtId="0" fontId="4" fillId="0" borderId="18" xfId="1" applyFont="1" applyBorder="1"/>
    <xf numFmtId="0" fontId="4" fillId="0" borderId="18" xfId="1" applyFont="1" applyFill="1" applyBorder="1" applyAlignment="1" applyProtection="1"/>
    <xf numFmtId="0" fontId="4" fillId="0" borderId="18" xfId="3" applyFont="1" applyBorder="1"/>
    <xf numFmtId="22" fontId="0" fillId="2" borderId="0" xfId="0" applyNumberFormat="1" applyFill="1"/>
    <xf numFmtId="0" fontId="4" fillId="2" borderId="1" xfId="0" applyFont="1" applyFill="1" applyBorder="1" applyAlignment="1">
      <alignment horizontal="center" vertical="center"/>
    </xf>
    <xf numFmtId="0" fontId="7" fillId="2" borderId="0" xfId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2" borderId="26" xfId="0" applyFont="1" applyFill="1" applyBorder="1" applyAlignment="1" applyProtection="1">
      <alignment vertical="center"/>
      <protection locked="0"/>
    </xf>
    <xf numFmtId="0" fontId="4" fillId="2" borderId="8" xfId="0" applyFont="1" applyFill="1" applyBorder="1" applyAlignment="1" applyProtection="1">
      <alignment vertical="center"/>
      <protection locked="0"/>
    </xf>
    <xf numFmtId="0" fontId="0" fillId="2" borderId="8" xfId="0" applyFill="1" applyBorder="1"/>
    <xf numFmtId="0" fontId="0" fillId="2" borderId="27" xfId="0" applyFill="1" applyBorder="1"/>
    <xf numFmtId="0" fontId="7" fillId="2" borderId="28" xfId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1" fillId="2" borderId="16" xfId="0" applyFont="1" applyFill="1" applyBorder="1"/>
    <xf numFmtId="0" fontId="13" fillId="0" borderId="18" xfId="3" applyBorder="1"/>
    <xf numFmtId="0" fontId="11" fillId="2" borderId="13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13" fillId="2" borderId="2" xfId="3" applyFill="1" applyBorder="1" applyAlignment="1" applyProtection="1">
      <alignment horizontal="center" vertical="center"/>
      <protection locked="0"/>
    </xf>
    <xf numFmtId="0" fontId="13" fillId="2" borderId="0" xfId="3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left" vertical="top" wrapText="1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12" fillId="2" borderId="0" xfId="0" applyFont="1" applyFill="1" applyAlignment="1" applyProtection="1">
      <alignment horizontal="center"/>
      <protection locked="0"/>
    </xf>
    <xf numFmtId="0" fontId="12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justify" vertical="center"/>
    </xf>
    <xf numFmtId="0" fontId="2" fillId="2" borderId="8" xfId="0" applyFont="1" applyFill="1" applyBorder="1" applyAlignment="1">
      <alignment horizontal="justify" vertical="center"/>
    </xf>
    <xf numFmtId="0" fontId="2" fillId="2" borderId="9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2" fillId="2" borderId="4" xfId="0" applyFont="1" applyFill="1" applyBorder="1" applyAlignment="1">
      <alignment horizontal="justify" vertical="center"/>
    </xf>
    <xf numFmtId="0" fontId="2" fillId="2" borderId="5" xfId="0" applyFont="1" applyFill="1" applyBorder="1" applyAlignment="1">
      <alignment horizontal="justify" vertical="center"/>
    </xf>
    <xf numFmtId="0" fontId="2" fillId="2" borderId="6" xfId="0" applyFont="1" applyFill="1" applyBorder="1" applyAlignment="1">
      <alignment horizontal="justify" vertical="center"/>
    </xf>
    <xf numFmtId="0" fontId="2" fillId="2" borderId="7" xfId="0" applyFont="1" applyFill="1" applyBorder="1" applyAlignment="1">
      <alignment horizontal="justify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2" fillId="2" borderId="0" xfId="4" applyFont="1" applyFill="1" applyAlignment="1">
      <alignment horizontal="center"/>
    </xf>
    <xf numFmtId="0" fontId="11" fillId="2" borderId="21" xfId="4" applyFont="1" applyFill="1" applyBorder="1" applyAlignment="1">
      <alignment horizontal="center"/>
    </xf>
    <xf numFmtId="0" fontId="11" fillId="2" borderId="22" xfId="4" applyFont="1" applyFill="1" applyBorder="1" applyAlignment="1">
      <alignment horizontal="center"/>
    </xf>
    <xf numFmtId="0" fontId="11" fillId="2" borderId="23" xfId="4" applyFont="1" applyFill="1" applyBorder="1" applyAlignment="1">
      <alignment horizontal="center"/>
    </xf>
    <xf numFmtId="0" fontId="2" fillId="2" borderId="13" xfId="4" applyFont="1" applyFill="1" applyBorder="1" applyAlignment="1">
      <alignment horizontal="justify" vertical="center"/>
    </xf>
    <xf numFmtId="0" fontId="2" fillId="2" borderId="14" xfId="4" applyFont="1" applyFill="1" applyBorder="1" applyAlignment="1">
      <alignment horizontal="justify" vertical="center"/>
    </xf>
    <xf numFmtId="0" fontId="2" fillId="2" borderId="15" xfId="4" applyFont="1" applyFill="1" applyBorder="1" applyAlignment="1">
      <alignment horizontal="justify" vertical="center"/>
    </xf>
    <xf numFmtId="0" fontId="2" fillId="2" borderId="2" xfId="4" applyFont="1" applyFill="1" applyBorder="1" applyAlignment="1">
      <alignment horizontal="justify" vertical="center"/>
    </xf>
    <xf numFmtId="0" fontId="2" fillId="2" borderId="0" xfId="4" applyFont="1" applyFill="1" applyAlignment="1">
      <alignment horizontal="justify" vertical="center"/>
    </xf>
    <xf numFmtId="0" fontId="2" fillId="2" borderId="4" xfId="4" applyFont="1" applyFill="1" applyBorder="1" applyAlignment="1">
      <alignment horizontal="justify" vertical="center"/>
    </xf>
    <xf numFmtId="0" fontId="2" fillId="2" borderId="5" xfId="4" applyFont="1" applyFill="1" applyBorder="1" applyAlignment="1">
      <alignment horizontal="justify" vertical="center"/>
    </xf>
    <xf numFmtId="0" fontId="2" fillId="2" borderId="6" xfId="4" applyFont="1" applyFill="1" applyBorder="1" applyAlignment="1">
      <alignment horizontal="justify" vertical="center"/>
    </xf>
    <xf numFmtId="0" fontId="2" fillId="2" borderId="7" xfId="4" applyFont="1" applyFill="1" applyBorder="1" applyAlignment="1">
      <alignment horizontal="justify" vertical="center"/>
    </xf>
    <xf numFmtId="0" fontId="2" fillId="2" borderId="13" xfId="4" applyFont="1" applyFill="1" applyBorder="1" applyAlignment="1">
      <alignment horizontal="center"/>
    </xf>
    <xf numFmtId="0" fontId="2" fillId="2" borderId="14" xfId="4" applyFont="1" applyFill="1" applyBorder="1" applyAlignment="1">
      <alignment horizontal="center"/>
    </xf>
    <xf numFmtId="0" fontId="2" fillId="2" borderId="15" xfId="4" applyFont="1" applyFill="1" applyBorder="1" applyAlignment="1">
      <alignment horizontal="center"/>
    </xf>
    <xf numFmtId="0" fontId="1" fillId="2" borderId="2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4" xfId="4" applyFont="1" applyFill="1" applyBorder="1" applyAlignment="1">
      <alignment horizontal="center"/>
    </xf>
    <xf numFmtId="0" fontId="15" fillId="4" borderId="13" xfId="4" applyFont="1" applyFill="1" applyBorder="1" applyAlignment="1" applyProtection="1">
      <alignment horizontal="justify" vertical="center" wrapText="1"/>
      <protection locked="0"/>
    </xf>
    <xf numFmtId="0" fontId="1" fillId="4" borderId="14" xfId="4" applyFont="1" applyFill="1" applyBorder="1" applyAlignment="1" applyProtection="1">
      <alignment horizontal="justify" vertical="center" wrapText="1"/>
      <protection locked="0"/>
    </xf>
    <xf numFmtId="0" fontId="1" fillId="4" borderId="15" xfId="4" applyFont="1" applyFill="1" applyBorder="1" applyAlignment="1" applyProtection="1">
      <alignment horizontal="justify" vertical="center" wrapText="1"/>
      <protection locked="0"/>
    </xf>
    <xf numFmtId="0" fontId="1" fillId="4" borderId="2" xfId="4" applyFont="1" applyFill="1" applyBorder="1" applyAlignment="1" applyProtection="1">
      <alignment horizontal="justify" vertical="center" wrapText="1"/>
      <protection locked="0"/>
    </xf>
    <xf numFmtId="0" fontId="1" fillId="4" borderId="0" xfId="4" applyFont="1" applyFill="1" applyAlignment="1" applyProtection="1">
      <alignment horizontal="justify" vertical="center" wrapText="1"/>
      <protection locked="0"/>
    </xf>
    <xf numFmtId="0" fontId="1" fillId="4" borderId="4" xfId="4" applyFont="1" applyFill="1" applyBorder="1" applyAlignment="1" applyProtection="1">
      <alignment horizontal="justify" vertical="center" wrapText="1"/>
      <protection locked="0"/>
    </xf>
    <xf numFmtId="0" fontId="1" fillId="4" borderId="5" xfId="4" applyFont="1" applyFill="1" applyBorder="1" applyAlignment="1" applyProtection="1">
      <alignment horizontal="justify" vertical="center" wrapText="1"/>
      <protection locked="0"/>
    </xf>
    <xf numFmtId="0" fontId="1" fillId="4" borderId="6" xfId="4" applyFont="1" applyFill="1" applyBorder="1" applyAlignment="1" applyProtection="1">
      <alignment horizontal="justify" vertical="center" wrapText="1"/>
      <protection locked="0"/>
    </xf>
    <xf numFmtId="0" fontId="1" fillId="4" borderId="7" xfId="4" applyFont="1" applyFill="1" applyBorder="1" applyAlignment="1" applyProtection="1">
      <alignment horizontal="justify" vertical="center" wrapText="1"/>
      <protection locked="0"/>
    </xf>
    <xf numFmtId="0" fontId="2" fillId="2" borderId="21" xfId="4" applyFont="1" applyFill="1" applyBorder="1" applyAlignment="1">
      <alignment horizontal="center"/>
    </xf>
    <xf numFmtId="0" fontId="2" fillId="2" borderId="22" xfId="4" applyFont="1" applyFill="1" applyBorder="1" applyAlignment="1">
      <alignment horizontal="center"/>
    </xf>
    <xf numFmtId="0" fontId="2" fillId="2" borderId="23" xfId="4" applyFont="1" applyFill="1" applyBorder="1" applyAlignment="1">
      <alignment horizontal="center"/>
    </xf>
    <xf numFmtId="49" fontId="2" fillId="4" borderId="21" xfId="4" applyNumberFormat="1" applyFont="1" applyFill="1" applyBorder="1" applyAlignment="1">
      <alignment horizontal="center" vertical="top"/>
    </xf>
    <xf numFmtId="49" fontId="2" fillId="4" borderId="22" xfId="4" applyNumberFormat="1" applyFont="1" applyFill="1" applyBorder="1" applyAlignment="1">
      <alignment horizontal="center" vertical="top"/>
    </xf>
    <xf numFmtId="49" fontId="2" fillId="4" borderId="23" xfId="4" applyNumberFormat="1" applyFont="1" applyFill="1" applyBorder="1" applyAlignment="1">
      <alignment horizontal="center" vertical="top"/>
    </xf>
    <xf numFmtId="0" fontId="2" fillId="2" borderId="2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4" xfId="4" applyFont="1" applyFill="1" applyBorder="1" applyAlignment="1">
      <alignment horizontal="center"/>
    </xf>
    <xf numFmtId="0" fontId="2" fillId="4" borderId="21" xfId="4" applyFont="1" applyFill="1" applyBorder="1" applyAlignment="1" applyProtection="1">
      <alignment horizontal="center" vertical="center"/>
      <protection locked="0"/>
    </xf>
    <xf numFmtId="0" fontId="2" fillId="4" borderId="22" xfId="4" applyFont="1" applyFill="1" applyBorder="1" applyAlignment="1" applyProtection="1">
      <alignment horizontal="center" vertical="center"/>
      <protection locked="0"/>
    </xf>
    <xf numFmtId="0" fontId="2" fillId="4" borderId="23" xfId="4" applyFont="1" applyFill="1" applyBorder="1" applyAlignment="1" applyProtection="1">
      <alignment horizontal="center" vertical="center"/>
      <protection locked="0"/>
    </xf>
    <xf numFmtId="164" fontId="1" fillId="2" borderId="2" xfId="4" applyNumberFormat="1" applyFont="1" applyFill="1" applyBorder="1" applyAlignment="1">
      <alignment horizontal="center" vertical="center"/>
    </xf>
    <xf numFmtId="164" fontId="1" fillId="2" borderId="0" xfId="4" applyNumberFormat="1" applyFont="1" applyFill="1" applyAlignment="1">
      <alignment horizontal="center" vertical="center"/>
    </xf>
    <xf numFmtId="164" fontId="1" fillId="2" borderId="4" xfId="4" applyNumberFormat="1" applyFont="1" applyFill="1" applyBorder="1" applyAlignment="1">
      <alignment horizontal="center" vertical="center"/>
    </xf>
    <xf numFmtId="0" fontId="10" fillId="2" borderId="13" xfId="4" applyFont="1" applyFill="1" applyBorder="1" applyAlignment="1">
      <alignment horizontal="center" vertical="center"/>
    </xf>
    <xf numFmtId="0" fontId="10" fillId="2" borderId="14" xfId="4" applyFont="1" applyFill="1" applyBorder="1" applyAlignment="1">
      <alignment horizontal="center" vertical="center"/>
    </xf>
    <xf numFmtId="0" fontId="10" fillId="2" borderId="15" xfId="4" applyFont="1" applyFill="1" applyBorder="1" applyAlignment="1">
      <alignment horizontal="center" vertical="center"/>
    </xf>
    <xf numFmtId="0" fontId="10" fillId="2" borderId="2" xfId="4" applyFont="1" applyFill="1" applyBorder="1" applyAlignment="1">
      <alignment horizontal="center" vertical="center"/>
    </xf>
    <xf numFmtId="0" fontId="10" fillId="2" borderId="0" xfId="4" applyFont="1" applyFill="1" applyAlignment="1">
      <alignment horizontal="center" vertical="center"/>
    </xf>
    <xf numFmtId="0" fontId="10" fillId="2" borderId="4" xfId="4" applyFont="1" applyFill="1" applyBorder="1" applyAlignment="1">
      <alignment horizontal="center" vertical="center"/>
    </xf>
    <xf numFmtId="0" fontId="11" fillId="2" borderId="2" xfId="4" applyFont="1" applyFill="1" applyBorder="1" applyAlignment="1">
      <alignment horizontal="center"/>
    </xf>
    <xf numFmtId="0" fontId="11" fillId="2" borderId="0" xfId="4" applyFont="1" applyFill="1" applyAlignment="1">
      <alignment horizontal="center"/>
    </xf>
    <xf numFmtId="0" fontId="11" fillId="2" borderId="4" xfId="4" applyFont="1" applyFill="1" applyBorder="1" applyAlignment="1">
      <alignment horizontal="center"/>
    </xf>
    <xf numFmtId="0" fontId="12" fillId="2" borderId="0" xfId="4" applyFont="1" applyFill="1" applyAlignment="1" applyProtection="1">
      <alignment horizontal="center"/>
      <protection locked="0"/>
    </xf>
    <xf numFmtId="0" fontId="3" fillId="2" borderId="0" xfId="4" applyFont="1" applyFill="1" applyAlignment="1">
      <alignment horizontal="center" vertical="center"/>
    </xf>
    <xf numFmtId="0" fontId="6" fillId="2" borderId="21" xfId="4" applyFont="1" applyFill="1" applyBorder="1" applyAlignment="1">
      <alignment horizontal="center" vertical="center" wrapText="1"/>
    </xf>
    <xf numFmtId="0" fontId="6" fillId="2" borderId="22" xfId="4" applyFont="1" applyFill="1" applyBorder="1" applyAlignment="1">
      <alignment horizontal="center" vertical="center" wrapText="1"/>
    </xf>
    <xf numFmtId="0" fontId="6" fillId="2" borderId="23" xfId="4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19" xfId="4" applyFont="1" applyFill="1" applyBorder="1" applyAlignment="1" applyProtection="1">
      <alignment horizontal="left" vertical="center"/>
      <protection locked="0"/>
    </xf>
    <xf numFmtId="0" fontId="4" fillId="2" borderId="1" xfId="4" applyFont="1" applyFill="1" applyBorder="1" applyAlignment="1" applyProtection="1">
      <alignment horizontal="left" vertical="center"/>
      <protection locked="0"/>
    </xf>
    <xf numFmtId="0" fontId="4" fillId="2" borderId="20" xfId="4" applyFont="1" applyFill="1" applyBorder="1" applyAlignment="1" applyProtection="1">
      <alignment horizontal="left" vertical="center"/>
      <protection locked="0"/>
    </xf>
    <xf numFmtId="0" fontId="7" fillId="2" borderId="25" xfId="5" applyFont="1" applyFill="1" applyBorder="1" applyAlignment="1" applyProtection="1">
      <alignment horizontal="center" vertical="center"/>
      <protection locked="0"/>
    </xf>
    <xf numFmtId="0" fontId="4" fillId="2" borderId="6" xfId="4" applyFont="1" applyFill="1" applyBorder="1" applyAlignment="1">
      <alignment horizontal="center" vertical="center"/>
    </xf>
    <xf numFmtId="0" fontId="4" fillId="2" borderId="6" xfId="4" applyFont="1" applyFill="1" applyBorder="1" applyAlignment="1" applyProtection="1">
      <alignment horizontal="center" vertical="center"/>
      <protection locked="0"/>
    </xf>
    <xf numFmtId="0" fontId="4" fillId="2" borderId="7" xfId="4" applyFont="1" applyFill="1" applyBorder="1" applyAlignment="1" applyProtection="1">
      <alignment horizontal="center" vertical="center"/>
      <protection locked="0"/>
    </xf>
    <xf numFmtId="0" fontId="14" fillId="2" borderId="2" xfId="4" applyFill="1" applyBorder="1" applyAlignment="1">
      <alignment horizontal="center" vertical="center"/>
    </xf>
    <xf numFmtId="0" fontId="14" fillId="2" borderId="0" xfId="4" applyFill="1" applyAlignment="1">
      <alignment horizontal="center" vertical="center"/>
    </xf>
    <xf numFmtId="0" fontId="14" fillId="2" borderId="4" xfId="4" applyFill="1" applyBorder="1" applyAlignment="1">
      <alignment horizontal="center" vertical="center"/>
    </xf>
    <xf numFmtId="0" fontId="8" fillId="3" borderId="0" xfId="2" applyFont="1" applyFill="1" applyAlignment="1">
      <alignment horizontal="center"/>
    </xf>
  </cellXfs>
  <cellStyles count="6">
    <cellStyle name="Hipervínculo" xfId="1" builtinId="8"/>
    <cellStyle name="Hipervínculo 2" xfId="5" xr:uid="{21DB8B2B-10D6-4275-8252-F764A8CA4EFF}"/>
    <cellStyle name="Hyperlink" xfId="3" xr:uid="{00000000-000B-0000-0000-000008000000}"/>
    <cellStyle name="Normal" xfId="0" builtinId="0"/>
    <cellStyle name="Normal 2" xfId="2" xr:uid="{00000000-0005-0000-0000-000002000000}"/>
    <cellStyle name="Normal 2 2" xfId="4" xr:uid="{6E768BFE-B099-44DA-8BEB-EC488FC9FA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152400</xdr:colOff>
      <xdr:row>0</xdr:row>
      <xdr:rowOff>152400</xdr:rowOff>
    </xdr:from>
    <xdr:to>
      <xdr:col>26</xdr:col>
      <xdr:colOff>123825</xdr:colOff>
      <xdr:row>2</xdr:row>
      <xdr:rowOff>85725</xdr:rowOff>
    </xdr:to>
    <xdr:pic>
      <xdr:nvPicPr>
        <xdr:cNvPr id="15426" name="2 Imagen">
          <a:extLst>
            <a:ext uri="{FF2B5EF4-FFF2-40B4-BE49-F238E27FC236}">
              <a16:creationId xmlns:a16="http://schemas.microsoft.com/office/drawing/2014/main" id="{00000000-0008-0000-0000-000042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52400"/>
          <a:ext cx="12096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84239</xdr:colOff>
      <xdr:row>28</xdr:row>
      <xdr:rowOff>38100</xdr:rowOff>
    </xdr:from>
    <xdr:ext cx="2058886" cy="542926"/>
    <xdr:pic>
      <xdr:nvPicPr>
        <xdr:cNvPr id="2" name="2 Imagen">
          <a:extLst>
            <a:ext uri="{FF2B5EF4-FFF2-40B4-BE49-F238E27FC236}">
              <a16:creationId xmlns:a16="http://schemas.microsoft.com/office/drawing/2014/main" id="{0DFC0C5D-D908-4B3B-B994-0CB669DC1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1039" y="8039100"/>
          <a:ext cx="2058886" cy="542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97065</xdr:colOff>
      <xdr:row>33</xdr:row>
      <xdr:rowOff>67237</xdr:rowOff>
    </xdr:from>
    <xdr:to>
      <xdr:col>11</xdr:col>
      <xdr:colOff>227614</xdr:colOff>
      <xdr:row>36</xdr:row>
      <xdr:rowOff>79675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99D1DA-A1F9-EAAE-6F87-7520E75B6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674012">
          <a:off x="97065" y="7743266"/>
          <a:ext cx="2943225" cy="168211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masis@tilaran.go.cr" TargetMode="External"/><Relationship Id="rId13" Type="http://schemas.openxmlformats.org/officeDocument/2006/relationships/hyperlink" Target="mailto:jbarquero@tilaran.go.cr" TargetMode="External"/><Relationship Id="rId18" Type="http://schemas.openxmlformats.org/officeDocument/2006/relationships/hyperlink" Target="mailto:wramos@tilaran.go.cr" TargetMode="External"/><Relationship Id="rId3" Type="http://schemas.openxmlformats.org/officeDocument/2006/relationships/hyperlink" Target="mailto:aramirez@tilaran.go.cr" TargetMode="External"/><Relationship Id="rId21" Type="http://schemas.openxmlformats.org/officeDocument/2006/relationships/hyperlink" Target="mailto:sramirez@tilaran.go.cr" TargetMode="External"/><Relationship Id="rId7" Type="http://schemas.openxmlformats.org/officeDocument/2006/relationships/hyperlink" Target="mailto:acruz@tilaran.go.cr" TargetMode="External"/><Relationship Id="rId12" Type="http://schemas.openxmlformats.org/officeDocument/2006/relationships/hyperlink" Target="mailto:jespinoza@tilaran.go.cr" TargetMode="External"/><Relationship Id="rId17" Type="http://schemas.openxmlformats.org/officeDocument/2006/relationships/hyperlink" Target="mailto:gerald.vega@tilaran.go.cr" TargetMode="External"/><Relationship Id="rId2" Type="http://schemas.openxmlformats.org/officeDocument/2006/relationships/hyperlink" Target="mailto:fperez@tilaran.go.cr" TargetMode="External"/><Relationship Id="rId16" Type="http://schemas.openxmlformats.org/officeDocument/2006/relationships/hyperlink" Target="mailto:zcampos@tilaran.go.cr" TargetMode="External"/><Relationship Id="rId20" Type="http://schemas.openxmlformats.org/officeDocument/2006/relationships/hyperlink" Target="mailto:zmolina@tilaran.go.cr" TargetMode="External"/><Relationship Id="rId1" Type="http://schemas.openxmlformats.org/officeDocument/2006/relationships/hyperlink" Target="mailto:gbogantes@tilaran.go.cr" TargetMode="External"/><Relationship Id="rId6" Type="http://schemas.openxmlformats.org/officeDocument/2006/relationships/hyperlink" Target="mailto:dfonseca@tilaran.go.cr" TargetMode="External"/><Relationship Id="rId11" Type="http://schemas.openxmlformats.org/officeDocument/2006/relationships/hyperlink" Target="mailto:yulloa@tilaran.go.cr" TargetMode="External"/><Relationship Id="rId5" Type="http://schemas.openxmlformats.org/officeDocument/2006/relationships/hyperlink" Target="mailto:carolay.solera@tilaran.go.cr" TargetMode="External"/><Relationship Id="rId15" Type="http://schemas.openxmlformats.org/officeDocument/2006/relationships/hyperlink" Target="mailto:mcampos@tilaran.go.cr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mailto:mario.alvarado@tilaran.go.cr" TargetMode="External"/><Relationship Id="rId19" Type="http://schemas.openxmlformats.org/officeDocument/2006/relationships/hyperlink" Target="mailto:dmarchena@tilaran.go.cr" TargetMode="External"/><Relationship Id="rId4" Type="http://schemas.openxmlformats.org/officeDocument/2006/relationships/hyperlink" Target="mailto:bvasquez@tilaran.go.cr" TargetMode="External"/><Relationship Id="rId9" Type="http://schemas.openxmlformats.org/officeDocument/2006/relationships/hyperlink" Target="mailto:dfonseca@tilaran.go.cr" TargetMode="External"/><Relationship Id="rId14" Type="http://schemas.openxmlformats.org/officeDocument/2006/relationships/hyperlink" Target="mailto:scenteno@tilaran.go.cr" TargetMode="External"/><Relationship Id="rId22" Type="http://schemas.openxmlformats.org/officeDocument/2006/relationships/hyperlink" Target="mailto:asistente.sc@tilaran.go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A44"/>
  <sheetViews>
    <sheetView tabSelected="1" topLeftCell="A20" workbookViewId="0">
      <selection activeCell="A30" sqref="A30:I30"/>
    </sheetView>
  </sheetViews>
  <sheetFormatPr baseColWidth="10" defaultColWidth="3.77734375" defaultRowHeight="15" customHeight="1" x14ac:dyDescent="0.25"/>
  <cols>
    <col min="1" max="26" width="3.77734375" style="1" customWidth="1"/>
    <col min="27" max="27" width="4.44140625" style="1" customWidth="1"/>
    <col min="28" max="16384" width="3.77734375" style="1"/>
  </cols>
  <sheetData>
    <row r="1" spans="1:27" ht="19.5" customHeight="1" x14ac:dyDescent="0.25"/>
    <row r="2" spans="1:27" ht="19.5" customHeight="1" x14ac:dyDescent="0.25">
      <c r="A2" s="115"/>
      <c r="B2" s="115"/>
      <c r="C2" s="115"/>
      <c r="D2" s="115"/>
      <c r="E2" s="115"/>
      <c r="F2" s="115"/>
    </row>
    <row r="3" spans="1:27" ht="15" customHeight="1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 ht="15" customHeight="1" x14ac:dyDescent="0.25">
      <c r="A4" s="91" t="s">
        <v>0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</row>
    <row r="5" spans="1:27" ht="1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5">
      <c r="A6" s="92" t="s">
        <v>1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4"/>
    </row>
    <row r="7" spans="1:27" ht="20.100000000000001" customHeight="1" x14ac:dyDescent="0.25">
      <c r="A7" s="3" t="s">
        <v>2</v>
      </c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4" t="s">
        <v>3</v>
      </c>
      <c r="T7" s="104"/>
      <c r="U7" s="104"/>
      <c r="V7" s="105"/>
      <c r="W7" s="105"/>
      <c r="X7" s="105"/>
      <c r="Y7" s="105"/>
      <c r="Z7" s="105"/>
      <c r="AA7" s="106"/>
    </row>
    <row r="8" spans="1:27" ht="20.100000000000001" customHeight="1" x14ac:dyDescent="0.25">
      <c r="A8" s="70" t="s">
        <v>4</v>
      </c>
      <c r="B8" s="22"/>
      <c r="C8" s="5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AA8" s="5"/>
    </row>
    <row r="9" spans="1:27" ht="15" customHeight="1" x14ac:dyDescent="0.25">
      <c r="A9" s="113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58"/>
      <c r="Q9" s="58"/>
      <c r="R9" s="60"/>
      <c r="S9" s="61"/>
      <c r="T9" s="61"/>
      <c r="U9" s="61"/>
      <c r="V9" s="61"/>
      <c r="W9" s="61"/>
      <c r="X9" s="61"/>
      <c r="Y9" s="62"/>
      <c r="Z9" s="63"/>
      <c r="AA9" s="5"/>
    </row>
    <row r="10" spans="1:27" ht="15" customHeight="1" x14ac:dyDescent="0.25">
      <c r="A10" s="113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55"/>
      <c r="Q10" s="55"/>
      <c r="R10" s="64"/>
      <c r="S10" s="59"/>
      <c r="T10" s="59"/>
      <c r="U10" s="59"/>
      <c r="V10" s="56"/>
      <c r="W10" s="56"/>
      <c r="X10" s="56"/>
      <c r="Y10" s="56"/>
      <c r="Z10" s="65"/>
      <c r="AA10" s="57"/>
    </row>
    <row r="11" spans="1:27" ht="15" customHeight="1" x14ac:dyDescent="0.25">
      <c r="A11" s="70" t="s">
        <v>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55"/>
      <c r="Q11" s="55"/>
      <c r="R11" s="64"/>
      <c r="S11" s="59"/>
      <c r="T11" s="59"/>
      <c r="U11" s="59"/>
      <c r="V11" s="56"/>
      <c r="W11" s="56"/>
      <c r="X11" s="56"/>
      <c r="Y11" s="56"/>
      <c r="Z11" s="65"/>
      <c r="AA11" s="57"/>
    </row>
    <row r="12" spans="1:27" ht="15" customHeight="1" x14ac:dyDescent="0.25">
      <c r="A12" s="110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55"/>
      <c r="Q12" s="55"/>
      <c r="R12" s="64"/>
      <c r="S12" s="59"/>
      <c r="T12" s="59"/>
      <c r="U12" s="59"/>
      <c r="V12" s="56"/>
      <c r="W12" s="56"/>
      <c r="X12" s="56"/>
      <c r="Y12" s="56"/>
      <c r="Z12" s="65"/>
      <c r="AA12" s="57"/>
    </row>
    <row r="13" spans="1:27" ht="15" customHeight="1" x14ac:dyDescent="0.25">
      <c r="A13" s="4"/>
      <c r="J13" s="55"/>
      <c r="K13" s="55"/>
      <c r="L13" s="55"/>
      <c r="M13" s="55"/>
      <c r="N13" s="55"/>
      <c r="O13" s="55"/>
      <c r="P13" s="55"/>
      <c r="Q13" s="55"/>
      <c r="R13" s="66"/>
      <c r="Z13" s="67"/>
      <c r="AA13" s="57"/>
    </row>
    <row r="14" spans="1:27" ht="15" customHeight="1" x14ac:dyDescent="0.25">
      <c r="A14" s="107" t="s">
        <v>6</v>
      </c>
      <c r="B14" s="104"/>
      <c r="C14" s="104"/>
      <c r="D14" s="108"/>
      <c r="E14" s="108"/>
      <c r="F14" s="108"/>
      <c r="G14" s="108"/>
      <c r="H14" s="108"/>
      <c r="I14" s="108"/>
      <c r="R14" s="68"/>
      <c r="S14" s="22"/>
      <c r="T14" s="22"/>
      <c r="U14" s="22"/>
      <c r="V14" s="22"/>
      <c r="W14" s="22"/>
      <c r="X14" s="22"/>
      <c r="Y14" s="22"/>
      <c r="Z14" s="69"/>
      <c r="AA14" s="21"/>
    </row>
    <row r="15" spans="1:27" ht="20.100000000000001" customHeight="1" x14ac:dyDescent="0.25">
      <c r="A15" s="4"/>
      <c r="R15" s="112" t="s">
        <v>7</v>
      </c>
      <c r="S15" s="112"/>
      <c r="T15" s="112"/>
      <c r="U15" s="112"/>
      <c r="V15" s="112"/>
      <c r="W15" s="112"/>
      <c r="X15" s="112"/>
      <c r="Y15" s="112"/>
      <c r="Z15" s="112"/>
      <c r="AA15" s="5"/>
    </row>
    <row r="16" spans="1:27" ht="9.9" customHeight="1" thickBot="1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</row>
    <row r="17" spans="1:27" ht="15" customHeight="1" x14ac:dyDescent="0.25">
      <c r="A17" s="78" t="s">
        <v>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80"/>
    </row>
    <row r="18" spans="1:27" ht="20.100000000000001" customHeight="1" x14ac:dyDescent="0.25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100"/>
    </row>
    <row r="19" spans="1:27" ht="20.100000000000001" customHeight="1" x14ac:dyDescent="0.25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100"/>
    </row>
    <row r="20" spans="1:27" ht="20.100000000000001" customHeight="1" x14ac:dyDescent="0.25">
      <c r="A20" s="98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100"/>
    </row>
    <row r="21" spans="1:27" ht="20.100000000000001" customHeight="1" x14ac:dyDescent="0.25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100"/>
    </row>
    <row r="22" spans="1:27" ht="20.100000000000001" customHeight="1" x14ac:dyDescent="0.25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100"/>
    </row>
    <row r="23" spans="1:27" ht="20.100000000000001" customHeight="1" x14ac:dyDescent="0.25">
      <c r="A23" s="98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100"/>
    </row>
    <row r="24" spans="1:27" ht="20.100000000000001" customHeight="1" x14ac:dyDescent="0.25">
      <c r="A24" s="98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100"/>
    </row>
    <row r="25" spans="1:27" ht="20.100000000000001" customHeight="1" x14ac:dyDescent="0.25">
      <c r="A25" s="98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100"/>
    </row>
    <row r="26" spans="1:27" ht="20.100000000000001" customHeight="1" x14ac:dyDescent="0.25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3"/>
    </row>
    <row r="27" spans="1:27" ht="15" customHeight="1" thickTop="1" x14ac:dyDescent="0.25">
      <c r="A27" s="95" t="s">
        <v>9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7"/>
    </row>
    <row r="28" spans="1:27" ht="15" customHeight="1" thickBot="1" x14ac:dyDescent="0.3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27" ht="15" customHeight="1" x14ac:dyDescent="0.25">
      <c r="A29" s="92" t="s">
        <v>10</v>
      </c>
      <c r="B29" s="93"/>
      <c r="C29" s="93"/>
      <c r="D29" s="93"/>
      <c r="E29" s="93"/>
      <c r="F29" s="93"/>
      <c r="G29" s="93"/>
      <c r="H29" s="93"/>
      <c r="I29" s="94"/>
      <c r="J29" s="92" t="s">
        <v>11</v>
      </c>
      <c r="K29" s="93"/>
      <c r="L29" s="93"/>
      <c r="M29" s="93"/>
      <c r="N29" s="93"/>
      <c r="O29" s="93"/>
      <c r="P29" s="93"/>
      <c r="Q29" s="93"/>
      <c r="R29" s="94"/>
      <c r="S29" s="92" t="s">
        <v>12</v>
      </c>
      <c r="T29" s="93"/>
      <c r="U29" s="93"/>
      <c r="V29" s="93"/>
      <c r="W29" s="93"/>
      <c r="X29" s="93"/>
      <c r="Y29" s="93"/>
      <c r="Z29" s="93"/>
      <c r="AA29" s="94"/>
    </row>
    <row r="30" spans="1:27" ht="24.9" customHeight="1" thickBot="1" x14ac:dyDescent="0.3">
      <c r="A30" s="138" t="s">
        <v>13</v>
      </c>
      <c r="B30" s="139" t="s">
        <v>13</v>
      </c>
      <c r="C30" s="139" t="s">
        <v>13</v>
      </c>
      <c r="D30" s="139" t="s">
        <v>13</v>
      </c>
      <c r="E30" s="139" t="s">
        <v>13</v>
      </c>
      <c r="F30" s="139" t="s">
        <v>13</v>
      </c>
      <c r="G30" s="139" t="s">
        <v>13</v>
      </c>
      <c r="H30" s="139" t="s">
        <v>13</v>
      </c>
      <c r="I30" s="140" t="s">
        <v>13</v>
      </c>
      <c r="J30" s="138" t="s">
        <v>14</v>
      </c>
      <c r="K30" s="139" t="s">
        <v>14</v>
      </c>
      <c r="L30" s="139" t="s">
        <v>14</v>
      </c>
      <c r="M30" s="139" t="s">
        <v>14</v>
      </c>
      <c r="N30" s="139" t="s">
        <v>14</v>
      </c>
      <c r="O30" s="139" t="s">
        <v>14</v>
      </c>
      <c r="P30" s="139" t="s">
        <v>14</v>
      </c>
      <c r="Q30" s="139" t="s">
        <v>14</v>
      </c>
      <c r="R30" s="140" t="s">
        <v>14</v>
      </c>
      <c r="S30" s="141" t="s">
        <v>15</v>
      </c>
      <c r="T30" s="142"/>
      <c r="U30" s="142"/>
      <c r="V30" s="142"/>
      <c r="W30" s="142"/>
      <c r="X30" s="142"/>
      <c r="Y30" s="142"/>
      <c r="Z30" s="142"/>
      <c r="AA30" s="143"/>
    </row>
    <row r="31" spans="1:27" ht="15" customHeight="1" x14ac:dyDescent="0.25">
      <c r="A31" s="78" t="s">
        <v>16</v>
      </c>
      <c r="B31" s="79"/>
      <c r="C31" s="79"/>
      <c r="D31" s="79"/>
      <c r="E31" s="79"/>
      <c r="F31" s="79"/>
      <c r="G31" s="79"/>
      <c r="H31" s="79"/>
      <c r="I31" s="80"/>
      <c r="J31" s="78" t="s">
        <v>16</v>
      </c>
      <c r="K31" s="79"/>
      <c r="L31" s="79"/>
      <c r="M31" s="79"/>
      <c r="N31" s="79"/>
      <c r="O31" s="79"/>
      <c r="P31" s="79"/>
      <c r="Q31" s="79"/>
      <c r="R31" s="80"/>
      <c r="S31" s="120">
        <f>VLOOKUP(S34,PARÁMETROS!L3:M6,2,0)</f>
        <v>3</v>
      </c>
      <c r="T31" s="121"/>
      <c r="U31" s="121"/>
      <c r="V31" s="121"/>
      <c r="W31" s="121"/>
      <c r="X31" s="121"/>
      <c r="Y31" s="121"/>
      <c r="Z31" s="121"/>
      <c r="AA31" s="122"/>
    </row>
    <row r="32" spans="1:27" ht="15" customHeight="1" x14ac:dyDescent="0.25">
      <c r="A32" s="84">
        <f ca="1">NOW()</f>
        <v>45587.582044907409</v>
      </c>
      <c r="B32" s="85"/>
      <c r="C32" s="85"/>
      <c r="D32" s="85"/>
      <c r="E32" s="85"/>
      <c r="F32" s="85"/>
      <c r="G32" s="85"/>
      <c r="H32" s="85"/>
      <c r="I32" s="86"/>
      <c r="J32" s="75"/>
      <c r="K32" s="76"/>
      <c r="L32" s="76"/>
      <c r="M32" s="76"/>
      <c r="N32" s="76"/>
      <c r="O32" s="76"/>
      <c r="P32" s="76"/>
      <c r="Q32" s="76"/>
      <c r="R32" s="77"/>
      <c r="S32" s="123"/>
      <c r="T32" s="124"/>
      <c r="U32" s="124"/>
      <c r="V32" s="124"/>
      <c r="W32" s="124"/>
      <c r="X32" s="124"/>
      <c r="Y32" s="124"/>
      <c r="Z32" s="124"/>
      <c r="AA32" s="125"/>
    </row>
    <row r="33" spans="1:27" ht="15" customHeight="1" thickBot="1" x14ac:dyDescent="0.3">
      <c r="A33" s="87"/>
      <c r="B33" s="88"/>
      <c r="C33" s="88"/>
      <c r="D33" s="88"/>
      <c r="E33" s="88"/>
      <c r="F33" s="88"/>
      <c r="G33" s="88"/>
      <c r="H33" s="88"/>
      <c r="I33" s="89"/>
      <c r="J33" s="81"/>
      <c r="K33" s="82"/>
      <c r="L33" s="82"/>
      <c r="M33" s="82"/>
      <c r="N33" s="82"/>
      <c r="O33" s="82"/>
      <c r="P33" s="82"/>
      <c r="Q33" s="82"/>
      <c r="R33" s="83"/>
      <c r="S33" s="126"/>
      <c r="T33" s="127"/>
      <c r="U33" s="127"/>
      <c r="V33" s="127"/>
      <c r="W33" s="127"/>
      <c r="X33" s="127"/>
      <c r="Y33" s="127"/>
      <c r="Z33" s="127"/>
      <c r="AA33" s="128"/>
    </row>
    <row r="34" spans="1:27" ht="15" customHeight="1" x14ac:dyDescent="0.25">
      <c r="A34" s="72" t="s">
        <v>17</v>
      </c>
      <c r="B34" s="73"/>
      <c r="C34" s="73"/>
      <c r="D34" s="73"/>
      <c r="E34" s="73"/>
      <c r="F34" s="73"/>
      <c r="G34" s="73"/>
      <c r="H34" s="73"/>
      <c r="I34" s="74"/>
      <c r="J34" s="75" t="s">
        <v>17</v>
      </c>
      <c r="K34" s="76"/>
      <c r="L34" s="76"/>
      <c r="M34" s="76"/>
      <c r="N34" s="76"/>
      <c r="O34" s="76"/>
      <c r="P34" s="76"/>
      <c r="Q34" s="76"/>
      <c r="R34" s="77"/>
      <c r="S34" s="129" t="s">
        <v>18</v>
      </c>
      <c r="T34" s="130"/>
      <c r="U34" s="130"/>
      <c r="V34" s="130"/>
      <c r="W34" s="130"/>
      <c r="X34" s="130"/>
      <c r="Y34" s="130"/>
      <c r="Z34" s="130"/>
      <c r="AA34" s="131"/>
    </row>
    <row r="35" spans="1:27" ht="15" customHeight="1" x14ac:dyDescent="0.25">
      <c r="A35" s="78"/>
      <c r="B35" s="79"/>
      <c r="C35" s="79"/>
      <c r="D35" s="79"/>
      <c r="E35" s="79"/>
      <c r="F35" s="79"/>
      <c r="G35" s="79"/>
      <c r="H35" s="79"/>
      <c r="I35" s="80"/>
      <c r="J35" s="78"/>
      <c r="K35" s="79"/>
      <c r="L35" s="79"/>
      <c r="M35" s="79"/>
      <c r="N35" s="79"/>
      <c r="O35" s="79"/>
      <c r="P35" s="79"/>
      <c r="Q35" s="79"/>
      <c r="R35" s="80"/>
      <c r="S35" s="132"/>
      <c r="T35" s="133"/>
      <c r="U35" s="133"/>
      <c r="V35" s="133"/>
      <c r="W35" s="133"/>
      <c r="X35" s="133"/>
      <c r="Y35" s="133"/>
      <c r="Z35" s="133"/>
      <c r="AA35" s="134"/>
    </row>
    <row r="36" spans="1:27" ht="15" customHeight="1" x14ac:dyDescent="0.25">
      <c r="A36" s="23"/>
      <c r="B36" s="24"/>
      <c r="C36" s="24"/>
      <c r="D36" s="24"/>
      <c r="E36" s="24"/>
      <c r="F36" s="24"/>
      <c r="G36" s="24"/>
      <c r="H36" s="24"/>
      <c r="I36" s="25"/>
      <c r="J36" s="23"/>
      <c r="K36" s="24"/>
      <c r="L36" s="24"/>
      <c r="M36" s="24"/>
      <c r="N36" s="24"/>
      <c r="O36" s="24"/>
      <c r="P36" s="24"/>
      <c r="Q36" s="24"/>
      <c r="R36" s="25"/>
      <c r="S36" s="132"/>
      <c r="T36" s="133"/>
      <c r="U36" s="133"/>
      <c r="V36" s="133"/>
      <c r="W36" s="133"/>
      <c r="X36" s="133"/>
      <c r="Y36" s="133"/>
      <c r="Z36" s="133"/>
      <c r="AA36" s="134"/>
    </row>
    <row r="37" spans="1:27" ht="15" customHeight="1" x14ac:dyDescent="0.25">
      <c r="A37" s="78"/>
      <c r="B37" s="79"/>
      <c r="C37" s="79"/>
      <c r="D37" s="79"/>
      <c r="E37" s="79"/>
      <c r="F37" s="79"/>
      <c r="G37" s="79"/>
      <c r="H37" s="79"/>
      <c r="I37" s="80"/>
      <c r="J37" s="117"/>
      <c r="K37" s="118"/>
      <c r="L37" s="118"/>
      <c r="M37" s="118"/>
      <c r="N37" s="118"/>
      <c r="O37" s="118"/>
      <c r="P37" s="118"/>
      <c r="Q37" s="118"/>
      <c r="R37" s="119"/>
      <c r="S37" s="132"/>
      <c r="T37" s="133"/>
      <c r="U37" s="133"/>
      <c r="V37" s="133"/>
      <c r="W37" s="133"/>
      <c r="X37" s="133"/>
      <c r="Y37" s="133"/>
      <c r="Z37" s="133"/>
      <c r="AA37" s="134"/>
    </row>
    <row r="38" spans="1:27" ht="15" customHeight="1" x14ac:dyDescent="0.25">
      <c r="A38" s="23"/>
      <c r="B38" s="24"/>
      <c r="C38" s="24"/>
      <c r="D38" s="24"/>
      <c r="E38" s="24"/>
      <c r="F38" s="24"/>
      <c r="G38" s="24"/>
      <c r="H38" s="24"/>
      <c r="I38" s="25"/>
      <c r="J38" s="117"/>
      <c r="K38" s="118"/>
      <c r="L38" s="118"/>
      <c r="M38" s="118"/>
      <c r="N38" s="118"/>
      <c r="O38" s="118"/>
      <c r="P38" s="118"/>
      <c r="Q38" s="118"/>
      <c r="R38" s="119"/>
      <c r="S38" s="132"/>
      <c r="T38" s="133"/>
      <c r="U38" s="133"/>
      <c r="V38" s="133"/>
      <c r="W38" s="133"/>
      <c r="X38" s="133"/>
      <c r="Y38" s="133"/>
      <c r="Z38" s="133"/>
      <c r="AA38" s="134"/>
    </row>
    <row r="39" spans="1:27" ht="15" customHeight="1" thickBot="1" x14ac:dyDescent="0.3">
      <c r="A39" s="15"/>
      <c r="B39" s="16"/>
      <c r="C39" s="16"/>
      <c r="D39" s="16"/>
      <c r="E39" s="16"/>
      <c r="F39" s="16"/>
      <c r="G39" s="16"/>
      <c r="H39" s="16"/>
      <c r="I39" s="17"/>
      <c r="J39" s="16"/>
      <c r="K39" s="16"/>
      <c r="L39" s="16"/>
      <c r="M39" s="16"/>
      <c r="N39" s="16"/>
      <c r="O39" s="16"/>
      <c r="P39" s="16"/>
      <c r="Q39" s="16"/>
      <c r="R39" s="17"/>
      <c r="S39" s="135"/>
      <c r="T39" s="136"/>
      <c r="U39" s="136"/>
      <c r="V39" s="136"/>
      <c r="W39" s="136"/>
      <c r="X39" s="136"/>
      <c r="Y39" s="136"/>
      <c r="Z39" s="136"/>
      <c r="AA39" s="137"/>
    </row>
    <row r="40" spans="1:27" ht="15" customHeight="1" x14ac:dyDescent="0.25">
      <c r="A40" s="20"/>
      <c r="Y40" s="116"/>
      <c r="Z40" s="116"/>
      <c r="AA40" s="116"/>
    </row>
    <row r="44" spans="1:27" ht="15" customHeight="1" x14ac:dyDescent="0.25">
      <c r="D44" s="53"/>
    </row>
  </sheetData>
  <sheetProtection selectLockedCells="1" selectUnlockedCells="1"/>
  <protectedRanges>
    <protectedRange sqref="D48 J68 S72 D50:D51 A68 D84 J104 S108 D86:D87 A104" name="Rango1"/>
    <protectedRange sqref="D7 S34 A12 A30 J30" name="Rango1_1"/>
  </protectedRanges>
  <mergeCells count="35">
    <mergeCell ref="A2:F2"/>
    <mergeCell ref="J35:R35"/>
    <mergeCell ref="Y40:AA40"/>
    <mergeCell ref="A29:I29"/>
    <mergeCell ref="J29:R29"/>
    <mergeCell ref="S29:AA29"/>
    <mergeCell ref="J37:R37"/>
    <mergeCell ref="J38:R38"/>
    <mergeCell ref="S31:AA33"/>
    <mergeCell ref="S34:AA39"/>
    <mergeCell ref="A37:I37"/>
    <mergeCell ref="A30:I30"/>
    <mergeCell ref="J30:R30"/>
    <mergeCell ref="S30:AA30"/>
    <mergeCell ref="A31:I31"/>
    <mergeCell ref="A35:I35"/>
    <mergeCell ref="A3:AA3"/>
    <mergeCell ref="A4:AA4"/>
    <mergeCell ref="A6:AA6"/>
    <mergeCell ref="A27:AA27"/>
    <mergeCell ref="A18:AA26"/>
    <mergeCell ref="A17:AA17"/>
    <mergeCell ref="S7:U7"/>
    <mergeCell ref="V7:AA7"/>
    <mergeCell ref="A14:C14"/>
    <mergeCell ref="D14:I14"/>
    <mergeCell ref="D7:R7"/>
    <mergeCell ref="A12:O12"/>
    <mergeCell ref="R15:Z15"/>
    <mergeCell ref="A9:O10"/>
    <mergeCell ref="A34:I34"/>
    <mergeCell ref="J34:R34"/>
    <mergeCell ref="J31:R31"/>
    <mergeCell ref="J32:R33"/>
    <mergeCell ref="A32:I33"/>
  </mergeCells>
  <phoneticPr fontId="0" type="noConversion"/>
  <printOptions horizontalCentered="1" verticalCentered="1"/>
  <pageMargins left="0" right="0" top="0.59055118110236227" bottom="0.59055118110236227" header="0.39370078740157483" footer="0"/>
  <pageSetup orientation="portrait" horizontalDpi="120" verticalDpi="144" r:id="rId1"/>
  <headerFooter alignWithMargins="0">
    <oddHeader>&amp;L&amp;F&amp;R&amp;A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712613-15FE-4707-9B60-874F484E69A5}">
          <x14:formula1>
            <xm:f>PARÁMETROS!$B$3:$B$40</xm:f>
          </x14:formula1>
          <xm:sqref>A30:R30</xm:sqref>
        </x14:dataValidation>
        <x14:dataValidation type="list" allowBlank="1" showInputMessage="1" showErrorMessage="1" xr:uid="{FF902073-6E31-4625-B4E9-FCA7F6DB15BA}">
          <x14:formula1>
            <xm:f>PARÁMETROS!$L$3:$L$6</xm:f>
          </x14:formula1>
          <xm:sqref>S34:AA39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C1EA-F58D-436E-B197-D255780A3982}">
  <dimension ref="A1:AA35"/>
  <sheetViews>
    <sheetView topLeftCell="A17" zoomScale="85" zoomScaleNormal="85" workbookViewId="0">
      <selection activeCell="O35" sqref="O35"/>
    </sheetView>
  </sheetViews>
  <sheetFormatPr baseColWidth="10" defaultColWidth="3.77734375" defaultRowHeight="15" customHeight="1" x14ac:dyDescent="0.25"/>
  <cols>
    <col min="1" max="2" width="3.77734375" style="27" customWidth="1"/>
    <col min="3" max="3" width="5.77734375" style="27" customWidth="1"/>
    <col min="4" max="8" width="3.77734375" style="27" customWidth="1"/>
    <col min="9" max="9" width="3" style="27" customWidth="1"/>
    <col min="10" max="17" width="3.77734375" style="27" customWidth="1"/>
    <col min="18" max="18" width="8.6640625" style="27" customWidth="1"/>
    <col min="19" max="27" width="3.77734375" style="27" customWidth="1"/>
    <col min="28" max="16384" width="3.77734375" style="27"/>
  </cols>
  <sheetData>
    <row r="1" spans="1:27" ht="15" customHeight="1" thickBot="1" x14ac:dyDescent="0.3"/>
    <row r="2" spans="1:27" ht="6" hidden="1" customHeight="1" thickBot="1" x14ac:dyDescent="0.3">
      <c r="A2" s="196"/>
      <c r="B2" s="196"/>
      <c r="C2" s="196"/>
      <c r="D2" s="196"/>
      <c r="E2" s="196"/>
      <c r="F2" s="196"/>
    </row>
    <row r="3" spans="1:27" ht="15" hidden="1" customHeight="1" thickBot="1" x14ac:dyDescent="0.3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</row>
    <row r="4" spans="1:27" ht="18.75" customHeight="1" thickBot="1" x14ac:dyDescent="0.3">
      <c r="A4" s="198" t="s">
        <v>19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200"/>
    </row>
    <row r="5" spans="1:27" ht="0.75" customHeight="1" thickBot="1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  <c r="Y5" s="29"/>
      <c r="Z5" s="29"/>
      <c r="AA5" s="29"/>
    </row>
    <row r="6" spans="1:27" ht="15" customHeight="1" x14ac:dyDescent="0.25">
      <c r="A6" s="157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9"/>
    </row>
    <row r="7" spans="1:27" ht="20.100000000000001" customHeight="1" x14ac:dyDescent="0.25">
      <c r="A7" s="30" t="s">
        <v>2</v>
      </c>
      <c r="D7" s="201">
        <f>+CASO!D7</f>
        <v>0</v>
      </c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2" t="s">
        <v>3</v>
      </c>
      <c r="T7" s="202"/>
      <c r="U7" s="202"/>
      <c r="V7" s="201">
        <f>+CASO!V7</f>
        <v>0</v>
      </c>
      <c r="W7" s="201"/>
      <c r="X7" s="201"/>
      <c r="Y7" s="201"/>
      <c r="Z7" s="201"/>
      <c r="AA7" s="203"/>
    </row>
    <row r="8" spans="1:27" ht="20.100000000000001" customHeight="1" x14ac:dyDescent="0.25">
      <c r="A8" s="30" t="s">
        <v>4</v>
      </c>
      <c r="C8" s="31"/>
      <c r="D8" s="204">
        <f>+CASO!A9</f>
        <v>0</v>
      </c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5"/>
      <c r="T8" s="205"/>
      <c r="U8" s="205"/>
      <c r="V8" s="204"/>
      <c r="W8" s="204"/>
      <c r="X8" s="204"/>
      <c r="Y8" s="204"/>
      <c r="Z8" s="204"/>
      <c r="AA8" s="206"/>
    </row>
    <row r="9" spans="1:27" ht="24" customHeight="1" thickBot="1" x14ac:dyDescent="0.3">
      <c r="A9" s="32" t="s">
        <v>20</v>
      </c>
      <c r="B9" s="33"/>
      <c r="C9" s="33"/>
      <c r="D9" s="207">
        <f>+CASO!A12</f>
        <v>0</v>
      </c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8" t="s">
        <v>6</v>
      </c>
      <c r="T9" s="208"/>
      <c r="U9" s="208"/>
      <c r="V9" s="209">
        <f>+CASO!D14</f>
        <v>0</v>
      </c>
      <c r="W9" s="209"/>
      <c r="X9" s="209"/>
      <c r="Y9" s="209"/>
      <c r="Z9" s="209"/>
      <c r="AA9" s="210"/>
    </row>
    <row r="10" spans="1:27" ht="0.75" hidden="1" customHeight="1" thickBot="1" x14ac:dyDescent="0.3">
      <c r="A10" s="30"/>
      <c r="D10" s="34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5"/>
      <c r="W10" s="35"/>
      <c r="X10" s="35"/>
      <c r="Y10" s="35"/>
      <c r="Z10" s="35"/>
      <c r="AA10" s="36"/>
    </row>
    <row r="11" spans="1:27" ht="19.5" hidden="1" customHeight="1" thickBot="1" x14ac:dyDescent="0.3">
      <c r="A11" s="37"/>
      <c r="J11" s="38"/>
      <c r="K11" s="38"/>
      <c r="L11" s="38"/>
      <c r="M11" s="38"/>
      <c r="N11" s="38"/>
      <c r="O11" s="38"/>
      <c r="P11" s="38"/>
      <c r="Q11" s="38"/>
      <c r="R11" s="38"/>
      <c r="AA11" s="39"/>
    </row>
    <row r="12" spans="1:27" ht="15" hidden="1" customHeight="1" thickBot="1" x14ac:dyDescent="0.3">
      <c r="A12" s="211" t="s">
        <v>7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3"/>
    </row>
    <row r="13" spans="1:27" ht="18.75" customHeight="1" thickBot="1" x14ac:dyDescent="0.3">
      <c r="A13" s="172" t="s">
        <v>21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4"/>
    </row>
    <row r="14" spans="1:27" ht="29.25" customHeight="1" x14ac:dyDescent="0.25">
      <c r="A14" s="163" t="s">
        <v>22</v>
      </c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5"/>
    </row>
    <row r="15" spans="1:27" ht="20.100000000000001" customHeight="1" x14ac:dyDescent="0.25">
      <c r="A15" s="166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8"/>
    </row>
    <row r="16" spans="1:27" ht="30" customHeight="1" x14ac:dyDescent="0.25">
      <c r="A16" s="166"/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8"/>
    </row>
    <row r="17" spans="1:27" ht="24.75" customHeight="1" x14ac:dyDescent="0.25">
      <c r="A17" s="166"/>
      <c r="B17" s="167"/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8"/>
    </row>
    <row r="18" spans="1:27" ht="39" customHeight="1" x14ac:dyDescent="0.25">
      <c r="A18" s="166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8"/>
    </row>
    <row r="19" spans="1:27" ht="33" customHeight="1" x14ac:dyDescent="0.25">
      <c r="A19" s="166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8"/>
    </row>
    <row r="20" spans="1:27" ht="19.5" customHeight="1" x14ac:dyDescent="0.25">
      <c r="A20" s="166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8"/>
    </row>
    <row r="21" spans="1:27" ht="63.75" customHeight="1" x14ac:dyDescent="0.25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1"/>
    </row>
    <row r="22" spans="1:27" ht="15" customHeight="1" thickBot="1" x14ac:dyDescent="0.3">
      <c r="A22" s="172" t="s">
        <v>23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4"/>
    </row>
    <row r="23" spans="1:27" ht="105" customHeight="1" thickBot="1" x14ac:dyDescent="0.3">
      <c r="A23" s="175"/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7"/>
    </row>
    <row r="24" spans="1:27" ht="15" customHeight="1" thickBot="1" x14ac:dyDescent="0.3">
      <c r="A24" s="157"/>
      <c r="B24" s="158"/>
      <c r="C24" s="158"/>
      <c r="D24" s="158"/>
      <c r="E24" s="158"/>
      <c r="F24" s="158"/>
      <c r="G24" s="158"/>
      <c r="H24" s="158"/>
      <c r="I24" s="159"/>
      <c r="J24" s="172" t="s">
        <v>24</v>
      </c>
      <c r="K24" s="173"/>
      <c r="L24" s="173"/>
      <c r="M24" s="173"/>
      <c r="N24" s="173"/>
      <c r="O24" s="173"/>
      <c r="P24" s="173"/>
      <c r="Q24" s="173"/>
      <c r="R24" s="174"/>
      <c r="S24" s="172" t="s">
        <v>25</v>
      </c>
      <c r="T24" s="173"/>
      <c r="U24" s="173"/>
      <c r="V24" s="173"/>
      <c r="W24" s="173"/>
      <c r="X24" s="173"/>
      <c r="Y24" s="173"/>
      <c r="Z24" s="173"/>
      <c r="AA24" s="174"/>
    </row>
    <row r="25" spans="1:27" ht="27" customHeight="1" thickBot="1" x14ac:dyDescent="0.3">
      <c r="A25" s="178"/>
      <c r="B25" s="179"/>
      <c r="C25" s="179"/>
      <c r="D25" s="179"/>
      <c r="E25" s="179"/>
      <c r="F25" s="179"/>
      <c r="G25" s="179"/>
      <c r="H25" s="179"/>
      <c r="I25" s="180"/>
      <c r="J25" s="181" t="s">
        <v>26</v>
      </c>
      <c r="K25" s="182"/>
      <c r="L25" s="182"/>
      <c r="M25" s="182"/>
      <c r="N25" s="182"/>
      <c r="O25" s="182"/>
      <c r="P25" s="182"/>
      <c r="Q25" s="182"/>
      <c r="R25" s="183"/>
      <c r="S25" s="184">
        <f ca="1">TODAY()</f>
        <v>45587</v>
      </c>
      <c r="T25" s="185"/>
      <c r="U25" s="185"/>
      <c r="V25" s="185"/>
      <c r="W25" s="185"/>
      <c r="X25" s="185"/>
      <c r="Y25" s="185"/>
      <c r="Z25" s="185"/>
      <c r="AA25" s="186"/>
    </row>
    <row r="26" spans="1:27" ht="15" hidden="1" customHeight="1" thickBot="1" x14ac:dyDescent="0.3">
      <c r="A26" s="178"/>
      <c r="B26" s="179"/>
      <c r="C26" s="179"/>
      <c r="D26" s="179"/>
      <c r="E26" s="179"/>
      <c r="F26" s="179"/>
      <c r="G26" s="179"/>
      <c r="H26" s="179"/>
      <c r="I26" s="180"/>
      <c r="J26" s="172" t="s">
        <v>16</v>
      </c>
      <c r="K26" s="173"/>
      <c r="L26" s="173"/>
      <c r="M26" s="173"/>
      <c r="N26" s="173"/>
      <c r="O26" s="173"/>
      <c r="P26" s="173"/>
      <c r="Q26" s="173"/>
      <c r="R26" s="174"/>
      <c r="S26" s="187"/>
      <c r="T26" s="188"/>
      <c r="U26" s="188"/>
      <c r="V26" s="188"/>
      <c r="W26" s="188"/>
      <c r="X26" s="188"/>
      <c r="Y26" s="188"/>
      <c r="Z26" s="188"/>
      <c r="AA26" s="189"/>
    </row>
    <row r="27" spans="1:27" ht="15" hidden="1" customHeight="1" thickBot="1" x14ac:dyDescent="0.3">
      <c r="A27" s="178"/>
      <c r="B27" s="179"/>
      <c r="C27" s="179"/>
      <c r="D27" s="179"/>
      <c r="E27" s="179"/>
      <c r="F27" s="179"/>
      <c r="G27" s="179"/>
      <c r="H27" s="179"/>
      <c r="I27" s="180"/>
      <c r="J27" s="193"/>
      <c r="K27" s="194"/>
      <c r="L27" s="194"/>
      <c r="M27" s="194"/>
      <c r="N27" s="194"/>
      <c r="O27" s="194"/>
      <c r="P27" s="194"/>
      <c r="Q27" s="194"/>
      <c r="R27" s="195"/>
      <c r="S27" s="190"/>
      <c r="T27" s="191"/>
      <c r="U27" s="191"/>
      <c r="V27" s="191"/>
      <c r="W27" s="191"/>
      <c r="X27" s="191"/>
      <c r="Y27" s="191"/>
      <c r="Z27" s="191"/>
      <c r="AA27" s="192"/>
    </row>
    <row r="28" spans="1:27" ht="15" hidden="1" customHeight="1" thickBot="1" x14ac:dyDescent="0.3">
      <c r="A28" s="178"/>
      <c r="B28" s="179"/>
      <c r="C28" s="179"/>
      <c r="D28" s="179"/>
      <c r="E28" s="179"/>
      <c r="F28" s="179"/>
      <c r="G28" s="179"/>
      <c r="H28" s="179"/>
      <c r="I28" s="180"/>
      <c r="J28" s="193"/>
      <c r="K28" s="194"/>
      <c r="L28" s="194"/>
      <c r="M28" s="194"/>
      <c r="N28" s="194"/>
      <c r="O28" s="194"/>
      <c r="P28" s="194"/>
      <c r="Q28" s="194"/>
      <c r="R28" s="195"/>
      <c r="S28" s="190"/>
      <c r="T28" s="191"/>
      <c r="U28" s="191"/>
      <c r="V28" s="191"/>
      <c r="W28" s="191"/>
      <c r="X28" s="191"/>
      <c r="Y28" s="191"/>
      <c r="Z28" s="191"/>
      <c r="AA28" s="192"/>
    </row>
    <row r="29" spans="1:27" ht="15" customHeight="1" thickBot="1" x14ac:dyDescent="0.3">
      <c r="A29" s="178"/>
      <c r="B29" s="179"/>
      <c r="C29" s="179"/>
      <c r="D29" s="179"/>
      <c r="E29" s="179"/>
      <c r="F29" s="179"/>
      <c r="G29" s="179"/>
      <c r="H29" s="179"/>
      <c r="I29" s="180"/>
      <c r="J29" s="145" t="s">
        <v>17</v>
      </c>
      <c r="K29" s="146"/>
      <c r="L29" s="146"/>
      <c r="M29" s="146"/>
      <c r="N29" s="146"/>
      <c r="O29" s="146"/>
      <c r="P29" s="146"/>
      <c r="Q29" s="146"/>
      <c r="R29" s="147"/>
      <c r="S29" s="148"/>
      <c r="T29" s="149"/>
      <c r="U29" s="149"/>
      <c r="V29" s="149"/>
      <c r="W29" s="149"/>
      <c r="X29" s="149"/>
      <c r="Y29" s="149"/>
      <c r="Z29" s="149"/>
      <c r="AA29" s="150"/>
    </row>
    <row r="30" spans="1:27" ht="12" customHeight="1" x14ac:dyDescent="0.25">
      <c r="A30" s="178"/>
      <c r="B30" s="179"/>
      <c r="C30" s="179"/>
      <c r="D30" s="179"/>
      <c r="E30" s="179"/>
      <c r="F30" s="179"/>
      <c r="G30" s="179"/>
      <c r="H30" s="179"/>
      <c r="I30" s="180"/>
      <c r="J30" s="157"/>
      <c r="K30" s="158"/>
      <c r="L30" s="158"/>
      <c r="M30" s="158"/>
      <c r="N30" s="158"/>
      <c r="O30" s="158"/>
      <c r="P30" s="158"/>
      <c r="Q30" s="158"/>
      <c r="R30" s="159"/>
      <c r="S30" s="151"/>
      <c r="T30" s="152"/>
      <c r="U30" s="152"/>
      <c r="V30" s="152"/>
      <c r="W30" s="152"/>
      <c r="X30" s="152"/>
      <c r="Y30" s="152"/>
      <c r="Z30" s="152"/>
      <c r="AA30" s="153"/>
    </row>
    <row r="31" spans="1:27" ht="15" hidden="1" customHeight="1" x14ac:dyDescent="0.25">
      <c r="A31" s="178"/>
      <c r="B31" s="179"/>
      <c r="C31" s="179"/>
      <c r="D31" s="179"/>
      <c r="E31" s="179"/>
      <c r="F31" s="179"/>
      <c r="G31" s="179"/>
      <c r="H31" s="179"/>
      <c r="I31" s="180"/>
      <c r="J31" s="160"/>
      <c r="K31" s="161"/>
      <c r="L31" s="161"/>
      <c r="M31" s="161"/>
      <c r="N31" s="161"/>
      <c r="O31" s="161"/>
      <c r="P31" s="161"/>
      <c r="Q31" s="161"/>
      <c r="R31" s="162"/>
      <c r="S31" s="151"/>
      <c r="T31" s="152"/>
      <c r="U31" s="152"/>
      <c r="V31" s="152"/>
      <c r="W31" s="152"/>
      <c r="X31" s="152"/>
      <c r="Y31" s="152"/>
      <c r="Z31" s="152"/>
      <c r="AA31" s="153"/>
    </row>
    <row r="32" spans="1:27" ht="25.5" customHeight="1" x14ac:dyDescent="0.25">
      <c r="A32" s="178"/>
      <c r="B32" s="179"/>
      <c r="C32" s="179"/>
      <c r="D32" s="179"/>
      <c r="E32" s="179"/>
      <c r="F32" s="179"/>
      <c r="G32" s="179"/>
      <c r="H32" s="179"/>
      <c r="I32" s="180"/>
      <c r="J32" s="160"/>
      <c r="K32" s="161"/>
      <c r="L32" s="161"/>
      <c r="M32" s="161"/>
      <c r="N32" s="161"/>
      <c r="O32" s="161"/>
      <c r="P32" s="161"/>
      <c r="Q32" s="161"/>
      <c r="R32" s="162"/>
      <c r="S32" s="151"/>
      <c r="T32" s="152"/>
      <c r="U32" s="152"/>
      <c r="V32" s="152"/>
      <c r="W32" s="152"/>
      <c r="X32" s="152"/>
      <c r="Y32" s="152"/>
      <c r="Z32" s="152"/>
      <c r="AA32" s="153"/>
    </row>
    <row r="33" spans="1:27" ht="0.75" customHeight="1" thickBot="1" x14ac:dyDescent="0.3">
      <c r="A33" s="40"/>
      <c r="B33" s="41"/>
      <c r="C33" s="41"/>
      <c r="D33" s="41"/>
      <c r="E33" s="41"/>
      <c r="F33" s="41"/>
      <c r="G33" s="41"/>
      <c r="H33" s="41"/>
      <c r="I33" s="42"/>
      <c r="J33" s="40"/>
      <c r="K33" s="41"/>
      <c r="L33" s="41"/>
      <c r="M33" s="41"/>
      <c r="N33" s="41"/>
      <c r="O33" s="41"/>
      <c r="P33" s="41"/>
      <c r="Q33" s="41"/>
      <c r="R33" s="42"/>
      <c r="S33" s="154"/>
      <c r="T33" s="155"/>
      <c r="U33" s="155"/>
      <c r="V33" s="155"/>
      <c r="W33" s="155"/>
      <c r="X33" s="155"/>
      <c r="Y33" s="155"/>
      <c r="Z33" s="155"/>
      <c r="AA33" s="156"/>
    </row>
    <row r="34" spans="1:27" ht="52.5" customHeight="1" x14ac:dyDescent="0.25">
      <c r="A34" s="43"/>
      <c r="Y34" s="144"/>
      <c r="Z34" s="144"/>
      <c r="AA34" s="144"/>
    </row>
    <row r="35" spans="1:27" ht="63.75" customHeight="1" x14ac:dyDescent="0.25"/>
  </sheetData>
  <sheetProtection selectLockedCells="1" selectUnlockedCells="1"/>
  <protectedRanges>
    <protectedRange sqref="A14 A23 J25" name="Rango1"/>
  </protectedRanges>
  <mergeCells count="30">
    <mergeCell ref="A13:AA13"/>
    <mergeCell ref="A2:F2"/>
    <mergeCell ref="A3:AA3"/>
    <mergeCell ref="A4:AA4"/>
    <mergeCell ref="A6:AA6"/>
    <mergeCell ref="D7:R7"/>
    <mergeCell ref="S7:U7"/>
    <mergeCell ref="V7:AA7"/>
    <mergeCell ref="D8:AA8"/>
    <mergeCell ref="D9:R9"/>
    <mergeCell ref="S9:U9"/>
    <mergeCell ref="V9:AA9"/>
    <mergeCell ref="A12:AA12"/>
    <mergeCell ref="A14:AA21"/>
    <mergeCell ref="A22:AA22"/>
    <mergeCell ref="A23:AA23"/>
    <mergeCell ref="J24:R24"/>
    <mergeCell ref="S24:AA24"/>
    <mergeCell ref="A24:I32"/>
    <mergeCell ref="J25:R25"/>
    <mergeCell ref="S25:AA25"/>
    <mergeCell ref="J26:R26"/>
    <mergeCell ref="S26:AA28"/>
    <mergeCell ref="J27:R28"/>
    <mergeCell ref="Y34:AA34"/>
    <mergeCell ref="J29:R29"/>
    <mergeCell ref="S29:AA33"/>
    <mergeCell ref="J30:R30"/>
    <mergeCell ref="J31:R31"/>
    <mergeCell ref="J32:R32"/>
  </mergeCells>
  <printOptions horizontalCentered="1" verticalCentered="1"/>
  <pageMargins left="0" right="0" top="0.59055118110236227" bottom="0.59055118110236227" header="0.39370078740157483" footer="0"/>
  <pageSetup scale="95" orientation="portrait" horizontalDpi="120" verticalDpi="144" r:id="rId1"/>
  <headerFooter alignWithMargins="0">
    <oddHeader>&amp;L&amp;F&amp;R&amp;A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67F7526-A963-4BE3-9B1C-E88F3FEE6937}">
          <x14:formula1>
            <xm:f>PARÁMETROS!$B$3:$B$28</xm:f>
          </x14:formula1>
          <xm:sqref>J25:R25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61"/>
  <sheetViews>
    <sheetView topLeftCell="A15" workbookViewId="0">
      <selection activeCell="D27" sqref="D27"/>
    </sheetView>
  </sheetViews>
  <sheetFormatPr baseColWidth="10" defaultColWidth="11.44140625" defaultRowHeight="13.2" x14ac:dyDescent="0.25"/>
  <cols>
    <col min="2" max="2" width="27.5546875" bestFit="1" customWidth="1"/>
    <col min="3" max="3" width="22" bestFit="1" customWidth="1"/>
    <col min="4" max="4" width="57.44140625" bestFit="1" customWidth="1"/>
    <col min="6" max="6" width="13.33203125" customWidth="1"/>
    <col min="7" max="7" width="9.21875" customWidth="1"/>
    <col min="8" max="8" width="35.5546875" customWidth="1"/>
    <col min="9" max="9" width="26.44140625" customWidth="1"/>
    <col min="10" max="10" width="14.5546875" customWidth="1"/>
    <col min="12" max="12" width="110.88671875" bestFit="1" customWidth="1"/>
  </cols>
  <sheetData>
    <row r="2" spans="1:13" x14ac:dyDescent="0.25">
      <c r="H2" s="26" t="s">
        <v>27</v>
      </c>
      <c r="I2" s="26" t="s">
        <v>28</v>
      </c>
      <c r="J2" s="26" t="s">
        <v>29</v>
      </c>
      <c r="L2" s="214" t="s">
        <v>12</v>
      </c>
      <c r="M2" s="214"/>
    </row>
    <row r="3" spans="1:13" ht="52.8" x14ac:dyDescent="0.25">
      <c r="A3">
        <v>1</v>
      </c>
      <c r="B3" s="45" t="s">
        <v>30</v>
      </c>
      <c r="C3" s="49" t="s">
        <v>31</v>
      </c>
      <c r="D3" s="49" t="s">
        <v>32</v>
      </c>
      <c r="E3" s="45">
        <v>26952401</v>
      </c>
      <c r="H3" s="11" t="s">
        <v>33</v>
      </c>
      <c r="I3" s="11" t="s">
        <v>34</v>
      </c>
      <c r="J3" s="11">
        <v>42</v>
      </c>
      <c r="L3" s="18" t="s">
        <v>18</v>
      </c>
      <c r="M3" s="14">
        <v>3</v>
      </c>
    </row>
    <row r="4" spans="1:13" ht="39.6" x14ac:dyDescent="0.4">
      <c r="A4">
        <v>2</v>
      </c>
      <c r="B4" s="45" t="s">
        <v>35</v>
      </c>
      <c r="C4" s="47" t="s">
        <v>36</v>
      </c>
      <c r="D4" s="49" t="s">
        <v>37</v>
      </c>
      <c r="E4" s="45">
        <v>26952403</v>
      </c>
      <c r="H4" s="11" t="s">
        <v>38</v>
      </c>
      <c r="I4" s="11" t="s">
        <v>39</v>
      </c>
      <c r="J4" s="11">
        <v>9</v>
      </c>
      <c r="L4" s="18" t="s">
        <v>40</v>
      </c>
      <c r="M4" s="14">
        <v>3</v>
      </c>
    </row>
    <row r="5" spans="1:13" ht="39.6" x14ac:dyDescent="0.25">
      <c r="A5">
        <v>3</v>
      </c>
      <c r="B5" s="45" t="s">
        <v>41</v>
      </c>
      <c r="C5" s="49" t="s">
        <v>42</v>
      </c>
      <c r="D5" s="49" t="s">
        <v>43</v>
      </c>
      <c r="E5" s="45">
        <v>26952408</v>
      </c>
      <c r="H5" s="11" t="s">
        <v>44</v>
      </c>
      <c r="I5" s="11" t="s">
        <v>39</v>
      </c>
      <c r="J5" s="11">
        <v>9</v>
      </c>
      <c r="L5" s="18" t="s">
        <v>45</v>
      </c>
      <c r="M5" s="14">
        <v>10</v>
      </c>
    </row>
    <row r="6" spans="1:13" ht="26.4" x14ac:dyDescent="0.25">
      <c r="A6">
        <v>4</v>
      </c>
      <c r="B6" s="45" t="s">
        <v>46</v>
      </c>
      <c r="C6" s="49" t="s">
        <v>47</v>
      </c>
      <c r="D6" s="49" t="s">
        <v>43</v>
      </c>
      <c r="E6" s="45">
        <v>26952406</v>
      </c>
      <c r="H6" s="11" t="s">
        <v>48</v>
      </c>
      <c r="I6" s="11" t="s">
        <v>49</v>
      </c>
      <c r="J6" s="11">
        <v>8</v>
      </c>
      <c r="L6" s="19" t="s">
        <v>50</v>
      </c>
      <c r="M6" s="14">
        <v>3</v>
      </c>
    </row>
    <row r="7" spans="1:13" ht="39.6" x14ac:dyDescent="0.25">
      <c r="A7">
        <v>5</v>
      </c>
      <c r="B7" s="45" t="s">
        <v>14</v>
      </c>
      <c r="C7" s="49" t="s">
        <v>51</v>
      </c>
      <c r="D7" s="49" t="s">
        <v>43</v>
      </c>
      <c r="E7" s="45">
        <v>26952405</v>
      </c>
      <c r="H7" s="11" t="s">
        <v>52</v>
      </c>
      <c r="I7" s="11" t="s">
        <v>39</v>
      </c>
      <c r="J7" s="11">
        <v>9</v>
      </c>
    </row>
    <row r="8" spans="1:13" ht="39.6" x14ac:dyDescent="0.25">
      <c r="A8">
        <v>6</v>
      </c>
      <c r="B8" s="45" t="s">
        <v>26</v>
      </c>
      <c r="C8" s="49" t="s">
        <v>53</v>
      </c>
      <c r="D8" s="49" t="s">
        <v>54</v>
      </c>
      <c r="E8" s="45">
        <v>26952427</v>
      </c>
      <c r="H8" s="11" t="s">
        <v>55</v>
      </c>
      <c r="I8" s="11" t="s">
        <v>39</v>
      </c>
      <c r="J8" s="11">
        <v>13</v>
      </c>
    </row>
    <row r="9" spans="1:13" ht="39.6" x14ac:dyDescent="0.25">
      <c r="A9">
        <v>7</v>
      </c>
      <c r="B9" s="45" t="s">
        <v>56</v>
      </c>
      <c r="C9" s="50" t="s">
        <v>57</v>
      </c>
      <c r="D9" s="49" t="s">
        <v>58</v>
      </c>
      <c r="E9" s="45">
        <v>26952415</v>
      </c>
      <c r="H9" s="11" t="s">
        <v>59</v>
      </c>
      <c r="I9" s="11" t="s">
        <v>60</v>
      </c>
      <c r="J9" s="11">
        <v>37</v>
      </c>
    </row>
    <row r="10" spans="1:13" x14ac:dyDescent="0.25">
      <c r="A10">
        <v>8</v>
      </c>
      <c r="B10" s="45" t="s">
        <v>61</v>
      </c>
      <c r="C10" s="49" t="s">
        <v>62</v>
      </c>
      <c r="D10" s="49" t="s">
        <v>63</v>
      </c>
      <c r="E10" s="48">
        <v>26952414</v>
      </c>
      <c r="H10" s="11" t="s">
        <v>64</v>
      </c>
      <c r="I10" s="11" t="s">
        <v>65</v>
      </c>
      <c r="J10" s="11">
        <v>13</v>
      </c>
    </row>
    <row r="11" spans="1:13" ht="26.4" x14ac:dyDescent="0.25">
      <c r="A11">
        <v>9</v>
      </c>
      <c r="B11" s="45" t="s">
        <v>66</v>
      </c>
      <c r="C11" s="50" t="s">
        <v>67</v>
      </c>
      <c r="D11" s="49" t="s">
        <v>68</v>
      </c>
      <c r="E11" s="45">
        <v>26952428</v>
      </c>
      <c r="H11" s="11" t="s">
        <v>69</v>
      </c>
      <c r="I11" s="11" t="s">
        <v>70</v>
      </c>
      <c r="J11" s="11">
        <v>4</v>
      </c>
    </row>
    <row r="12" spans="1:13" ht="52.8" x14ac:dyDescent="0.25">
      <c r="A12">
        <v>10</v>
      </c>
      <c r="B12" s="45" t="s">
        <v>71</v>
      </c>
      <c r="C12" s="46" t="s">
        <v>72</v>
      </c>
      <c r="D12" s="45" t="s">
        <v>73</v>
      </c>
      <c r="E12" s="45">
        <v>26952421</v>
      </c>
      <c r="H12" s="13" t="s">
        <v>74</v>
      </c>
      <c r="I12" s="13" t="s">
        <v>75</v>
      </c>
      <c r="J12" s="13">
        <v>11</v>
      </c>
    </row>
    <row r="13" spans="1:13" ht="52.8" x14ac:dyDescent="0.25">
      <c r="A13">
        <v>11</v>
      </c>
      <c r="B13" s="45" t="s">
        <v>76</v>
      </c>
      <c r="C13" s="51" t="s">
        <v>77</v>
      </c>
      <c r="D13" s="49" t="s">
        <v>78</v>
      </c>
      <c r="E13" s="45">
        <v>26952415</v>
      </c>
      <c r="H13" s="11" t="s">
        <v>79</v>
      </c>
      <c r="I13" s="11" t="s">
        <v>39</v>
      </c>
      <c r="J13" s="11">
        <v>9</v>
      </c>
    </row>
    <row r="14" spans="1:13" x14ac:dyDescent="0.25">
      <c r="A14">
        <v>12</v>
      </c>
      <c r="B14" s="45" t="s">
        <v>80</v>
      </c>
      <c r="C14" s="50" t="s">
        <v>81</v>
      </c>
      <c r="D14" s="49" t="s">
        <v>82</v>
      </c>
      <c r="E14" s="45">
        <v>26952435</v>
      </c>
      <c r="H14" s="11" t="s">
        <v>83</v>
      </c>
      <c r="I14" s="11" t="s">
        <v>65</v>
      </c>
      <c r="J14" s="11">
        <v>1</v>
      </c>
    </row>
    <row r="15" spans="1:13" x14ac:dyDescent="0.25">
      <c r="A15">
        <v>13</v>
      </c>
      <c r="B15" s="45" t="s">
        <v>84</v>
      </c>
      <c r="C15" s="49" t="s">
        <v>85</v>
      </c>
      <c r="D15" s="49" t="s">
        <v>86</v>
      </c>
      <c r="E15" s="45">
        <v>26952434</v>
      </c>
      <c r="H15" s="13" t="s">
        <v>87</v>
      </c>
      <c r="I15" s="13" t="s">
        <v>88</v>
      </c>
      <c r="J15" s="13">
        <v>74</v>
      </c>
    </row>
    <row r="16" spans="1:13" ht="39.6" x14ac:dyDescent="0.25">
      <c r="A16">
        <v>14</v>
      </c>
      <c r="B16" s="45" t="s">
        <v>89</v>
      </c>
      <c r="C16" s="49" t="s">
        <v>90</v>
      </c>
      <c r="D16" s="49" t="s">
        <v>91</v>
      </c>
      <c r="E16" s="45">
        <v>26952404</v>
      </c>
      <c r="H16" s="11" t="s">
        <v>92</v>
      </c>
      <c r="I16" s="11" t="s">
        <v>39</v>
      </c>
      <c r="J16" s="11">
        <v>3</v>
      </c>
    </row>
    <row r="17" spans="1:10" ht="39.6" x14ac:dyDescent="0.25">
      <c r="A17">
        <v>15</v>
      </c>
      <c r="B17" s="45" t="s">
        <v>93</v>
      </c>
      <c r="C17" s="50" t="s">
        <v>94</v>
      </c>
      <c r="D17" s="49" t="s">
        <v>95</v>
      </c>
      <c r="E17" s="45">
        <v>26952426</v>
      </c>
      <c r="H17" s="11" t="s">
        <v>96</v>
      </c>
      <c r="I17" s="11" t="s">
        <v>39</v>
      </c>
      <c r="J17" s="11">
        <v>7</v>
      </c>
    </row>
    <row r="18" spans="1:10" ht="26.4" x14ac:dyDescent="0.25">
      <c r="A18">
        <v>16</v>
      </c>
      <c r="B18" s="45" t="s">
        <v>97</v>
      </c>
      <c r="C18" s="51" t="s">
        <v>67</v>
      </c>
      <c r="D18" s="49" t="s">
        <v>98</v>
      </c>
      <c r="E18" s="45">
        <v>26952429</v>
      </c>
      <c r="H18" s="11" t="s">
        <v>99</v>
      </c>
      <c r="I18" s="11" t="s">
        <v>88</v>
      </c>
      <c r="J18" s="11">
        <v>82</v>
      </c>
    </row>
    <row r="19" spans="1:10" x14ac:dyDescent="0.25">
      <c r="A19">
        <v>17</v>
      </c>
      <c r="B19" s="45" t="s">
        <v>100</v>
      </c>
      <c r="C19" s="49" t="s">
        <v>101</v>
      </c>
      <c r="D19" s="49" t="s">
        <v>102</v>
      </c>
      <c r="E19" s="45">
        <v>26952411</v>
      </c>
      <c r="H19" s="11" t="s">
        <v>103</v>
      </c>
      <c r="I19" s="11" t="s">
        <v>104</v>
      </c>
      <c r="J19" s="11">
        <v>85</v>
      </c>
    </row>
    <row r="20" spans="1:10" x14ac:dyDescent="0.25">
      <c r="A20">
        <v>18</v>
      </c>
      <c r="B20" s="45" t="s">
        <v>105</v>
      </c>
      <c r="C20" s="49" t="s">
        <v>106</v>
      </c>
      <c r="D20" s="49" t="s">
        <v>102</v>
      </c>
      <c r="E20" s="45">
        <v>26952411</v>
      </c>
      <c r="H20" s="11" t="s">
        <v>107</v>
      </c>
      <c r="I20" s="11" t="s">
        <v>104</v>
      </c>
      <c r="J20" s="11" t="s">
        <v>108</v>
      </c>
    </row>
    <row r="21" spans="1:10" ht="39.6" x14ac:dyDescent="0.25">
      <c r="A21">
        <v>19</v>
      </c>
      <c r="B21" s="45" t="s">
        <v>109</v>
      </c>
      <c r="C21" s="49" t="s">
        <v>110</v>
      </c>
      <c r="D21" s="49" t="s">
        <v>102</v>
      </c>
      <c r="E21" s="45">
        <v>26952411</v>
      </c>
      <c r="H21" s="11" t="s">
        <v>111</v>
      </c>
      <c r="I21" s="11" t="s">
        <v>39</v>
      </c>
      <c r="J21" s="11">
        <v>10</v>
      </c>
    </row>
    <row r="22" spans="1:10" x14ac:dyDescent="0.25">
      <c r="A22">
        <v>20</v>
      </c>
      <c r="B22" s="45" t="s">
        <v>112</v>
      </c>
      <c r="C22" s="49" t="s">
        <v>113</v>
      </c>
      <c r="D22" s="49" t="s">
        <v>10</v>
      </c>
      <c r="E22" s="45">
        <v>26952410</v>
      </c>
      <c r="H22" s="11" t="s">
        <v>114</v>
      </c>
      <c r="I22" s="11" t="s">
        <v>88</v>
      </c>
      <c r="J22" s="11">
        <v>79</v>
      </c>
    </row>
    <row r="23" spans="1:10" ht="52.8" x14ac:dyDescent="0.25">
      <c r="A23">
        <v>21</v>
      </c>
      <c r="B23" s="45" t="s">
        <v>115</v>
      </c>
      <c r="C23" s="49" t="s">
        <v>116</v>
      </c>
      <c r="D23" s="49" t="s">
        <v>10</v>
      </c>
      <c r="E23" s="45">
        <v>26952407</v>
      </c>
      <c r="H23" s="11" t="s">
        <v>117</v>
      </c>
      <c r="I23" s="11" t="s">
        <v>34</v>
      </c>
      <c r="J23" s="11">
        <v>47</v>
      </c>
    </row>
    <row r="24" spans="1:10" ht="26.4" x14ac:dyDescent="0.25">
      <c r="A24">
        <v>22</v>
      </c>
      <c r="B24" s="45" t="s">
        <v>13</v>
      </c>
      <c r="C24" s="71" t="s">
        <v>118</v>
      </c>
      <c r="D24" s="49" t="s">
        <v>10</v>
      </c>
      <c r="E24" s="45"/>
      <c r="H24" s="11" t="s">
        <v>119</v>
      </c>
      <c r="I24" s="11" t="s">
        <v>70</v>
      </c>
      <c r="J24" s="11">
        <v>3</v>
      </c>
    </row>
    <row r="25" spans="1:10" ht="26.4" customHeight="1" x14ac:dyDescent="0.25">
      <c r="A25">
        <v>23</v>
      </c>
      <c r="B25" s="45" t="s">
        <v>120</v>
      </c>
      <c r="C25" s="51" t="s">
        <v>121</v>
      </c>
      <c r="D25" s="49" t="s">
        <v>10</v>
      </c>
      <c r="E25" s="45">
        <v>26952412</v>
      </c>
      <c r="H25" s="11" t="s">
        <v>122</v>
      </c>
      <c r="I25" s="11" t="s">
        <v>104</v>
      </c>
      <c r="J25" s="11">
        <v>88</v>
      </c>
    </row>
    <row r="26" spans="1:10" ht="39.6" x14ac:dyDescent="0.25">
      <c r="A26">
        <v>24</v>
      </c>
      <c r="B26" s="45" t="s">
        <v>123</v>
      </c>
      <c r="C26" s="52" t="s">
        <v>124</v>
      </c>
      <c r="D26" s="49" t="s">
        <v>10</v>
      </c>
      <c r="E26" s="45">
        <v>26952409</v>
      </c>
      <c r="H26" s="11" t="s">
        <v>125</v>
      </c>
      <c r="I26" s="11" t="s">
        <v>60</v>
      </c>
      <c r="J26" s="11">
        <v>22</v>
      </c>
    </row>
    <row r="27" spans="1:10" ht="52.8" x14ac:dyDescent="0.25">
      <c r="A27">
        <v>25</v>
      </c>
      <c r="B27" s="45" t="s">
        <v>126</v>
      </c>
      <c r="C27" s="46" t="s">
        <v>127</v>
      </c>
      <c r="D27" s="45" t="s">
        <v>128</v>
      </c>
      <c r="E27" s="45">
        <v>26952420</v>
      </c>
      <c r="H27" s="11" t="s">
        <v>129</v>
      </c>
      <c r="I27" s="12" t="s">
        <v>34</v>
      </c>
      <c r="J27" s="11">
        <v>42</v>
      </c>
    </row>
    <row r="28" spans="1:10" ht="39.6" x14ac:dyDescent="0.25">
      <c r="A28">
        <v>26</v>
      </c>
      <c r="B28" s="45" t="s">
        <v>130</v>
      </c>
      <c r="C28" s="50" t="s">
        <v>131</v>
      </c>
      <c r="D28" s="49" t="s">
        <v>132</v>
      </c>
      <c r="E28" s="45">
        <v>26952424</v>
      </c>
      <c r="H28" s="11" t="s">
        <v>133</v>
      </c>
      <c r="I28" s="11" t="s">
        <v>60</v>
      </c>
      <c r="J28" s="11">
        <v>26</v>
      </c>
    </row>
    <row r="29" spans="1:10" ht="39.6" x14ac:dyDescent="0.25">
      <c r="A29">
        <v>27</v>
      </c>
      <c r="B29" s="45" t="s">
        <v>134</v>
      </c>
      <c r="C29" s="50" t="s">
        <v>135</v>
      </c>
      <c r="D29" s="45" t="s">
        <v>136</v>
      </c>
      <c r="E29" s="45">
        <v>26952417</v>
      </c>
      <c r="H29" s="11" t="s">
        <v>137</v>
      </c>
      <c r="I29" s="11" t="s">
        <v>39</v>
      </c>
      <c r="J29" s="11">
        <v>9</v>
      </c>
    </row>
    <row r="30" spans="1:10" ht="26.4" x14ac:dyDescent="0.25">
      <c r="C30" s="9"/>
      <c r="D30" s="9"/>
      <c r="H30" s="11" t="s">
        <v>138</v>
      </c>
      <c r="I30" s="11" t="s">
        <v>104</v>
      </c>
      <c r="J30" s="11">
        <v>171</v>
      </c>
    </row>
    <row r="31" spans="1:10" x14ac:dyDescent="0.25">
      <c r="H31" s="11" t="s">
        <v>139</v>
      </c>
      <c r="I31" s="11" t="s">
        <v>88</v>
      </c>
      <c r="J31" s="11">
        <v>94</v>
      </c>
    </row>
    <row r="32" spans="1:10" ht="39.6" x14ac:dyDescent="0.25">
      <c r="C32" s="9"/>
      <c r="D32" s="9"/>
      <c r="H32" s="11" t="s">
        <v>140</v>
      </c>
      <c r="I32" s="11" t="s">
        <v>60</v>
      </c>
      <c r="J32" s="11">
        <v>14</v>
      </c>
    </row>
    <row r="33" spans="2:10" ht="26.4" x14ac:dyDescent="0.25">
      <c r="C33" s="10"/>
      <c r="H33" s="11" t="s">
        <v>141</v>
      </c>
      <c r="I33" s="11" t="s">
        <v>88</v>
      </c>
      <c r="J33" s="11">
        <v>92</v>
      </c>
    </row>
    <row r="34" spans="2:10" ht="52.8" x14ac:dyDescent="0.25">
      <c r="C34" s="10"/>
      <c r="D34" s="9"/>
      <c r="H34" s="11" t="s">
        <v>142</v>
      </c>
      <c r="I34" s="12" t="s">
        <v>34</v>
      </c>
      <c r="J34" s="11">
        <v>9</v>
      </c>
    </row>
    <row r="35" spans="2:10" ht="39.6" x14ac:dyDescent="0.25">
      <c r="H35" s="11" t="s">
        <v>143</v>
      </c>
      <c r="I35" s="11" t="s">
        <v>39</v>
      </c>
      <c r="J35" s="11">
        <v>9</v>
      </c>
    </row>
    <row r="36" spans="2:10" ht="52.8" x14ac:dyDescent="0.25">
      <c r="B36" s="44"/>
      <c r="H36" s="11" t="s">
        <v>144</v>
      </c>
      <c r="I36" s="11" t="s">
        <v>34</v>
      </c>
      <c r="J36" s="11">
        <v>12</v>
      </c>
    </row>
    <row r="37" spans="2:10" ht="52.8" x14ac:dyDescent="0.25">
      <c r="H37" s="11" t="s">
        <v>145</v>
      </c>
      <c r="I37" s="11" t="s">
        <v>34</v>
      </c>
      <c r="J37" s="11">
        <v>18</v>
      </c>
    </row>
    <row r="38" spans="2:10" x14ac:dyDescent="0.25">
      <c r="H38" s="11" t="s">
        <v>146</v>
      </c>
      <c r="I38" s="11" t="s">
        <v>147</v>
      </c>
      <c r="J38" s="11" t="s">
        <v>147</v>
      </c>
    </row>
    <row r="39" spans="2:10" ht="26.4" x14ac:dyDescent="0.25">
      <c r="H39" s="11" t="s">
        <v>148</v>
      </c>
      <c r="I39" s="11" t="s">
        <v>147</v>
      </c>
      <c r="J39" s="11" t="s">
        <v>147</v>
      </c>
    </row>
    <row r="40" spans="2:10" ht="26.4" x14ac:dyDescent="0.25">
      <c r="H40" s="11" t="s">
        <v>149</v>
      </c>
      <c r="I40" s="11" t="s">
        <v>147</v>
      </c>
      <c r="J40" s="11" t="s">
        <v>147</v>
      </c>
    </row>
    <row r="41" spans="2:10" x14ac:dyDescent="0.25">
      <c r="D41" s="9" t="s">
        <v>10</v>
      </c>
      <c r="E41">
        <v>26952426</v>
      </c>
      <c r="H41" s="11" t="s">
        <v>150</v>
      </c>
      <c r="I41" s="11" t="s">
        <v>147</v>
      </c>
      <c r="J41" s="11" t="s">
        <v>147</v>
      </c>
    </row>
    <row r="42" spans="2:10" ht="26.4" x14ac:dyDescent="0.25">
      <c r="H42" s="11" t="s">
        <v>151</v>
      </c>
      <c r="I42" s="11" t="s">
        <v>147</v>
      </c>
      <c r="J42" s="11" t="s">
        <v>147</v>
      </c>
    </row>
    <row r="43" spans="2:10" x14ac:dyDescent="0.25">
      <c r="H43" s="11" t="s">
        <v>152</v>
      </c>
      <c r="I43" s="11" t="s">
        <v>147</v>
      </c>
      <c r="J43" s="11" t="s">
        <v>147</v>
      </c>
    </row>
    <row r="44" spans="2:10" ht="39.6" x14ac:dyDescent="0.25">
      <c r="H44" s="11" t="s">
        <v>153</v>
      </c>
      <c r="I44" s="11" t="s">
        <v>60</v>
      </c>
      <c r="J44" s="11">
        <v>13</v>
      </c>
    </row>
    <row r="45" spans="2:10" x14ac:dyDescent="0.25">
      <c r="H45" s="11" t="s">
        <v>154</v>
      </c>
      <c r="I45" s="11" t="s">
        <v>155</v>
      </c>
      <c r="J45" s="11">
        <v>32</v>
      </c>
    </row>
    <row r="46" spans="2:10" x14ac:dyDescent="0.25">
      <c r="H46" s="11"/>
      <c r="I46" s="11"/>
      <c r="J46" s="11"/>
    </row>
    <row r="47" spans="2:10" x14ac:dyDescent="0.25">
      <c r="H47" s="11"/>
      <c r="I47" s="11"/>
      <c r="J47" s="11"/>
    </row>
    <row r="48" spans="2:10" x14ac:dyDescent="0.25">
      <c r="H48" s="11"/>
      <c r="I48" s="11"/>
      <c r="J48" s="11"/>
    </row>
    <row r="49" spans="8:10" x14ac:dyDescent="0.25">
      <c r="H49" s="11"/>
      <c r="I49" s="11"/>
      <c r="J49" s="11"/>
    </row>
    <row r="50" spans="8:10" x14ac:dyDescent="0.25">
      <c r="H50" s="11"/>
      <c r="I50" s="11"/>
      <c r="J50" s="11"/>
    </row>
    <row r="51" spans="8:10" x14ac:dyDescent="0.25">
      <c r="H51" s="11"/>
      <c r="I51" s="11"/>
      <c r="J51" s="11"/>
    </row>
    <row r="52" spans="8:10" x14ac:dyDescent="0.25">
      <c r="H52" s="11"/>
      <c r="I52" s="11"/>
      <c r="J52" s="11"/>
    </row>
    <row r="53" spans="8:10" x14ac:dyDescent="0.25">
      <c r="H53" s="11"/>
      <c r="I53" s="11"/>
      <c r="J53" s="11"/>
    </row>
    <row r="54" spans="8:10" x14ac:dyDescent="0.25">
      <c r="H54" s="11"/>
      <c r="I54" s="11"/>
      <c r="J54" s="11"/>
    </row>
    <row r="55" spans="8:10" x14ac:dyDescent="0.25">
      <c r="H55" s="11"/>
      <c r="I55" s="11"/>
      <c r="J55" s="11"/>
    </row>
    <row r="56" spans="8:10" x14ac:dyDescent="0.25">
      <c r="H56" s="11"/>
      <c r="I56" s="11"/>
      <c r="J56" s="11"/>
    </row>
    <row r="57" spans="8:10" x14ac:dyDescent="0.25">
      <c r="H57" s="11"/>
      <c r="I57" s="11"/>
      <c r="J57" s="11"/>
    </row>
    <row r="58" spans="8:10" x14ac:dyDescent="0.25">
      <c r="H58" s="11"/>
      <c r="I58" s="11"/>
      <c r="J58" s="11"/>
    </row>
    <row r="59" spans="8:10" x14ac:dyDescent="0.25">
      <c r="H59" s="11"/>
      <c r="I59" s="11"/>
      <c r="J59" s="11"/>
    </row>
    <row r="60" spans="8:10" x14ac:dyDescent="0.25">
      <c r="H60" s="11" t="s">
        <v>156</v>
      </c>
      <c r="I60" s="11" t="s">
        <v>147</v>
      </c>
      <c r="J60" s="11" t="s">
        <v>147</v>
      </c>
    </row>
    <row r="61" spans="8:10" x14ac:dyDescent="0.25">
      <c r="H61" s="11" t="s">
        <v>157</v>
      </c>
      <c r="I61" s="11" t="s">
        <v>157</v>
      </c>
      <c r="J61" s="11" t="s">
        <v>157</v>
      </c>
    </row>
  </sheetData>
  <sortState xmlns:xlrd2="http://schemas.microsoft.com/office/spreadsheetml/2017/richdata2" ref="B3:E29">
    <sortCondition ref="D3:D29"/>
  </sortState>
  <mergeCells count="1">
    <mergeCell ref="L2:M2"/>
  </mergeCells>
  <hyperlinks>
    <hyperlink ref="C16" r:id="rId1" xr:uid="{00000000-0004-0000-0100-000000000000}"/>
    <hyperlink ref="C5" r:id="rId2" xr:uid="{00000000-0004-0000-0100-000001000000}"/>
    <hyperlink ref="C22" r:id="rId3" xr:uid="{00000000-0004-0000-0100-000002000000}"/>
    <hyperlink ref="C19" r:id="rId4" xr:uid="{00000000-0004-0000-0100-000003000000}"/>
    <hyperlink ref="C23" r:id="rId5" xr:uid="{00000000-0004-0000-0100-000004000000}"/>
    <hyperlink ref="C18" r:id="rId6" xr:uid="{00000000-0004-0000-0100-000005000000}"/>
    <hyperlink ref="C13" r:id="rId7" xr:uid="{00000000-0004-0000-0100-000006000000}"/>
    <hyperlink ref="C21" r:id="rId8" xr:uid="{00000000-0004-0000-0100-00000B000000}"/>
    <hyperlink ref="C11" r:id="rId9" xr:uid="{1EB86AE1-7519-483D-A376-32D88D4EEEB4}"/>
    <hyperlink ref="C26" r:id="rId10" xr:uid="{54CCDFCB-AA35-4C72-8EF5-0C1F54D29C2C}"/>
    <hyperlink ref="C29" r:id="rId11" xr:uid="{D2B7B705-040E-43C4-B991-7A6068346B81}"/>
    <hyperlink ref="C20" r:id="rId12" xr:uid="{8BD3018F-1570-459A-A347-D149A8D58832}"/>
    <hyperlink ref="C3" r:id="rId13" xr:uid="{035C2AB8-33F4-405B-8CE3-3A0E463F4B23}"/>
    <hyperlink ref="C28" r:id="rId14" xr:uid="{6B477A66-220E-4BEF-9B85-98C81DDD979D}"/>
    <hyperlink ref="C9" r:id="rId15" xr:uid="{424B6C65-99FA-480D-8936-54CD26FA3ACF}"/>
    <hyperlink ref="C7" r:id="rId16" xr:uid="{3D659EA6-89BD-4801-AC17-860AA034074A}"/>
    <hyperlink ref="C25" r:id="rId17" xr:uid="{F06AE644-0643-434D-BFF6-B9177520CE78}"/>
    <hyperlink ref="C14" r:id="rId18" xr:uid="{A90C7843-188C-4718-9461-3FB3DBB6D201}"/>
    <hyperlink ref="C17" r:id="rId19" xr:uid="{4E0564C3-9E91-4A08-B02D-1D4DD182D80C}"/>
    <hyperlink ref="C12" r:id="rId20" xr:uid="{6759EAA7-A2E0-4A61-ACC8-C6037491C1C8}"/>
    <hyperlink ref="C27" r:id="rId21" xr:uid="{0169ADC9-4FEB-4044-809E-3CDF469CD8C9}"/>
    <hyperlink ref="C24" r:id="rId22" xr:uid="{5ED7ACB8-0522-43FF-B65C-1E9EAD9F7062}"/>
  </hyperlinks>
  <pageMargins left="0.7" right="0.7" top="0.75" bottom="0.75" header="0.3" footer="0.3"/>
  <pageSetup orientation="portrait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9935833AADD24FA15E15C2EC0E3986" ma:contentTypeVersion="4" ma:contentTypeDescription="Crear nuevo documento." ma:contentTypeScope="" ma:versionID="6be2310cab4795427b765e42eddcc2b3">
  <xsd:schema xmlns:xsd="http://www.w3.org/2001/XMLSchema" xmlns:xs="http://www.w3.org/2001/XMLSchema" xmlns:p="http://schemas.microsoft.com/office/2006/metadata/properties" xmlns:ns2="dc95f372-236f-49f8-af9d-4cc803f010d7" targetNamespace="http://schemas.microsoft.com/office/2006/metadata/properties" ma:root="true" ma:fieldsID="63828e8ece4e25f7a28999e81c09930e" ns2:_="">
    <xsd:import namespace="dc95f372-236f-49f8-af9d-4cc803f01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5f372-236f-49f8-af9d-4cc803f010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600709-1683-429B-A167-39AE0EC9C5C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c95f372-236f-49f8-af9d-4cc803f010d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283EB0-A38C-491E-A323-A1EFDFFD2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F7CEC2-17FC-40A4-99DF-B683977D0B50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CASO</vt:lpstr>
      <vt:lpstr>RESPUESTA</vt:lpstr>
      <vt:lpstr>PARÁMETROS</vt:lpstr>
      <vt:lpstr>CASO!Área_de_impresión</vt:lpstr>
    </vt:vector>
  </TitlesOfParts>
  <Manager/>
  <Company>Municipalidad de Tilarán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Onoris</dc:creator>
  <cp:keywords/>
  <dc:description/>
  <cp:lastModifiedBy>Zaida</cp:lastModifiedBy>
  <cp:revision/>
  <dcterms:created xsi:type="dcterms:W3CDTF">2001-07-11T14:16:01Z</dcterms:created>
  <dcterms:modified xsi:type="dcterms:W3CDTF">2024-10-22T19:58:37Z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0x010100C99935833AADD24FA15E15C2EC0E3986</vt:lpwstr>
  </property>
</Properties>
</file>