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lvarado\Downloads\"/>
    </mc:Choice>
  </mc:AlternateContent>
  <xr:revisionPtr revIDLastSave="0" documentId="13_ncr:1_{17C50119-CCFB-4996-9A68-BD3050CEA6B0}" xr6:coauthVersionLast="47" xr6:coauthVersionMax="47" xr10:uidLastSave="{00000000-0000-0000-0000-000000000000}"/>
  <bookViews>
    <workbookView xWindow="-120" yWindow="-120" windowWidth="29040" windowHeight="15720" xr2:uid="{E65660D5-C6EE-4E80-8A80-B67D003D7E75}"/>
  </bookViews>
  <sheets>
    <sheet name="FORMULARIO" sheetId="82" r:id="rId1"/>
    <sheet name="CONSTANCIA REQUISITOS" sheetId="67" state="hidden" r:id="rId2"/>
    <sheet name="TOMA DATOS" sheetId="73" state="hidden" r:id="rId3"/>
    <sheet name="ACTIVAS" sheetId="87" state="hidden" r:id="rId4"/>
    <sheet name="PARÁMETROS" sheetId="52" state="hidden" r:id="rId5"/>
    <sheet name="PROVINCIAS" sheetId="62" state="hidden" r:id="rId6"/>
    <sheet name="UNICOMER" sheetId="80" state="hidden" r:id="rId7"/>
    <sheet name="PAYUTE" sheetId="71" state="hidden" r:id="rId8"/>
    <sheet name="GESSA" sheetId="81" state="hidden" r:id="rId9"/>
    <sheet name="BNCR" sheetId="79" state="hidden" r:id="rId10"/>
    <sheet name="colono" sheetId="70" state="hidden" r:id="rId11"/>
  </sheets>
  <externalReferences>
    <externalReference r:id="rId12"/>
  </externalReferences>
  <definedNames>
    <definedName name="ABANGARES">PROVINCIAS!$G$73:$G$76</definedName>
    <definedName name="ACOSTA">PROVINCIAS!$L$13:$L$17</definedName>
    <definedName name="AGUIRRE">PROVINCIAS!$F$86:$F$88</definedName>
    <definedName name="ALAJUELA">PROVINCIAS!$B$3:$P$3</definedName>
    <definedName name="ALAJUELA_">PROVINCIAS!$A$28:$A$41</definedName>
    <definedName name="ALAJUELITA">PROVINCIAS!$J$13:$J$17</definedName>
    <definedName name="ALFARO_RUIZ">PROVINCIAS!$K$28:$K$34</definedName>
    <definedName name="ALVARADO">PROVINCIAS!$F$46:$F$48</definedName>
    <definedName name="_xlnm.Print_Area" localSheetId="1">'CONSTANCIA REQUISITOS'!$A$1:$AC$47</definedName>
    <definedName name="_xlnm.Print_Area" localSheetId="0">FORMULARIO!$A$1:$U$60</definedName>
    <definedName name="_xlnm.Print_Area" localSheetId="2">'TOMA DATOS'!$C$1:$AA$171</definedName>
    <definedName name="ASERRI">PROVINCIAS!$F$12:$F$18</definedName>
    <definedName name="ATENAS">PROVINCIAS!$E$28:$E$34</definedName>
    <definedName name="BARVA">PROVINCIAS!$B$61:$B$66</definedName>
    <definedName name="BELÉN">PROVINCIAS!$G$61:$G$63</definedName>
    <definedName name="BUENOS_AIRES">PROVINCIAS!$C$86:$C$93</definedName>
    <definedName name="CAÑAS">PROVINCIAS!$F$73:$F$77</definedName>
    <definedName name="CARRILLO">PROVINCIAS!$E$73:$E$76</definedName>
    <definedName name="CARTAGO">PROVINCIAS!$B$4:$I$4</definedName>
    <definedName name="CARTAGO_">PROVINCIAS!$A$46:$A$56</definedName>
    <definedName name="CORREDORES">PROVINCIAS!$J$86:$J$89</definedName>
    <definedName name="COTO_BRUS">PROVINCIAS!$H$86:$H$90</definedName>
    <definedName name="CURRIDABAT">PROVINCIAS!$R$13:$R$16</definedName>
    <definedName name="DESAMPARADOS">PROVINCIAS!$C$12:$C$23</definedName>
    <definedName name="DOTA">PROVINCIAS!$Q$13:$Q$15</definedName>
    <definedName name="EL_GUARCO">PROVINCIAS!$H$46:$H$49</definedName>
    <definedName name="ESCAZÚ">PROVINCIAS!$B$12:$B$14</definedName>
    <definedName name="ESPARZA">PROVINCIAS!$B$86:$B$90</definedName>
    <definedName name="FLORES">PROVINCIAS!$H$61:$H$63</definedName>
    <definedName name="GARABITO">PROVINCIAS!$K$86:$K$87</definedName>
    <definedName name="GOICOCHEA">PROVINCIAS!$H$13:$H$19</definedName>
    <definedName name="GOLFITO">PROVINCIAS!$G$86:$G$89</definedName>
    <definedName name="GRECIA">PROVINCIAS!$C$28:$C$35</definedName>
    <definedName name="GUÁCIMO">PROVINCIAS!$F$103:$F$107</definedName>
    <definedName name="GUANACASTE">PROVINCIAS!$B$6:$L$6</definedName>
    <definedName name="GUATUSO">PROVINCIAS!$O$28:$O$30</definedName>
    <definedName name="HEREDIA">PROVINCIAS!$B$5:$K$5</definedName>
    <definedName name="HEREDIA_">PROVINCIAS!$A$61:$A$65</definedName>
    <definedName name="HOJANCHA">PROVINCIAS!$K$73:$K$76</definedName>
    <definedName name="JIMÉNEZ">PROVINCIAS!$D$46:$D$48</definedName>
    <definedName name="LA_CRUZ">PROVINCIAS!$J$73:$J$76</definedName>
    <definedName name="LA_UNIÓN">PROVINCIAS!$C$46:$C$53</definedName>
    <definedName name="LEÓN_CORTES">PROVINCIAS!$T$13:$T$18</definedName>
    <definedName name="LIBERIA">PROVINCIAS!$A$73:$A$77</definedName>
    <definedName name="LIMÓN">PROVINCIAS!$B$8:$G$8</definedName>
    <definedName name="LIMÓN_">PROVINCIAS!$A$103:$A$106</definedName>
    <definedName name="LOS_CHILES">PROVINCIAS!$N$28:$N$31</definedName>
    <definedName name="MATINA">PROVINCIAS!$E$103:$E$105</definedName>
    <definedName name="MONTES_DE_OCA">PROVINCIAS!$O$13:$O$16</definedName>
    <definedName name="MONTES_DE_ORO">PROVINCIAS!$D$86:$D$88</definedName>
    <definedName name="MORA">PROVINCIAS!$G$13:$G$17</definedName>
    <definedName name="MORAVIA">PROVINCIAS!$N$13:$N$15</definedName>
    <definedName name="NANDAYURE">PROVINCIAS!$I$73:$I$78</definedName>
    <definedName name="NARANJO">PROVINCIAS!$F$28:$F$34</definedName>
    <definedName name="NICOYA">PROVINCIAS!$B$73:$B$79</definedName>
    <definedName name="OREAMUNO">PROVINCIAS!$G$46:$G$50</definedName>
    <definedName name="OROTINA">PROVINCIAS!$I$28:$I$32</definedName>
    <definedName name="OSA">PROVINCIAS!$E$86:$E$90</definedName>
    <definedName name="PALMARES">PROVINCIAS!$G$28:$G$34</definedName>
    <definedName name="PARAÍSO">PROVINCIAS!$B$46:$B$49</definedName>
    <definedName name="PARRITA">PROVINCIAS!$I$86</definedName>
    <definedName name="PEREZ_ZELEDÓN">PROVINCIAS!$S$13:$S$23</definedName>
    <definedName name="POÁS">PROVINCIAS!$H$28:$H$32</definedName>
    <definedName name="POCOCI">PROVINCIAS!$B$103:$B$108</definedName>
    <definedName name="PROVINCIA" localSheetId="1">[1]PROVINCIAS!$A$2:$A$8</definedName>
    <definedName name="PROVINCIA">PROVINCIAS!$A$2:$A$8</definedName>
    <definedName name="PUNTARENAS">PROVINCIAS!$B$7:$L$7</definedName>
    <definedName name="PUNTARENAS_">PROVINCIAS!$A$86:$A$98</definedName>
    <definedName name="PURISCAL">PROVINCIAS!$D$12:$D$20</definedName>
    <definedName name="SAN_CARLOS">PROVINCIAS!$J$28:$J$40</definedName>
    <definedName name="SAN_ISIDRO">PROVINCIAS!$F$61:$F$64</definedName>
    <definedName name="SAN_JOSE">PROVINCIAS!$B$2:$U$2</definedName>
    <definedName name="SAN_MATEO">PROVINCIAS!$D$28:$D$30</definedName>
    <definedName name="SAN_PABLO">PROVINCIAS!$I$61</definedName>
    <definedName name="SAN_RAFAEL">PROVINCIAS!$E$61:$E$65</definedName>
    <definedName name="SAN_RAMON">PROVINCIAS!$B$28:$B$40</definedName>
    <definedName name="SANTA_ANA">PROVINCIAS!$I$13:$I$18</definedName>
    <definedName name="SANTA_BÁRBARA">PROVINCIAS!$D$61:$D$66</definedName>
    <definedName name="SANTA_CRUZ">PROVINCIAS!$C$73:$C$81</definedName>
    <definedName name="SANTO_DOMINGO">PROVINCIAS!$C$61:$C$68</definedName>
    <definedName name="SARAPIQUÍ">PROVINCIAS!$J$61:$J$65</definedName>
    <definedName name="SIQUIRRES">PROVINCIAS!$C$103:$C$108</definedName>
    <definedName name="TALAMANCA">PROVINCIAS!$D$103:$D$105</definedName>
    <definedName name="TARRAZU">PROVINCIAS!$E$12:$E$14</definedName>
    <definedName name="TIBAS">PROVINCIAS!$M$13:$M$17</definedName>
    <definedName name="TILARAN">PROVINCIAS!$H$73:$H$79</definedName>
    <definedName name="_xlnm.Print_Titles" localSheetId="0">FORMULARIO!$1:$6</definedName>
    <definedName name="_xlnm.Print_Titles" localSheetId="2">'TOMA DATOS'!$50:$53</definedName>
    <definedName name="TURRIALBA">PROVINCIAS!$E$46:$E$55</definedName>
    <definedName name="TURRUBARES">PROVINCIAS!$P$13:$P$16</definedName>
    <definedName name="UPALA">PROVINCIAS!$M$28:$M$34</definedName>
    <definedName name="VALVERDE_VEGA">PROVINCIAS!$L$28:$L$32</definedName>
    <definedName name="VASQUEZ_DE_CORONADO">PROVINCIAS!$K$13:$K$17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3" i="73" l="1"/>
  <c r="N74" i="73"/>
  <c r="K9" i="73"/>
  <c r="AK916" i="87"/>
  <c r="AK915" i="87"/>
  <c r="AK914" i="87"/>
  <c r="AK913" i="87"/>
  <c r="AK912" i="87"/>
  <c r="AK911" i="87"/>
  <c r="AK910" i="87"/>
  <c r="AK909" i="87"/>
  <c r="AK908" i="87"/>
  <c r="AK907" i="87"/>
  <c r="AK906" i="87"/>
  <c r="AK905" i="87"/>
  <c r="AK904" i="87"/>
  <c r="AK903" i="87"/>
  <c r="AK902" i="87"/>
  <c r="AK901" i="87"/>
  <c r="AK900" i="87"/>
  <c r="AK899" i="87"/>
  <c r="AK898" i="87"/>
  <c r="AK897" i="87"/>
  <c r="AK896" i="87"/>
  <c r="AK895" i="87"/>
  <c r="AK894" i="87"/>
  <c r="AK893" i="87"/>
  <c r="AK892" i="87"/>
  <c r="AK891" i="87"/>
  <c r="AK890" i="87"/>
  <c r="AK889" i="87"/>
  <c r="AK888" i="87"/>
  <c r="AK887" i="87"/>
  <c r="AK886" i="87"/>
  <c r="AK885" i="87"/>
  <c r="AK884" i="87"/>
  <c r="AK883" i="87"/>
  <c r="AK882" i="87"/>
  <c r="AK881" i="87"/>
  <c r="AK880" i="87"/>
  <c r="AK879" i="87"/>
  <c r="AK878" i="87"/>
  <c r="AK877" i="87"/>
  <c r="AK876" i="87"/>
  <c r="AK875" i="87"/>
  <c r="AK874" i="87"/>
  <c r="AK873" i="87"/>
  <c r="AK872" i="87"/>
  <c r="AK871" i="87"/>
  <c r="AK870" i="87"/>
  <c r="AK869" i="87"/>
  <c r="AK868" i="87"/>
  <c r="AK867" i="87"/>
  <c r="AK866" i="87"/>
  <c r="AK865" i="87"/>
  <c r="AK864" i="87"/>
  <c r="AK863" i="87"/>
  <c r="AK862" i="87"/>
  <c r="AK861" i="87"/>
  <c r="AK860" i="87"/>
  <c r="AK859" i="87"/>
  <c r="AK858" i="87"/>
  <c r="AK857" i="87"/>
  <c r="AK856" i="87"/>
  <c r="AK855" i="87"/>
  <c r="AK854" i="87"/>
  <c r="AK853" i="87"/>
  <c r="AK852" i="87"/>
  <c r="AK851" i="87"/>
  <c r="AK850" i="87"/>
  <c r="AK849" i="87"/>
  <c r="AK848" i="87"/>
  <c r="AK847" i="87"/>
  <c r="AK846" i="87"/>
  <c r="AK845" i="87"/>
  <c r="AK844" i="87"/>
  <c r="AK843" i="87"/>
  <c r="AK842" i="87"/>
  <c r="AK841" i="87"/>
  <c r="AK840" i="87"/>
  <c r="AK839" i="87"/>
  <c r="AK838" i="87"/>
  <c r="AK837" i="87"/>
  <c r="AK836" i="87"/>
  <c r="AK835" i="87"/>
  <c r="AK834" i="87"/>
  <c r="AK833" i="87"/>
  <c r="AK832" i="87"/>
  <c r="AK831" i="87"/>
  <c r="AK830" i="87"/>
  <c r="AK829" i="87"/>
  <c r="AK828" i="87"/>
  <c r="AK827" i="87"/>
  <c r="AK826" i="87"/>
  <c r="AK825" i="87"/>
  <c r="AK824" i="87"/>
  <c r="AK823" i="87"/>
  <c r="AK822" i="87"/>
  <c r="AK821" i="87"/>
  <c r="AK820" i="87"/>
  <c r="AK819" i="87"/>
  <c r="AK818" i="87"/>
  <c r="AK817" i="87"/>
  <c r="AK816" i="87"/>
  <c r="AK815" i="87"/>
  <c r="AK814" i="87"/>
  <c r="AK813" i="87"/>
  <c r="AK812" i="87"/>
  <c r="AK811" i="87"/>
  <c r="AK810" i="87"/>
  <c r="AK809" i="87"/>
  <c r="AK808" i="87"/>
  <c r="AK807" i="87"/>
  <c r="AK806" i="87"/>
  <c r="AK805" i="87"/>
  <c r="AK804" i="87"/>
  <c r="AK803" i="87"/>
  <c r="AK802" i="87"/>
  <c r="AK801" i="87"/>
  <c r="AK800" i="87"/>
  <c r="AK799" i="87"/>
  <c r="AK798" i="87"/>
  <c r="AK797" i="87"/>
  <c r="AK796" i="87"/>
  <c r="AK795" i="87"/>
  <c r="AK794" i="87"/>
  <c r="AK793" i="87"/>
  <c r="AK792" i="87"/>
  <c r="AK791" i="87"/>
  <c r="AK790" i="87"/>
  <c r="AK789" i="87"/>
  <c r="AK788" i="87"/>
  <c r="AK787" i="87"/>
  <c r="AK786" i="87"/>
  <c r="AK785" i="87"/>
  <c r="AK784" i="87"/>
  <c r="AK783" i="87"/>
  <c r="AK782" i="87"/>
  <c r="AK781" i="87"/>
  <c r="AK780" i="87"/>
  <c r="AK779" i="87"/>
  <c r="AK778" i="87"/>
  <c r="AK777" i="87"/>
  <c r="AK776" i="87"/>
  <c r="AK775" i="87"/>
  <c r="AK774" i="87"/>
  <c r="AK773" i="87"/>
  <c r="AK772" i="87"/>
  <c r="AK771" i="87"/>
  <c r="AK770" i="87"/>
  <c r="AK769" i="87"/>
  <c r="AK768" i="87"/>
  <c r="AK767" i="87"/>
  <c r="AK766" i="87"/>
  <c r="AK765" i="87"/>
  <c r="AK764" i="87"/>
  <c r="AK763" i="87"/>
  <c r="AK762" i="87"/>
  <c r="AK761" i="87"/>
  <c r="AK760" i="87"/>
  <c r="AK759" i="87"/>
  <c r="AK758" i="87"/>
  <c r="AK757" i="87"/>
  <c r="AK756" i="87"/>
  <c r="AK755" i="87"/>
  <c r="AK754" i="87"/>
  <c r="AK753" i="87"/>
  <c r="AK752" i="87"/>
  <c r="AK751" i="87"/>
  <c r="AK750" i="87"/>
  <c r="AK749" i="87"/>
  <c r="AK748" i="87"/>
  <c r="AK747" i="87"/>
  <c r="AK746" i="87"/>
  <c r="AK745" i="87"/>
  <c r="AK744" i="87"/>
  <c r="AK743" i="87"/>
  <c r="AK742" i="87"/>
  <c r="AK741" i="87"/>
  <c r="AK740" i="87"/>
  <c r="AK739" i="87"/>
  <c r="AK738" i="87"/>
  <c r="AK737" i="87"/>
  <c r="AK736" i="87"/>
  <c r="AK735" i="87"/>
  <c r="AK734" i="87"/>
  <c r="AK733" i="87"/>
  <c r="AK732" i="87"/>
  <c r="AK731" i="87"/>
  <c r="AK730" i="87"/>
  <c r="AK729" i="87"/>
  <c r="AK728" i="87"/>
  <c r="AK727" i="87"/>
  <c r="AK726" i="87"/>
  <c r="AK725" i="87"/>
  <c r="AK724" i="87"/>
  <c r="AK723" i="87"/>
  <c r="AK722" i="87"/>
  <c r="AK721" i="87"/>
  <c r="AK720" i="87"/>
  <c r="AK719" i="87"/>
  <c r="AK718" i="87"/>
  <c r="AK717" i="87"/>
  <c r="AK716" i="87"/>
  <c r="AK715" i="87"/>
  <c r="AK714" i="87"/>
  <c r="AK713" i="87"/>
  <c r="AK712" i="87"/>
  <c r="AK711" i="87"/>
  <c r="AK710" i="87"/>
  <c r="AK709" i="87"/>
  <c r="AK708" i="87"/>
  <c r="AK707" i="87"/>
  <c r="AK706" i="87"/>
  <c r="AK705" i="87"/>
  <c r="AK704" i="87"/>
  <c r="AK703" i="87"/>
  <c r="AK702" i="87"/>
  <c r="AK701" i="87"/>
  <c r="AK700" i="87"/>
  <c r="AK699" i="87"/>
  <c r="AK698" i="87"/>
  <c r="AK697" i="87"/>
  <c r="AK696" i="87"/>
  <c r="AK695" i="87"/>
  <c r="AK694" i="87"/>
  <c r="AK693" i="87"/>
  <c r="AK692" i="87"/>
  <c r="AK691" i="87"/>
  <c r="AK690" i="87"/>
  <c r="AK689" i="87"/>
  <c r="AK688" i="87"/>
  <c r="AK687" i="87"/>
  <c r="AK686" i="87"/>
  <c r="AK685" i="87"/>
  <c r="AK684" i="87"/>
  <c r="AK683" i="87"/>
  <c r="AK682" i="87"/>
  <c r="AK681" i="87"/>
  <c r="AK680" i="87"/>
  <c r="AK679" i="87"/>
  <c r="AK678" i="87"/>
  <c r="AK677" i="87"/>
  <c r="AK676" i="87"/>
  <c r="AK675" i="87"/>
  <c r="AK674" i="87"/>
  <c r="AK673" i="87"/>
  <c r="AK672" i="87"/>
  <c r="AK671" i="87"/>
  <c r="AK670" i="87"/>
  <c r="AK669" i="87"/>
  <c r="AK668" i="87"/>
  <c r="AK667" i="87"/>
  <c r="AK666" i="87"/>
  <c r="AK665" i="87"/>
  <c r="AK664" i="87"/>
  <c r="AK663" i="87"/>
  <c r="AK662" i="87"/>
  <c r="AK661" i="87"/>
  <c r="AK660" i="87"/>
  <c r="AK659" i="87"/>
  <c r="AK658" i="87"/>
  <c r="AK657" i="87"/>
  <c r="AK656" i="87"/>
  <c r="AK655" i="87"/>
  <c r="AK654" i="87"/>
  <c r="AK653" i="87"/>
  <c r="AK652" i="87"/>
  <c r="AK651" i="87"/>
  <c r="AK650" i="87"/>
  <c r="AK649" i="87"/>
  <c r="AK648" i="87"/>
  <c r="AK647" i="87"/>
  <c r="AK646" i="87"/>
  <c r="AK645" i="87"/>
  <c r="AK644" i="87"/>
  <c r="AK643" i="87"/>
  <c r="AK642" i="87"/>
  <c r="AK641" i="87"/>
  <c r="AK640" i="87"/>
  <c r="AK639" i="87"/>
  <c r="AK638" i="87"/>
  <c r="AK637" i="87"/>
  <c r="AK636" i="87"/>
  <c r="AK635" i="87"/>
  <c r="AK634" i="87"/>
  <c r="AK633" i="87"/>
  <c r="AK632" i="87"/>
  <c r="AK631" i="87"/>
  <c r="AK630" i="87"/>
  <c r="AK629" i="87"/>
  <c r="AK628" i="87"/>
  <c r="AK627" i="87"/>
  <c r="AK626" i="87"/>
  <c r="AK625" i="87"/>
  <c r="AK624" i="87"/>
  <c r="AK623" i="87"/>
  <c r="AK622" i="87"/>
  <c r="AK621" i="87"/>
  <c r="AK620" i="87"/>
  <c r="AK619" i="87"/>
  <c r="AK618" i="87"/>
  <c r="AK617" i="87"/>
  <c r="AK616" i="87"/>
  <c r="AK615" i="87"/>
  <c r="AK614" i="87"/>
  <c r="AK613" i="87"/>
  <c r="AK612" i="87"/>
  <c r="AK611" i="87"/>
  <c r="AK610" i="87"/>
  <c r="AK609" i="87"/>
  <c r="AK608" i="87"/>
  <c r="AK607" i="87"/>
  <c r="AK606" i="87"/>
  <c r="AK605" i="87"/>
  <c r="AK604" i="87"/>
  <c r="AK603" i="87"/>
  <c r="AK602" i="87"/>
  <c r="AK601" i="87"/>
  <c r="AK600" i="87"/>
  <c r="AK599" i="87"/>
  <c r="AK598" i="87"/>
  <c r="AK597" i="87"/>
  <c r="AK596" i="87"/>
  <c r="AK595" i="87"/>
  <c r="AK594" i="87"/>
  <c r="AK593" i="87"/>
  <c r="AK592" i="87"/>
  <c r="AK591" i="87"/>
  <c r="AK590" i="87"/>
  <c r="AK589" i="87"/>
  <c r="AK588" i="87"/>
  <c r="AK587" i="87"/>
  <c r="AK586" i="87"/>
  <c r="AK585" i="87"/>
  <c r="AK584" i="87"/>
  <c r="AK583" i="87"/>
  <c r="AK582" i="87"/>
  <c r="AK581" i="87"/>
  <c r="AK580" i="87"/>
  <c r="AK579" i="87"/>
  <c r="AK578" i="87"/>
  <c r="AK577" i="87"/>
  <c r="AK576" i="87"/>
  <c r="AK575" i="87"/>
  <c r="AK574" i="87"/>
  <c r="AK573" i="87"/>
  <c r="AK572" i="87"/>
  <c r="AK571" i="87"/>
  <c r="AK570" i="87"/>
  <c r="AK569" i="87"/>
  <c r="AK568" i="87"/>
  <c r="AK567" i="87"/>
  <c r="AK566" i="87"/>
  <c r="AK565" i="87"/>
  <c r="AK564" i="87"/>
  <c r="AK563" i="87"/>
  <c r="AK562" i="87"/>
  <c r="AK561" i="87"/>
  <c r="AK560" i="87"/>
  <c r="AK559" i="87"/>
  <c r="AK558" i="87"/>
  <c r="AK557" i="87"/>
  <c r="AK556" i="87"/>
  <c r="AK555" i="87"/>
  <c r="AK554" i="87"/>
  <c r="AK553" i="87"/>
  <c r="AK552" i="87"/>
  <c r="AK551" i="87"/>
  <c r="AK550" i="87"/>
  <c r="AK549" i="87"/>
  <c r="AK548" i="87"/>
  <c r="AK547" i="87"/>
  <c r="AK546" i="87"/>
  <c r="AK545" i="87"/>
  <c r="AK544" i="87"/>
  <c r="AK543" i="87"/>
  <c r="AK542" i="87"/>
  <c r="AK541" i="87"/>
  <c r="AK540" i="87"/>
  <c r="AK539" i="87"/>
  <c r="AK538" i="87"/>
  <c r="AK537" i="87"/>
  <c r="AK536" i="87"/>
  <c r="AK535" i="87"/>
  <c r="AK534" i="87"/>
  <c r="AK533" i="87"/>
  <c r="AK532" i="87"/>
  <c r="AK531" i="87"/>
  <c r="AK530" i="87"/>
  <c r="AK529" i="87"/>
  <c r="AK528" i="87"/>
  <c r="AK527" i="87"/>
  <c r="AK526" i="87"/>
  <c r="AK525" i="87"/>
  <c r="AK524" i="87"/>
  <c r="AK523" i="87"/>
  <c r="AK522" i="87"/>
  <c r="AK521" i="87"/>
  <c r="AK520" i="87"/>
  <c r="AK519" i="87"/>
  <c r="AK518" i="87"/>
  <c r="AK517" i="87"/>
  <c r="AK516" i="87"/>
  <c r="AK515" i="87"/>
  <c r="AK514" i="87"/>
  <c r="AK513" i="87"/>
  <c r="AK512" i="87"/>
  <c r="AK511" i="87"/>
  <c r="AK510" i="87"/>
  <c r="AK509" i="87"/>
  <c r="AK508" i="87"/>
  <c r="AK507" i="87"/>
  <c r="AK506" i="87"/>
  <c r="AK505" i="87"/>
  <c r="AK504" i="87"/>
  <c r="AK503" i="87"/>
  <c r="AK502" i="87"/>
  <c r="AK501" i="87"/>
  <c r="AK500" i="87"/>
  <c r="AK499" i="87"/>
  <c r="AK498" i="87"/>
  <c r="AK497" i="87"/>
  <c r="AK496" i="87"/>
  <c r="AK495" i="87"/>
  <c r="AK494" i="87"/>
  <c r="AK493" i="87"/>
  <c r="AK492" i="87"/>
  <c r="AK491" i="87"/>
  <c r="AK490" i="87"/>
  <c r="AK489" i="87"/>
  <c r="AK488" i="87"/>
  <c r="AK487" i="87"/>
  <c r="AK486" i="87"/>
  <c r="AK485" i="87"/>
  <c r="AK484" i="87"/>
  <c r="AK483" i="87"/>
  <c r="AK482" i="87"/>
  <c r="AK481" i="87"/>
  <c r="AK480" i="87"/>
  <c r="AK479" i="87"/>
  <c r="AK478" i="87"/>
  <c r="AK477" i="87"/>
  <c r="AK476" i="87"/>
  <c r="AK475" i="87"/>
  <c r="AK474" i="87"/>
  <c r="AK473" i="87"/>
  <c r="AK472" i="87"/>
  <c r="AK471" i="87"/>
  <c r="AK470" i="87"/>
  <c r="AK469" i="87"/>
  <c r="AK468" i="87"/>
  <c r="AK467" i="87"/>
  <c r="AK466" i="87"/>
  <c r="AK465" i="87"/>
  <c r="AK464" i="87"/>
  <c r="AK463" i="87"/>
  <c r="AK462" i="87"/>
  <c r="AK461" i="87"/>
  <c r="AK460" i="87"/>
  <c r="AK459" i="87"/>
  <c r="AK458" i="87"/>
  <c r="AK457" i="87"/>
  <c r="AK456" i="87"/>
  <c r="AK455" i="87"/>
  <c r="AK454" i="87"/>
  <c r="AK453" i="87"/>
  <c r="AK452" i="87"/>
  <c r="AK451" i="87"/>
  <c r="AK450" i="87"/>
  <c r="AK449" i="87"/>
  <c r="AK448" i="87"/>
  <c r="AK447" i="87"/>
  <c r="AK446" i="87"/>
  <c r="AK445" i="87"/>
  <c r="AK444" i="87"/>
  <c r="AK443" i="87"/>
  <c r="AK442" i="87"/>
  <c r="AK441" i="87"/>
  <c r="AK440" i="87"/>
  <c r="AK439" i="87"/>
  <c r="AK438" i="87"/>
  <c r="AK437" i="87"/>
  <c r="AK436" i="87"/>
  <c r="AK435" i="87"/>
  <c r="AK434" i="87"/>
  <c r="AK433" i="87"/>
  <c r="AK432" i="87"/>
  <c r="AK431" i="87"/>
  <c r="AK430" i="87"/>
  <c r="AK429" i="87"/>
  <c r="AK428" i="87"/>
  <c r="AK427" i="87"/>
  <c r="AK426" i="87"/>
  <c r="AK425" i="87"/>
  <c r="AK424" i="87"/>
  <c r="AK423" i="87"/>
  <c r="AK422" i="87"/>
  <c r="AK421" i="87"/>
  <c r="AK420" i="87"/>
  <c r="AK419" i="87"/>
  <c r="AK418" i="87"/>
  <c r="AK417" i="87"/>
  <c r="AK416" i="87"/>
  <c r="AK415" i="87"/>
  <c r="AK414" i="87"/>
  <c r="AK413" i="87"/>
  <c r="AK412" i="87"/>
  <c r="AK411" i="87"/>
  <c r="AK410" i="87"/>
  <c r="AK409" i="87"/>
  <c r="AK408" i="87"/>
  <c r="AK407" i="87"/>
  <c r="AK406" i="87"/>
  <c r="AK405" i="87"/>
  <c r="AK404" i="87"/>
  <c r="AK403" i="87"/>
  <c r="AK402" i="87"/>
  <c r="AK401" i="87"/>
  <c r="AK400" i="87"/>
  <c r="AK399" i="87"/>
  <c r="AK398" i="87"/>
  <c r="AK397" i="87"/>
  <c r="AK396" i="87"/>
  <c r="AK395" i="87"/>
  <c r="AK394" i="87"/>
  <c r="AK393" i="87"/>
  <c r="AK392" i="87"/>
  <c r="AK391" i="87"/>
  <c r="AK390" i="87"/>
  <c r="AK389" i="87"/>
  <c r="AK388" i="87"/>
  <c r="AK387" i="87"/>
  <c r="AK386" i="87"/>
  <c r="AK385" i="87"/>
  <c r="AK384" i="87"/>
  <c r="AK383" i="87"/>
  <c r="AK382" i="87"/>
  <c r="AK381" i="87"/>
  <c r="AK380" i="87"/>
  <c r="AK379" i="87"/>
  <c r="AK378" i="87"/>
  <c r="AK377" i="87"/>
  <c r="AK376" i="87"/>
  <c r="AK375" i="87"/>
  <c r="AK374" i="87"/>
  <c r="AK373" i="87"/>
  <c r="AK372" i="87"/>
  <c r="AK371" i="87"/>
  <c r="AK370" i="87"/>
  <c r="AK369" i="87"/>
  <c r="AK368" i="87"/>
  <c r="AK367" i="87"/>
  <c r="AK366" i="87"/>
  <c r="AK365" i="87"/>
  <c r="AK364" i="87"/>
  <c r="AK363" i="87"/>
  <c r="AK362" i="87"/>
  <c r="AK361" i="87"/>
  <c r="AK360" i="87"/>
  <c r="AK359" i="87"/>
  <c r="AK358" i="87"/>
  <c r="AK357" i="87"/>
  <c r="AK356" i="87"/>
  <c r="AK355" i="87"/>
  <c r="AK354" i="87"/>
  <c r="AK353" i="87"/>
  <c r="AK352" i="87"/>
  <c r="AK351" i="87"/>
  <c r="AK350" i="87"/>
  <c r="AK349" i="87"/>
  <c r="AK348" i="87"/>
  <c r="AK347" i="87"/>
  <c r="AK346" i="87"/>
  <c r="AK345" i="87"/>
  <c r="AK344" i="87"/>
  <c r="AK343" i="87"/>
  <c r="AK342" i="87"/>
  <c r="AK341" i="87"/>
  <c r="AK340" i="87"/>
  <c r="AK339" i="87"/>
  <c r="AK338" i="87"/>
  <c r="AK337" i="87"/>
  <c r="AK336" i="87"/>
  <c r="AK335" i="87"/>
  <c r="AK334" i="87"/>
  <c r="AK333" i="87"/>
  <c r="AK332" i="87"/>
  <c r="AK331" i="87"/>
  <c r="AK330" i="87"/>
  <c r="AK329" i="87"/>
  <c r="AK328" i="87"/>
  <c r="AK327" i="87"/>
  <c r="AK326" i="87"/>
  <c r="AK325" i="87"/>
  <c r="AK324" i="87"/>
  <c r="AK323" i="87"/>
  <c r="AK322" i="87"/>
  <c r="AK321" i="87"/>
  <c r="AK320" i="87"/>
  <c r="AK319" i="87"/>
  <c r="AK318" i="87"/>
  <c r="AK317" i="87"/>
  <c r="AK316" i="87"/>
  <c r="AK315" i="87"/>
  <c r="AK314" i="87"/>
  <c r="AK313" i="87"/>
  <c r="AK312" i="87"/>
  <c r="AK311" i="87"/>
  <c r="AK310" i="87"/>
  <c r="AK309" i="87"/>
  <c r="AK308" i="87"/>
  <c r="AK307" i="87"/>
  <c r="AK306" i="87"/>
  <c r="AK305" i="87"/>
  <c r="AK304" i="87"/>
  <c r="AK303" i="87"/>
  <c r="AK302" i="87"/>
  <c r="AK301" i="87"/>
  <c r="AK300" i="87"/>
  <c r="AK299" i="87"/>
  <c r="AK298" i="87"/>
  <c r="AK297" i="87"/>
  <c r="AK296" i="87"/>
  <c r="AK295" i="87"/>
  <c r="AK294" i="87"/>
  <c r="AK293" i="87"/>
  <c r="AK292" i="87"/>
  <c r="AK291" i="87"/>
  <c r="AK290" i="87"/>
  <c r="AK289" i="87"/>
  <c r="AK288" i="87"/>
  <c r="AK287" i="87"/>
  <c r="AK286" i="87"/>
  <c r="AK285" i="87"/>
  <c r="AK284" i="87"/>
  <c r="AK283" i="87"/>
  <c r="AK282" i="87"/>
  <c r="AK281" i="87"/>
  <c r="AK280" i="87"/>
  <c r="AK279" i="87"/>
  <c r="AK278" i="87"/>
  <c r="AK277" i="87"/>
  <c r="AK276" i="87"/>
  <c r="AK275" i="87"/>
  <c r="AK274" i="87"/>
  <c r="AK273" i="87"/>
  <c r="AK272" i="87"/>
  <c r="AK271" i="87"/>
  <c r="AK270" i="87"/>
  <c r="AK269" i="87"/>
  <c r="AK268" i="87"/>
  <c r="AK267" i="87"/>
  <c r="AK266" i="87"/>
  <c r="AK265" i="87"/>
  <c r="AK264" i="87"/>
  <c r="AK263" i="87"/>
  <c r="AK262" i="87"/>
  <c r="AK261" i="87"/>
  <c r="AK260" i="87"/>
  <c r="AK259" i="87"/>
  <c r="AK258" i="87"/>
  <c r="AK257" i="87"/>
  <c r="AK256" i="87"/>
  <c r="AK255" i="87"/>
  <c r="AK254" i="87"/>
  <c r="AK253" i="87"/>
  <c r="AK252" i="87"/>
  <c r="AK251" i="87"/>
  <c r="AK250" i="87"/>
  <c r="AK249" i="87"/>
  <c r="AK248" i="87"/>
  <c r="AK247" i="87"/>
  <c r="AK246" i="87"/>
  <c r="AK245" i="87"/>
  <c r="AK244" i="87"/>
  <c r="AK243" i="87"/>
  <c r="AK242" i="87"/>
  <c r="AK241" i="87"/>
  <c r="AK240" i="87"/>
  <c r="AK239" i="87"/>
  <c r="AK238" i="87"/>
  <c r="AK237" i="87"/>
  <c r="AK236" i="87"/>
  <c r="AK235" i="87"/>
  <c r="AK234" i="87"/>
  <c r="AK233" i="87"/>
  <c r="AK232" i="87"/>
  <c r="AK231" i="87"/>
  <c r="AK230" i="87"/>
  <c r="AK229" i="87"/>
  <c r="AK228" i="87"/>
  <c r="AK227" i="87"/>
  <c r="AK226" i="87"/>
  <c r="AK225" i="87"/>
  <c r="AK224" i="87"/>
  <c r="AK223" i="87"/>
  <c r="AK222" i="87"/>
  <c r="AK221" i="87"/>
  <c r="AK220" i="87"/>
  <c r="AK219" i="87"/>
  <c r="AK218" i="87"/>
  <c r="AK217" i="87"/>
  <c r="AK216" i="87"/>
  <c r="AK215" i="87"/>
  <c r="AK214" i="87"/>
  <c r="AK213" i="87"/>
  <c r="AK212" i="87"/>
  <c r="AK211" i="87"/>
  <c r="AK210" i="87"/>
  <c r="AK209" i="87"/>
  <c r="AK208" i="87"/>
  <c r="AK207" i="87"/>
  <c r="AK206" i="87"/>
  <c r="AK205" i="87"/>
  <c r="AK204" i="87"/>
  <c r="AK203" i="87"/>
  <c r="AK202" i="87"/>
  <c r="AK201" i="87"/>
  <c r="AK200" i="87"/>
  <c r="AK199" i="87"/>
  <c r="AK198" i="87"/>
  <c r="AK197" i="87"/>
  <c r="AK196" i="87"/>
  <c r="AK195" i="87"/>
  <c r="AK194" i="87"/>
  <c r="AK193" i="87"/>
  <c r="AK192" i="87"/>
  <c r="AK191" i="87"/>
  <c r="AK190" i="87"/>
  <c r="AK189" i="87"/>
  <c r="AK188" i="87"/>
  <c r="AK187" i="87"/>
  <c r="AK186" i="87"/>
  <c r="AK185" i="87"/>
  <c r="AK184" i="87"/>
  <c r="AK183" i="87"/>
  <c r="AK182" i="87"/>
  <c r="AK181" i="87"/>
  <c r="AK180" i="87"/>
  <c r="AK179" i="87"/>
  <c r="AK178" i="87"/>
  <c r="AK177" i="87"/>
  <c r="AK176" i="87"/>
  <c r="AK175" i="87"/>
  <c r="AK174" i="87"/>
  <c r="AK173" i="87"/>
  <c r="AK172" i="87"/>
  <c r="AK171" i="87"/>
  <c r="AK170" i="87"/>
  <c r="AK169" i="87"/>
  <c r="AK168" i="87"/>
  <c r="AK167" i="87"/>
  <c r="AK166" i="87"/>
  <c r="AK165" i="87"/>
  <c r="AK164" i="87"/>
  <c r="AK163" i="87"/>
  <c r="AK162" i="87"/>
  <c r="AK161" i="87"/>
  <c r="AK160" i="87"/>
  <c r="AK159" i="87"/>
  <c r="AK158" i="87"/>
  <c r="AK157" i="87"/>
  <c r="AK156" i="87"/>
  <c r="AK155" i="87"/>
  <c r="AK154" i="87"/>
  <c r="AK153" i="87"/>
  <c r="AK152" i="87"/>
  <c r="AK151" i="87"/>
  <c r="AK150" i="87"/>
  <c r="AK149" i="87"/>
  <c r="AK148" i="87"/>
  <c r="AK147" i="87"/>
  <c r="AK146" i="87"/>
  <c r="T10" i="73" s="1"/>
  <c r="AK145" i="87"/>
  <c r="AK144" i="87"/>
  <c r="AK143" i="87"/>
  <c r="AK142" i="87"/>
  <c r="AK141" i="87"/>
  <c r="AK140" i="87"/>
  <c r="AK139" i="87"/>
  <c r="AK138" i="87"/>
  <c r="AK137" i="87"/>
  <c r="AK136" i="87"/>
  <c r="AK135" i="87"/>
  <c r="AK134" i="87"/>
  <c r="AK133" i="87"/>
  <c r="AK132" i="87"/>
  <c r="AK131" i="87"/>
  <c r="AK130" i="87"/>
  <c r="AK129" i="87"/>
  <c r="AK128" i="87"/>
  <c r="AK127" i="87"/>
  <c r="AK126" i="87"/>
  <c r="AK125" i="87"/>
  <c r="AK124" i="87"/>
  <c r="AK123" i="87"/>
  <c r="AK122" i="87"/>
  <c r="AK121" i="87"/>
  <c r="AK120" i="87"/>
  <c r="AK119" i="87"/>
  <c r="AK118" i="87"/>
  <c r="AK117" i="87"/>
  <c r="AK116" i="87"/>
  <c r="AK115" i="87"/>
  <c r="AK114" i="87"/>
  <c r="AK113" i="87"/>
  <c r="AK112" i="87"/>
  <c r="AK111" i="87"/>
  <c r="AK110" i="87"/>
  <c r="AK109" i="87"/>
  <c r="AK108" i="87"/>
  <c r="AK107" i="87"/>
  <c r="AK106" i="87"/>
  <c r="AK105" i="87"/>
  <c r="AK104" i="87"/>
  <c r="AK103" i="87"/>
  <c r="AK102" i="87"/>
  <c r="AK101" i="87"/>
  <c r="AK100" i="87"/>
  <c r="AK99" i="87"/>
  <c r="AK98" i="87"/>
  <c r="AK97" i="87"/>
  <c r="AK96" i="87"/>
  <c r="AK95" i="87"/>
  <c r="AK94" i="87"/>
  <c r="AK93" i="87"/>
  <c r="AK92" i="87"/>
  <c r="AK91" i="87"/>
  <c r="AK90" i="87"/>
  <c r="AK89" i="87"/>
  <c r="AK88" i="87"/>
  <c r="AK87" i="87"/>
  <c r="AK86" i="87"/>
  <c r="AK85" i="87"/>
  <c r="AK84" i="87"/>
  <c r="AK83" i="87"/>
  <c r="AK82" i="87"/>
  <c r="AK81" i="87"/>
  <c r="AK80" i="87"/>
  <c r="AK79" i="87"/>
  <c r="AK78" i="87"/>
  <c r="AK77" i="87"/>
  <c r="AK76" i="87"/>
  <c r="AK75" i="87"/>
  <c r="AK74" i="87"/>
  <c r="AK73" i="87"/>
  <c r="AK72" i="87"/>
  <c r="AK71" i="87"/>
  <c r="AK70" i="87"/>
  <c r="AK69" i="87"/>
  <c r="AK68" i="87"/>
  <c r="AK67" i="87"/>
  <c r="AK66" i="87"/>
  <c r="AK65" i="87"/>
  <c r="AK64" i="87"/>
  <c r="AK63" i="87"/>
  <c r="AK62" i="87"/>
  <c r="AK61" i="87"/>
  <c r="AK60" i="87"/>
  <c r="AK59" i="87"/>
  <c r="AK58" i="87"/>
  <c r="AK57" i="87"/>
  <c r="AK56" i="87"/>
  <c r="AK55" i="87"/>
  <c r="AK54" i="87"/>
  <c r="AK53" i="87"/>
  <c r="AK52" i="87"/>
  <c r="AK51" i="87"/>
  <c r="AK50" i="87"/>
  <c r="AK49" i="87"/>
  <c r="AK48" i="87"/>
  <c r="AK47" i="87"/>
  <c r="AK46" i="87"/>
  <c r="AK45" i="87"/>
  <c r="AK44" i="87"/>
  <c r="AK43" i="87"/>
  <c r="AK42" i="87"/>
  <c r="AK41" i="87"/>
  <c r="AK40" i="87"/>
  <c r="AK39" i="87"/>
  <c r="AK38" i="87"/>
  <c r="AK37" i="87"/>
  <c r="AK36" i="87"/>
  <c r="AK35" i="87"/>
  <c r="AK34" i="87"/>
  <c r="AK33" i="87"/>
  <c r="AK32" i="87"/>
  <c r="AK31" i="87"/>
  <c r="AK30" i="87"/>
  <c r="AK29" i="87"/>
  <c r="AK28" i="87"/>
  <c r="AK27" i="87"/>
  <c r="AK26" i="87"/>
  <c r="AK25" i="87"/>
  <c r="AK24" i="87"/>
  <c r="AK23" i="87"/>
  <c r="AK22" i="87"/>
  <c r="AK21" i="87"/>
  <c r="AK20" i="87"/>
  <c r="AK19" i="87"/>
  <c r="AK18" i="87"/>
  <c r="AK17" i="87"/>
  <c r="AK16" i="87"/>
  <c r="AK15" i="87"/>
  <c r="AK14" i="87"/>
  <c r="AK13" i="87"/>
  <c r="AK12" i="87"/>
  <c r="AK11" i="87"/>
  <c r="AK10" i="87"/>
  <c r="AK9" i="87"/>
  <c r="AK8" i="87"/>
  <c r="AK7" i="87"/>
  <c r="AK6" i="87"/>
  <c r="AK5" i="87"/>
  <c r="AK4" i="87"/>
  <c r="AK3" i="87"/>
  <c r="B2" i="87"/>
  <c r="C2" i="87" s="1"/>
  <c r="D2" i="87" s="1"/>
  <c r="E2" i="87" s="1"/>
  <c r="F2" i="87" s="1"/>
  <c r="G2" i="87" s="1"/>
  <c r="H2" i="87" s="1"/>
  <c r="I2" i="87" s="1"/>
  <c r="J2" i="87" s="1"/>
  <c r="K2" i="87" s="1"/>
  <c r="L2" i="87" s="1"/>
  <c r="M2" i="87" s="1"/>
  <c r="N2" i="87" s="1"/>
  <c r="O2" i="87" s="1"/>
  <c r="P2" i="87" s="1"/>
  <c r="Q2" i="87" s="1"/>
  <c r="R2" i="87" s="1"/>
  <c r="S2" i="87" s="1"/>
  <c r="T2" i="87" s="1"/>
  <c r="U2" i="87" s="1"/>
  <c r="V2" i="87" s="1"/>
  <c r="W2" i="87" s="1"/>
  <c r="X2" i="87" s="1"/>
  <c r="Y2" i="87" s="1"/>
  <c r="Z2" i="87" s="1"/>
  <c r="AA2" i="87" s="1"/>
  <c r="AB2" i="87" s="1"/>
  <c r="AC2" i="87" s="1"/>
  <c r="AD2" i="87" s="1"/>
  <c r="AE2" i="87" s="1"/>
  <c r="AF2" i="87" s="1"/>
  <c r="AG2" i="87" s="1"/>
  <c r="AH2" i="87" s="1"/>
  <c r="AI2" i="87" s="1"/>
  <c r="AJ2" i="87" s="1"/>
  <c r="AK2" i="87" s="1"/>
  <c r="G617" i="52"/>
  <c r="G616" i="52"/>
  <c r="G615" i="52"/>
  <c r="G614" i="52"/>
  <c r="G613" i="52"/>
  <c r="V120" i="73"/>
  <c r="H68" i="73"/>
  <c r="V68" i="73" s="1"/>
  <c r="O116" i="73"/>
  <c r="H116" i="73" s="1"/>
  <c r="V116" i="73" s="1"/>
  <c r="M102" i="73"/>
  <c r="E80" i="73" l="1"/>
  <c r="E81" i="73" s="1"/>
  <c r="E90" i="73" l="1"/>
  <c r="C74" i="73"/>
  <c r="Q74" i="73" s="1"/>
  <c r="I627" i="52"/>
  <c r="B40" i="67" l="1"/>
  <c r="H12" i="67" l="1"/>
  <c r="I11" i="67"/>
  <c r="N51" i="82"/>
  <c r="A5" i="82"/>
  <c r="E8" i="81" l="1"/>
  <c r="E5" i="81"/>
  <c r="G3" i="81" s="1"/>
  <c r="P18" i="80"/>
  <c r="N18" i="80"/>
  <c r="O17" i="80" s="1"/>
  <c r="N22" i="80"/>
  <c r="P22" i="80"/>
  <c r="E10" i="80"/>
  <c r="G10" i="80" s="1"/>
  <c r="E7" i="80"/>
  <c r="F4" i="80" s="1"/>
  <c r="E8" i="79"/>
  <c r="E5" i="79"/>
  <c r="G2" i="79" s="1"/>
  <c r="F5" i="80" l="1"/>
  <c r="E13" i="80" s="1"/>
  <c r="E11" i="81"/>
  <c r="G2" i="81"/>
  <c r="E10" i="81" s="1"/>
  <c r="O16" i="80"/>
  <c r="O18" i="80" s="1"/>
  <c r="G3" i="79"/>
  <c r="E11" i="79" s="1"/>
  <c r="E10" i="79"/>
  <c r="E13" i="79" s="1"/>
  <c r="E12" i="80"/>
  <c r="E15" i="80" s="1"/>
  <c r="O21" i="80"/>
  <c r="O20" i="80"/>
  <c r="U160" i="73"/>
  <c r="E87" i="73"/>
  <c r="E88" i="73"/>
  <c r="U137" i="73"/>
  <c r="E16" i="71"/>
  <c r="F13" i="71" s="1"/>
  <c r="E17" i="71"/>
  <c r="H20" i="70"/>
  <c r="I18" i="70" s="1"/>
  <c r="H26" i="70" s="1"/>
  <c r="E13" i="81" l="1"/>
  <c r="O22" i="80"/>
  <c r="I26" i="70"/>
  <c r="H34" i="70"/>
  <c r="I34" i="70" s="1"/>
  <c r="E20" i="71"/>
  <c r="F20" i="71" s="1"/>
  <c r="I15" i="70"/>
  <c r="I16" i="70"/>
  <c r="H24" i="70" s="1"/>
  <c r="I17" i="70"/>
  <c r="H25" i="70" s="1"/>
  <c r="Q73" i="73"/>
  <c r="T73" i="73" s="1"/>
  <c r="W73" i="73" s="1"/>
  <c r="E23" i="80"/>
  <c r="G23" i="80" s="1"/>
  <c r="E22" i="80"/>
  <c r="E18" i="80"/>
  <c r="G18" i="80" s="1"/>
  <c r="E19" i="80"/>
  <c r="U139" i="73"/>
  <c r="Z58" i="73"/>
  <c r="Z157" i="73" s="1"/>
  <c r="U158" i="73" s="1"/>
  <c r="U159" i="73" s="1"/>
  <c r="G56" i="73"/>
  <c r="F14" i="71"/>
  <c r="E21" i="71" s="1"/>
  <c r="F21" i="71" s="1"/>
  <c r="H33" i="70" l="1"/>
  <c r="I33" i="70" s="1"/>
  <c r="I25" i="70"/>
  <c r="I24" i="70"/>
  <c r="H32" i="70"/>
  <c r="I32" i="70" s="1"/>
  <c r="H23" i="70"/>
  <c r="I20" i="70"/>
  <c r="T74" i="73"/>
  <c r="W74" i="73" s="1"/>
  <c r="W75" i="73" s="1"/>
  <c r="E20" i="80"/>
  <c r="G19" i="80"/>
  <c r="G20" i="80" s="1"/>
  <c r="E24" i="80"/>
  <c r="G22" i="80"/>
  <c r="G24" i="80" s="1"/>
  <c r="U145" i="73"/>
  <c r="U164" i="73" s="1"/>
  <c r="O162" i="73"/>
  <c r="U143" i="73"/>
  <c r="U142" i="73"/>
  <c r="E23" i="71"/>
  <c r="W76" i="73" l="1"/>
  <c r="W77" i="73" s="1"/>
  <c r="AB76" i="73" s="1"/>
  <c r="H31" i="70"/>
  <c r="I23" i="70"/>
  <c r="I28" i="70" s="1"/>
  <c r="H28" i="70"/>
  <c r="G26" i="80"/>
  <c r="D108" i="52"/>
  <c r="D109" i="52" s="1"/>
  <c r="D110" i="52" s="1"/>
  <c r="D111" i="52" s="1"/>
  <c r="D112" i="52" s="1"/>
  <c r="D113" i="52" s="1"/>
  <c r="D114" i="52" s="1"/>
  <c r="D115" i="52" s="1"/>
  <c r="D116" i="52" s="1"/>
  <c r="D117" i="52" s="1"/>
  <c r="D118" i="52" s="1"/>
  <c r="D119" i="52" s="1"/>
  <c r="D120" i="52" s="1"/>
  <c r="D121" i="52" s="1"/>
  <c r="D122" i="52" s="1"/>
  <c r="D123" i="52" s="1"/>
  <c r="D124" i="52" s="1"/>
  <c r="D125" i="52" s="1"/>
  <c r="D126" i="52" s="1"/>
  <c r="D127" i="52" s="1"/>
  <c r="I31" i="70" l="1"/>
  <c r="I36" i="70" s="1"/>
  <c r="H36" i="70"/>
  <c r="C585" i="52"/>
  <c r="B585" i="52"/>
  <c r="J601" i="52" l="1"/>
  <c r="I601" i="52" s="1"/>
  <c r="J600" i="52"/>
  <c r="I600" i="52" s="1"/>
  <c r="J599" i="52"/>
  <c r="I599" i="52" s="1"/>
  <c r="J598" i="52"/>
  <c r="I598" i="52" s="1"/>
  <c r="J597" i="52"/>
  <c r="I597" i="52" s="1"/>
  <c r="J596" i="52"/>
  <c r="I596" i="52" s="1"/>
  <c r="J595" i="52"/>
  <c r="I595" i="52" s="1"/>
  <c r="J594" i="52"/>
  <c r="I594" i="52" s="1"/>
  <c r="J593" i="52"/>
  <c r="I593" i="52" s="1"/>
  <c r="J592" i="52"/>
  <c r="I592" i="52" s="1"/>
  <c r="J591" i="52"/>
  <c r="I591" i="52" s="1"/>
  <c r="J590" i="52"/>
  <c r="I590" i="52" s="1"/>
  <c r="E601" i="52"/>
  <c r="F601" i="52" s="1"/>
  <c r="H601" i="52" s="1"/>
  <c r="E600" i="52"/>
  <c r="F600" i="52" s="1"/>
  <c r="H600" i="52" s="1"/>
  <c r="E599" i="52"/>
  <c r="F599" i="52" s="1"/>
  <c r="H599" i="52" s="1"/>
  <c r="E598" i="52"/>
  <c r="F598" i="52" s="1"/>
  <c r="H598" i="52" s="1"/>
  <c r="E597" i="52"/>
  <c r="F597" i="52" s="1"/>
  <c r="H597" i="52" s="1"/>
  <c r="E596" i="52"/>
  <c r="F596" i="52" s="1"/>
  <c r="H596" i="52" s="1"/>
  <c r="E595" i="52"/>
  <c r="F595" i="52" s="1"/>
  <c r="H595" i="52" s="1"/>
  <c r="E594" i="52"/>
  <c r="F594" i="52" s="1"/>
  <c r="H594" i="52" s="1"/>
  <c r="E593" i="52"/>
  <c r="F593" i="52" s="1"/>
  <c r="H593" i="52" s="1"/>
  <c r="E592" i="52"/>
  <c r="F592" i="52" s="1"/>
  <c r="H592" i="52" s="1"/>
  <c r="E591" i="52"/>
  <c r="F591" i="52" s="1"/>
  <c r="H591" i="52" s="1"/>
  <c r="E590" i="52"/>
  <c r="F590" i="52" s="1"/>
  <c r="H590" i="52" s="1"/>
  <c r="N355" i="52" l="1"/>
  <c r="N347" i="52"/>
  <c r="E84" i="73" s="1"/>
  <c r="H92" i="73" s="1"/>
  <c r="E93" i="73" s="1"/>
  <c r="N100" i="73" s="1"/>
  <c r="W101" i="73" s="1"/>
  <c r="N349" i="52"/>
  <c r="C584" i="52"/>
  <c r="B584" i="52"/>
  <c r="L92" i="73" l="1"/>
  <c r="N348" i="52"/>
  <c r="C577" i="52"/>
  <c r="C578" i="52" s="1"/>
  <c r="C579" i="52" s="1"/>
  <c r="H568" i="52"/>
  <c r="H569" i="52"/>
  <c r="H570" i="52"/>
  <c r="H571" i="52"/>
  <c r="C580" i="52"/>
  <c r="D581" i="52"/>
  <c r="D578" i="52"/>
  <c r="D579" i="52" s="1"/>
  <c r="C573" i="52"/>
  <c r="C574" i="52" s="1"/>
  <c r="C575" i="52" s="1"/>
  <c r="D574" i="52"/>
  <c r="D575" i="52" s="1"/>
  <c r="D576" i="52" s="1"/>
  <c r="C568" i="52"/>
  <c r="C569" i="52" s="1"/>
  <c r="D569" i="52"/>
  <c r="D570" i="52" s="1"/>
  <c r="D571" i="52" s="1"/>
  <c r="D572" i="52" s="1"/>
  <c r="C570" i="52" l="1"/>
  <c r="C571" i="52" s="1"/>
  <c r="C572" i="52" s="1"/>
  <c r="C576" i="52"/>
  <c r="C581" i="52"/>
  <c r="H573" i="52"/>
  <c r="D582" i="52" s="1"/>
  <c r="C582" i="52" s="1"/>
  <c r="M103" i="73" l="1"/>
  <c r="I104" i="73" s="1"/>
  <c r="K104" i="73" s="1"/>
  <c r="M104" i="73" s="1"/>
  <c r="P104" i="73" s="1"/>
  <c r="S104" i="73" s="1"/>
  <c r="W105" i="73" s="1"/>
  <c r="H112" i="73" s="1"/>
  <c r="N92" i="73"/>
  <c r="F573" i="52"/>
  <c r="W106" i="73" l="1"/>
  <c r="U138" i="73"/>
  <c r="V112" i="73" l="1"/>
  <c r="U144" i="73" s="1"/>
</calcChain>
</file>

<file path=xl/sharedStrings.xml><?xml version="1.0" encoding="utf-8"?>
<sst xmlns="http://schemas.openxmlformats.org/spreadsheetml/2006/main" count="31492" uniqueCount="8063">
  <si>
    <t>MUNICIPALIDAD DE TILARÁN</t>
  </si>
  <si>
    <t>Proceso de Servicios Ciudadanos y Técnicos</t>
  </si>
  <si>
    <t>DECLARACIÓN JURADA DEL IMPUESTO DE PATENTES PARA EL AÑO</t>
  </si>
  <si>
    <t>NOMBRE DEL PATENTADO:</t>
  </si>
  <si>
    <t>Nº CÉDULA:</t>
  </si>
  <si>
    <t>REPRESENTANTE LEGAL:</t>
  </si>
  <si>
    <t>LUGAR O MEDIO PARA NOTIFICACIONES:</t>
  </si>
  <si>
    <t>Correo electrónico</t>
  </si>
  <si>
    <t>N° CELULAR:</t>
  </si>
  <si>
    <t>CORREO ELECTRÓNICO:</t>
  </si>
  <si>
    <t>NOMBRE DEL NEGOCIO:</t>
  </si>
  <si>
    <t>N° FINCA:</t>
  </si>
  <si>
    <t>TIPO RIESGO SANITARIO PSF:</t>
  </si>
  <si>
    <t>HORA APERTURA:</t>
  </si>
  <si>
    <t>HORA CIERRE:</t>
  </si>
  <si>
    <t>BAJO LA GRAVEDAD DE JURAMENTO Y CONFORME A LAS CONDICIONES QUE ESTABLECE EL CÓDIGO DE NORMAS Y PROCEDIMIENTOS TRIBUTARIOS Y LA LEY LICENCIAS PARA LAS ACTIVIDADES LUCRATIVAS DEL CANTÓN DE TILARÁN, N°  9505-2018,  DECLARO QUE ESTE INFORME Y LOS DOCUMENTOS ADJUNTOS HAN SIDO EXAMINADOS POR MI; CONTIENEN UNA VERDADERA Y COMPLETA DECLARACIÓN, PARA EL CÁLCULO DEL IMPUESTO DE PATENTES.</t>
  </si>
  <si>
    <t xml:space="preserve">TILARÁN, </t>
  </si>
  <si>
    <t>DE</t>
  </si>
  <si>
    <t>DEL AÑO</t>
  </si>
  <si>
    <t xml:space="preserve">FIRMA DEL REPERESENTANTE LEGAL </t>
  </si>
  <si>
    <t>O PATENTADO</t>
  </si>
  <si>
    <t>ACTIVO NETO:</t>
  </si>
  <si>
    <t>¢</t>
  </si>
  <si>
    <t>VENTAS O INGRESOS BRUTOS DEL PERÍODO:</t>
  </si>
  <si>
    <t>COMPRAS DEL PERÍODO:</t>
  </si>
  <si>
    <t>PERSONAL EMPLEADO:</t>
  </si>
  <si>
    <t>Colaboradores</t>
  </si>
  <si>
    <t>CANTIDAD ANUAL DE COMBUSTIBLE VENDIDO EN litros</t>
  </si>
  <si>
    <t>INGRESO ANUAL POR OTRAS ACTIVIDADES</t>
  </si>
  <si>
    <t>Continúa al dorso…</t>
  </si>
  <si>
    <t>4. REQUISITOS</t>
  </si>
  <si>
    <t xml:space="preserve">1. En el caso de los contribuyentes del Régimen Tradicional, se deberá adjuntar copia del formulario D 101, </t>
  </si>
  <si>
    <t>IMPUESTO SOBRE UTILIDADES, correspondiente al período fiscal anterior.</t>
  </si>
  <si>
    <t xml:space="preserve">2. En el caso de los contribuyentes inscritos en el Régimen de Tributación Simplificado, deberán presentar copia </t>
  </si>
  <si>
    <t xml:space="preserve"> del formulario D 105 o DECLARACIÓN JURADA DEL RÉGIMEN DE TRIBUTACIÓN SIMPLIFICADA, correspondiente </t>
  </si>
  <si>
    <t>a  los cuatro trimestres  del período fiscal anterior.</t>
  </si>
  <si>
    <t xml:space="preserve">3. Permiso Sanitario de Funcionamiento, o Certificado Veterinario de Operación, VIGENTE. (Verificación por parte </t>
  </si>
  <si>
    <t>Administración).</t>
  </si>
  <si>
    <t>5. RECIBIDO</t>
  </si>
  <si>
    <r>
      <t xml:space="preserve">EL PRESENTE FORMULARIO DEBERÁ SER LLENADO A MÁQUINA O CON LETRA IMPRENTA Y ABSOLUTAMENTE LEGIBLE.  </t>
    </r>
    <r>
      <rPr>
        <sz val="10"/>
        <color indexed="10"/>
        <rFont val="Arial Narrow"/>
        <family val="2"/>
      </rPr>
      <t/>
    </r>
  </si>
  <si>
    <t xml:space="preserve">ADEMÁS, DEBERÁ  PRESENTARSE EN LA PLATAFORMA DE SERVICIOS ANTES DEL </t>
  </si>
  <si>
    <t>PARA CONSULTAS A LOS TELÉFONOS 26 95 24 07, 26 95 24 09, 26 95 24 10 o 26 95 24 12</t>
  </si>
  <si>
    <t>Proceso Servicios Ciudadanos y Técnicos</t>
  </si>
  <si>
    <t>Unidad Plataforma de Servicios</t>
  </si>
  <si>
    <t xml:space="preserve">CONSTANCIA DE VERIFICACIÓN DE REQUISITOS </t>
  </si>
  <si>
    <t xml:space="preserve">El(la) abajo firmante, funcionaro(a) municipal, hace constar que ante ésta administración se trámita FMT </t>
  </si>
  <si>
    <t>021 Declaración de patente para 2021 bajo las siguientes condiciones:</t>
  </si>
  <si>
    <t>Nombre del patentado:</t>
  </si>
  <si>
    <t>Cédula de identidad:</t>
  </si>
  <si>
    <t>Verificado el expediente de la solicitud, se constata la presentación de los siguientes requisitos:</t>
  </si>
  <si>
    <t>CUMPLE</t>
  </si>
  <si>
    <t>Formulario Declaración Jurada del Impuesto de patentes FMT 021 debidamente lleno</t>
  </si>
  <si>
    <t>√</t>
  </si>
  <si>
    <t>Permiso Sanitario de Funcionamiento, emitido por el Ministerio de Salud, o el SENASA, VIGENTE.</t>
  </si>
  <si>
    <t>x</t>
  </si>
  <si>
    <t>Copia Declaración Jurada del Impuesto sobre la Renta D 101</t>
  </si>
  <si>
    <t>Copias (4) Declaraciones Juradas del Régimen de Tributación Simplificada D105</t>
  </si>
  <si>
    <t>NA</t>
  </si>
  <si>
    <t xml:space="preserve">Se apercibe al solicitante que  deberá en el término de DIEZ días cumplir con el(los) requisito(s) pediente(s), caso contrario se ordenará el archivo de la solicitud sin mayor trámite.                                                                     
Tómese en cuenta que según el inciso i) del artículo 7º del Reglamento general de patentes comerciales y similares de la Municipalidad de Tilarán, la municipalidad podrá SUSPENDER la patente, cuando el patentado omita presentar la Declaración jurada de sus ventas brutas e ingresos brutos y de su renta líquida gravable, a que hace referencia el artículo 13 de éste Reglamento.                                                                                                
Finalmente, considérese lo establecido en el artículo 22º de la Ley 9505-2018: Los patentados o sujetos pasivos que no presenten dentro del término establecido la declaración jurada del impuesto, con sus anexos, se harán acreedores de una multa equivalente a un cincuenta por ciento (50%) del monto anual del impuesto pagado el año anterior, la cual deberá pagarse conjuntamente con el impuesto del trimestre siguiente a las fechas establecidas en el artículo 20 de esta ley. En ningún caso esta multa será inferior a medio salario base, al día de hoy ¢ 231.100.00. El concepto de "salario base" usado en esta Ley es el establecido en el artículo 2 de la Ley No. 7337, de 5 de mayo de 1993.
</t>
  </si>
  <si>
    <t>Annia Ramírez Rodríguez</t>
  </si>
  <si>
    <t>FORMULARIO PARA LA RECALIFICACIÓN DEL IMPUESTO DE PATENTES</t>
  </si>
  <si>
    <t>A. DATOS DEL PATENTADO</t>
  </si>
  <si>
    <t xml:space="preserve">1) Identificación patentado: </t>
  </si>
  <si>
    <t>2) Actividades autorizadas:</t>
  </si>
  <si>
    <t>3) Actividad comercial:</t>
  </si>
  <si>
    <t>Otros</t>
  </si>
  <si>
    <t xml:space="preserve">4) Horario apertura: </t>
  </si>
  <si>
    <t xml:space="preserve">5) Horario cierre: </t>
  </si>
  <si>
    <t>6) Cantidad de Trabajadores:</t>
  </si>
  <si>
    <t>7) Activo Neto</t>
  </si>
  <si>
    <t>8) Ingresos brutos del período</t>
  </si>
  <si>
    <t>9) Compras</t>
  </si>
  <si>
    <t>D. PARA USO DE LA OFICINA</t>
  </si>
  <si>
    <t>10) Verificación de requisitos:</t>
  </si>
  <si>
    <t>MUNICIPALIDAD DE TILARAN</t>
  </si>
  <si>
    <t>Recalificación anual de patentes</t>
  </si>
  <si>
    <t>INFORMACIÓN GENERAL</t>
  </si>
  <si>
    <t>PATENTADO:</t>
  </si>
  <si>
    <t>ACTIVIDADES AUTORIZADAS</t>
  </si>
  <si>
    <t>DETALLE DEL CÁLCULO DEL IMPUESTO</t>
  </si>
  <si>
    <t>A. CÁLCULO DEL IMPUESTO ( Artículo 12, LEY 9505-2018 )</t>
  </si>
  <si>
    <t>De ¢ 0,00 hasta ¢ 750,000,000,00</t>
  </si>
  <si>
    <t>De ¢750,000,001,00 hasta ¢ 1,500,000,000,00</t>
  </si>
  <si>
    <t>De ¢ 1,500,000,001,00 hasta ¢ 3,000,000,000,00</t>
  </si>
  <si>
    <t>De ¢ 3,000,000,001,00 hasta ¢ más</t>
  </si>
  <si>
    <t>IMPUESTO ANUAL</t>
  </si>
  <si>
    <t>IMPUESTO TRIMESTRAL</t>
  </si>
  <si>
    <t>B. CALCULO IMPUESTO ( Artículo 125°, inciso b) Código de Normas y Procedimientos Tributarios )</t>
  </si>
  <si>
    <t xml:space="preserve">CANTIDAD </t>
  </si>
  <si>
    <t>PUESTO</t>
  </si>
  <si>
    <t>SALARIO</t>
  </si>
  <si>
    <t>SALARIO GRUPAL</t>
  </si>
  <si>
    <t>CARGAS SOCIALES 31.36%</t>
  </si>
  <si>
    <t>COSTO MENSUAL</t>
  </si>
  <si>
    <t xml:space="preserve">Licenciados Universitarios </t>
  </si>
  <si>
    <t>Trabajadores en Ocupación No Calificada</t>
  </si>
  <si>
    <t>COSTO ANUAL ESTIMADO POR REMUNERACIONES:</t>
  </si>
  <si>
    <t>OTROS COSTOS ANUALES ESTIMADOS:</t>
  </si>
  <si>
    <t>TOTAL COSTOS ANUALES ESTIMADOS:</t>
  </si>
  <si>
    <t>Monto</t>
  </si>
  <si>
    <t>Puntaje</t>
  </si>
  <si>
    <t>ZONA:</t>
  </si>
  <si>
    <t>Alrededores distrito</t>
  </si>
  <si>
    <t>HORARIO:</t>
  </si>
  <si>
    <t>Apertura</t>
  </si>
  <si>
    <t>Cierre</t>
  </si>
  <si>
    <t>Horas</t>
  </si>
  <si>
    <t xml:space="preserve"> - 12 horas</t>
  </si>
  <si>
    <t>PUNTAJE TOTAL:</t>
  </si>
  <si>
    <t>X</t>
  </si>
  <si>
    <t>TOTAL GASTOS ESTIMADOS:</t>
  </si>
  <si>
    <t>COSTO ANUAL ESTIMADO * ( 1+PUNTAJE TOTAL/9 )</t>
  </si>
  <si>
    <t>ACTIVIDAD COMERCIAL SEGÚN AGRUPACIÓN:</t>
  </si>
  <si>
    <t>FACTOR DE UTILIDAD:</t>
  </si>
  <si>
    <t>INGRESO BRUTO ANUAL ESPERADO:</t>
  </si>
  <si>
    <t>INGRESO BRUTO MENSUAL ESPERADO:</t>
  </si>
  <si>
    <t>C. CÁLCULO DEL IMPUESTO (Artículo 15, LEY 9505-2018 Régimen Tributación Simplificado)</t>
  </si>
  <si>
    <t>IMPUESTO ANUAL DE PATENTES AÑO ANTERIOR POR ACTIVIDAD</t>
  </si>
  <si>
    <t>IMPUESTO TRIMESTRAL DE PATENTES AÑO ANTERIOR POR ACTIVIDAD</t>
  </si>
  <si>
    <t>CALCULO IMPUESTO TRIMESTRAL</t>
  </si>
  <si>
    <t>INGRESO REPORTADO</t>
  </si>
  <si>
    <t>ARTÍCULO 12 LEY 9505-2018</t>
  </si>
  <si>
    <t>GASTOS DECLARADOS ( Inciso b) art 125 CNPT )</t>
  </si>
  <si>
    <t>AÑO ANTERIOR</t>
  </si>
  <si>
    <t>REGIMEN DE TRIBUTACIÓN SIMPLIFICADO (Art. 15 LEY 9505-2018)</t>
  </si>
  <si>
    <t>ESTIMACIÓN RELEVANTE</t>
  </si>
  <si>
    <t>IMPUESTO POR ACTIVIDAD COMERCIAL</t>
  </si>
  <si>
    <t>IMPUESTO ANUAL POR ACTIVIDAD AUTORIZADA</t>
  </si>
  <si>
    <r>
      <t xml:space="preserve">TIMBRE ANUAL 2% LEY 7788 ( </t>
    </r>
    <r>
      <rPr>
        <sz val="10"/>
        <color rgb="FFFF0000"/>
        <rFont val="Aptos Light"/>
        <family val="2"/>
      </rPr>
      <t>119102000000002</t>
    </r>
    <r>
      <rPr>
        <b/>
        <sz val="10"/>
        <color rgb="FFFF0000"/>
        <rFont val="Aptos Light"/>
        <family val="2"/>
      </rPr>
      <t xml:space="preserve"> )</t>
    </r>
  </si>
  <si>
    <t>HECHO POR:</t>
  </si>
  <si>
    <t>Yamileth Carvajal Manzanares</t>
  </si>
  <si>
    <t>REVISADO POR:</t>
  </si>
  <si>
    <t>José Antonio Rodríguez Herrera</t>
  </si>
  <si>
    <t xml:space="preserve">Identificación </t>
  </si>
  <si>
    <t>Nombre</t>
  </si>
  <si>
    <t>Nombre Representante Legal</t>
  </si>
  <si>
    <t>Identificación Representante Legal</t>
  </si>
  <si>
    <t>Tipo Identificación</t>
  </si>
  <si>
    <t>Celular</t>
  </si>
  <si>
    <t>Teléfono</t>
  </si>
  <si>
    <t>Correo</t>
  </si>
  <si>
    <t>Actividad Económica</t>
  </si>
  <si>
    <t>Nombre Comercial</t>
  </si>
  <si>
    <t>Identificación Propietario BienInmueble</t>
  </si>
  <si>
    <t>Nombre Propietario BienInmueble.</t>
  </si>
  <si>
    <t>Tipo Identificación Propietario BienInmueble</t>
  </si>
  <si>
    <t>Celular Propietario BienInmueble</t>
  </si>
  <si>
    <t>Teléfono Propietario BienInmueble</t>
  </si>
  <si>
    <t>Correo Electrónico Propietario BienInmueble</t>
  </si>
  <si>
    <t>Actividad Económica Propietario BienInmueble</t>
  </si>
  <si>
    <t>Finca</t>
  </si>
  <si>
    <t>Duplicado</t>
  </si>
  <si>
    <t>Horizontal</t>
  </si>
  <si>
    <t>Derecho</t>
  </si>
  <si>
    <t>Provincia</t>
  </si>
  <si>
    <t>Cantón</t>
  </si>
  <si>
    <t>Distrito</t>
  </si>
  <si>
    <t>Geo-referenciación-Latitud</t>
  </si>
  <si>
    <t>Geo-referenciación-Longitud</t>
  </si>
  <si>
    <t>Coordenada X</t>
  </si>
  <si>
    <t>Coordenada Y</t>
  </si>
  <si>
    <t>Dirección Física</t>
  </si>
  <si>
    <t>Número Patente</t>
  </si>
  <si>
    <t>Tipo Patente</t>
  </si>
  <si>
    <t>Tipo Temporalidad</t>
  </si>
  <si>
    <t>Monto Impuesto</t>
  </si>
  <si>
    <t>Fecha Aprobación Patente</t>
  </si>
  <si>
    <t>Fecha Cierre</t>
  </si>
  <si>
    <t>Estado</t>
  </si>
  <si>
    <t xml:space="preserve">3-101-722970 SOCIEDAD ANONIMA  </t>
  </si>
  <si>
    <t>ILEANA  SANCHEZ VALVERDE</t>
  </si>
  <si>
    <t>206350262</t>
  </si>
  <si>
    <t>1</t>
  </si>
  <si>
    <t xml:space="preserve">84199031            </t>
  </si>
  <si>
    <t>arrientos@asesortotal.com</t>
  </si>
  <si>
    <t>COSMETICOS PERFUMERIA BISUTERIA</t>
  </si>
  <si>
    <t>FARMACIA DON GERARDO TILARAN</t>
  </si>
  <si>
    <t>3101082143</t>
  </si>
  <si>
    <t xml:space="preserve">INVERSIONES NIBELUNGOS SOCIEDAD ANONIMA  </t>
  </si>
  <si>
    <t>N</t>
  </si>
  <si>
    <t xml:space="preserve">88153066            </t>
  </si>
  <si>
    <t xml:space="preserve">26955725            </t>
  </si>
  <si>
    <t>gwattsong@gmail.com</t>
  </si>
  <si>
    <t/>
  </si>
  <si>
    <t>00113261</t>
  </si>
  <si>
    <t>0</t>
  </si>
  <si>
    <t>000</t>
  </si>
  <si>
    <t>5</t>
  </si>
  <si>
    <t>08</t>
  </si>
  <si>
    <t>01</t>
  </si>
  <si>
    <t>FRENTE A GASOLINERA TILARAN</t>
  </si>
  <si>
    <t>0000000992</t>
  </si>
  <si>
    <t>C</t>
  </si>
  <si>
    <t>P</t>
  </si>
  <si>
    <t>A</t>
  </si>
  <si>
    <t>FILANDER ANDRES  SOTO CERDAS</t>
  </si>
  <si>
    <t xml:space="preserve">86913093            </t>
  </si>
  <si>
    <t>soto47916@gmail.com</t>
  </si>
  <si>
    <t>AMERICAN OUTLET</t>
  </si>
  <si>
    <t>3101309683</t>
  </si>
  <si>
    <t xml:space="preserve">AUTOTRANSPORTES JOCEKADI SOCIEDAD ANONIMA  </t>
  </si>
  <si>
    <t xml:space="preserve">88106600            </t>
  </si>
  <si>
    <t>yenuro_86@hotmail.com</t>
  </si>
  <si>
    <t>00006660</t>
  </si>
  <si>
    <t>FRENTE AL BANCO DE COSTA RICA</t>
  </si>
  <si>
    <t>0000001776</t>
  </si>
  <si>
    <t>JUANA DEL C  RODRIGUEZ VILCHEZ</t>
  </si>
  <si>
    <t xml:space="preserve">61214294            </t>
  </si>
  <si>
    <t xml:space="preserve">88233991            </t>
  </si>
  <si>
    <t>ciin.rodri@gmail.com</t>
  </si>
  <si>
    <t>H R BIZCOCHERIA ANTOJITOS DE MI TIERRA</t>
  </si>
  <si>
    <t>502970875</t>
  </si>
  <si>
    <t>HERNAN ALONSO  ROJAS HERRERA</t>
  </si>
  <si>
    <t xml:space="preserve">88486482            </t>
  </si>
  <si>
    <t>alonsorojasharh@hotmail.com</t>
  </si>
  <si>
    <t>00057576</t>
  </si>
  <si>
    <t>50 M OESTE DE LA CRUZ ROJA TILARAN</t>
  </si>
  <si>
    <t>0000001796</t>
  </si>
  <si>
    <t>ORLANDO  ALVARADO ARCE</t>
  </si>
  <si>
    <t xml:space="preserve">85366309            </t>
  </si>
  <si>
    <t>orlandoal044@gmail.com</t>
  </si>
  <si>
    <t>MINISUPER LA AMISTAD</t>
  </si>
  <si>
    <t>502640291</t>
  </si>
  <si>
    <t>00084466</t>
  </si>
  <si>
    <t>04</t>
  </si>
  <si>
    <t xml:space="preserve">200 M NORTE Y 50 OESTE DE LA IGLESIA CATOLICA LOS ANGELES </t>
  </si>
  <si>
    <t>0000001728</t>
  </si>
  <si>
    <t>TANIA  VANESSA ESPINOZA</t>
  </si>
  <si>
    <t xml:space="preserve">61069366            </t>
  </si>
  <si>
    <t xml:space="preserve">64709913            </t>
  </si>
  <si>
    <t>espinozatania568@gmail.com</t>
  </si>
  <si>
    <t>RESTAURANTE J &amp; B</t>
  </si>
  <si>
    <t>801360226</t>
  </si>
  <si>
    <t>BELKIS ONEYDA  MARADIAGA FLORES</t>
  </si>
  <si>
    <t xml:space="preserve">72630616            </t>
  </si>
  <si>
    <t>belkisoneymaradiaga@gmail.com</t>
  </si>
  <si>
    <t>00224764</t>
  </si>
  <si>
    <t>1 K CAMINO A LIBANO DEL CEMENTERIO</t>
  </si>
  <si>
    <t>0000001753</t>
  </si>
  <si>
    <t>VIRGITA DEL CARMEN  MENDEZ VEGA</t>
  </si>
  <si>
    <t xml:space="preserve">62461759            </t>
  </si>
  <si>
    <t xml:space="preserve">62222581            </t>
  </si>
  <si>
    <t>virgita17@gmail.com</t>
  </si>
  <si>
    <t>RESTAURANTE EL SABOR DE NUESTRO PUEBLO</t>
  </si>
  <si>
    <t>502710312</t>
  </si>
  <si>
    <t>00252904</t>
  </si>
  <si>
    <t>02</t>
  </si>
  <si>
    <t>DE LA IGLESIA 300M.NORTE 100M.OESTE QDA.GRANDE</t>
  </si>
  <si>
    <t>0000001744</t>
  </si>
  <si>
    <t>ALEX ANTONIO  ARTAVIA CONEJO</t>
  </si>
  <si>
    <t xml:space="preserve">84126109            </t>
  </si>
  <si>
    <t>artaviaalex01@gmail.com</t>
  </si>
  <si>
    <t>ABARROTES</t>
  </si>
  <si>
    <t>PULPERIA LA UNIÓN</t>
  </si>
  <si>
    <t>502780472</t>
  </si>
  <si>
    <t>00104267</t>
  </si>
  <si>
    <t>07</t>
  </si>
  <si>
    <t>50 DEL CRUCE DE VENADO CAMINO A FORTUNA, LA UNIÓN</t>
  </si>
  <si>
    <t>0000001230</t>
  </si>
  <si>
    <t>ANA CECILIA DEL SOCORRO  MONGE MENDOZA</t>
  </si>
  <si>
    <t xml:space="preserve">85941813            </t>
  </si>
  <si>
    <t xml:space="preserve">26951196            </t>
  </si>
  <si>
    <t>mainorlp@hotmail.com</t>
  </si>
  <si>
    <t>PULPERIA SAN RAFAEL</t>
  </si>
  <si>
    <t>601490937</t>
  </si>
  <si>
    <t>00178832</t>
  </si>
  <si>
    <t>BARRIO SAN RAFAEL LOTE # 41 LOS ANGELES TILARAN</t>
  </si>
  <si>
    <t>0000000498</t>
  </si>
  <si>
    <t>ASVIN  ELIZONDO ARIAS</t>
  </si>
  <si>
    <t xml:space="preserve">87895888            </t>
  </si>
  <si>
    <t>abastecedorlaplaza@gmail.com</t>
  </si>
  <si>
    <t>PULPERIA LA PLAZA</t>
  </si>
  <si>
    <t>602340703</t>
  </si>
  <si>
    <t>00183291</t>
  </si>
  <si>
    <t>COSTADO SUR PLAZA DEPORTES QDA AZUL</t>
  </si>
  <si>
    <t>0000000511</t>
  </si>
  <si>
    <t>CARLOS ANDRES  HERRERA RIVERA</t>
  </si>
  <si>
    <t xml:space="preserve">85711157            </t>
  </si>
  <si>
    <t xml:space="preserve">                    </t>
  </si>
  <si>
    <t>carlosherrerar81@gmail.com</t>
  </si>
  <si>
    <t>PULPERIA LULU</t>
  </si>
  <si>
    <t>501620778</t>
  </si>
  <si>
    <t>FLOR MARIA DE DOLORES  SOTO ELIZONDO</t>
  </si>
  <si>
    <t xml:space="preserve">84469153            </t>
  </si>
  <si>
    <t>florsotoelizondo@gmail.com</t>
  </si>
  <si>
    <t>00060850</t>
  </si>
  <si>
    <t>400 M ESTE DEL SALON COMUNAL BUENOS AIRES</t>
  </si>
  <si>
    <t>0000000056</t>
  </si>
  <si>
    <t>EFRAIN DE LAS PIEDADES  ARIAS ZUÑIGA</t>
  </si>
  <si>
    <t xml:space="preserve">88250549            </t>
  </si>
  <si>
    <t>darias_89@hotmail.com</t>
  </si>
  <si>
    <t>ABASTECEDOR DON EFRA</t>
  </si>
  <si>
    <t>501050720</t>
  </si>
  <si>
    <t>ANAIS MARIA DEL CARMEN  LOPEZ ARTAVIA</t>
  </si>
  <si>
    <t xml:space="preserve">87904740            </t>
  </si>
  <si>
    <t xml:space="preserve">26955642            </t>
  </si>
  <si>
    <t>00106528</t>
  </si>
  <si>
    <t>COSTADO NORTE DE LA CCSS, MINISUPER EFRAIN</t>
  </si>
  <si>
    <t>0000001994</t>
  </si>
  <si>
    <t>GERARDO MANUEL  DELGADO CERDAS</t>
  </si>
  <si>
    <t xml:space="preserve">83717783            </t>
  </si>
  <si>
    <t>gerardodelcer@gmail.com</t>
  </si>
  <si>
    <t>PULPERIA MAYNEL</t>
  </si>
  <si>
    <t>501920883</t>
  </si>
  <si>
    <t>ENA DAMARIS  RUIZ ROJAS</t>
  </si>
  <si>
    <t xml:space="preserve">84851952            </t>
  </si>
  <si>
    <t>damariruiz494@gmail.com</t>
  </si>
  <si>
    <t>00056496</t>
  </si>
  <si>
    <t>06</t>
  </si>
  <si>
    <t>CONTIGUO O IGLESIA CATOLICA DE SABALITO TIERRAS MORENAS</t>
  </si>
  <si>
    <t>0000000199</t>
  </si>
  <si>
    <t>GERSAN GERARDO  CHACON CORELLA</t>
  </si>
  <si>
    <t xml:space="preserve">83375089            </t>
  </si>
  <si>
    <t>chacon.gaby@hotmail.com</t>
  </si>
  <si>
    <t xml:space="preserve">"	 MINI SUPER GERSAN"																			</t>
  </si>
  <si>
    <t>00039313</t>
  </si>
  <si>
    <t>DIAGONAL A LA GASOLINERA TILARÁN.</t>
  </si>
  <si>
    <t>0000000001</t>
  </si>
  <si>
    <t>GIOVANNI  RAMIREZ GAMBOA</t>
  </si>
  <si>
    <t xml:space="preserve">62792322            </t>
  </si>
  <si>
    <t xml:space="preserve">26938189            </t>
  </si>
  <si>
    <t>fale16cg@hotmail.com</t>
  </si>
  <si>
    <t>"MINISUPER CRISS"</t>
  </si>
  <si>
    <t>3002066206</t>
  </si>
  <si>
    <t xml:space="preserve">ASOCIACION DESARROLLO INTEGRAL DE CABECERAS DE CAÑ  </t>
  </si>
  <si>
    <t xml:space="preserve">87134040            </t>
  </si>
  <si>
    <t>adicabeceras@gmail.com</t>
  </si>
  <si>
    <t>00161381</t>
  </si>
  <si>
    <t>50M N DEL ABAST CABECEREÑO DE CABECERAS (LOCALES COMERCIAL)</t>
  </si>
  <si>
    <t>0000000116</t>
  </si>
  <si>
    <t xml:space="preserve">GMG COMERCIAL COSTA RICA SOCIEDAD ANONIMA  </t>
  </si>
  <si>
    <t xml:space="preserve">83386185            </t>
  </si>
  <si>
    <t>gmgcr91@grupomonge.com</t>
  </si>
  <si>
    <t>MONGE TILARAN</t>
  </si>
  <si>
    <t>3101037575</t>
  </si>
  <si>
    <t xml:space="preserve">ZONA LIBRE GUANACASTECA SOCIEDAD ANONIMA  </t>
  </si>
  <si>
    <t xml:space="preserve">6690136             </t>
  </si>
  <si>
    <t>00008073</t>
  </si>
  <si>
    <t>COSTADO SUR DEL PARQUE DE TILARAN</t>
  </si>
  <si>
    <t>0000001182</t>
  </si>
  <si>
    <t>JORGE ANTONIO  HERRERA LOPEZ</t>
  </si>
  <si>
    <t xml:space="preserve">87493502            </t>
  </si>
  <si>
    <t xml:space="preserve">26955911            </t>
  </si>
  <si>
    <t>jorgeherreralopez68@gmail.com</t>
  </si>
  <si>
    <t>PULPERIA RIO CHIQUITO</t>
  </si>
  <si>
    <t>500850246</t>
  </si>
  <si>
    <t>MIREYA CLAUDINA DEL CARMEN  LOPEZ ORTIZ</t>
  </si>
  <si>
    <t xml:space="preserve">83566527            </t>
  </si>
  <si>
    <t>00900150</t>
  </si>
  <si>
    <t>50M O ESCUELA RIO CHIQUITO TILARAN GTE</t>
  </si>
  <si>
    <t>0000001180</t>
  </si>
  <si>
    <t>KAROL DE LOS ANGELES  MURILLO PICADO</t>
  </si>
  <si>
    <t xml:space="preserve">83177021            </t>
  </si>
  <si>
    <t>gjsiro@hotmail.com</t>
  </si>
  <si>
    <t>LA PULPERIA DE KAROL</t>
  </si>
  <si>
    <t>3014042110</t>
  </si>
  <si>
    <t xml:space="preserve">MUNICIPALIDAD DE TILARAN  </t>
  </si>
  <si>
    <t>00053727</t>
  </si>
  <si>
    <t>MERCADO MUNICIPAL</t>
  </si>
  <si>
    <t>0000001987</t>
  </si>
  <si>
    <t>LUIS FERNANDO  VILLALOBOS HERNANDEZ</t>
  </si>
  <si>
    <t xml:space="preserve">87514783            </t>
  </si>
  <si>
    <t>lvillaloboshernandez553@gmail.com</t>
  </si>
  <si>
    <t xml:space="preserve">PULPERÍA MARITA																				</t>
  </si>
  <si>
    <t>502470608</t>
  </si>
  <si>
    <t>FLOR IVETH DE LOS ANGELES  HERNANDEZ FONSECA</t>
  </si>
  <si>
    <t xml:space="preserve">87212086            </t>
  </si>
  <si>
    <t>maritavh18@hotmail.com</t>
  </si>
  <si>
    <t>00094445</t>
  </si>
  <si>
    <t>25 M SUR QUEBRADA LA CABRA TILARA GTE</t>
  </si>
  <si>
    <t>0000002180</t>
  </si>
  <si>
    <t>MARIA FERNANDA  PICADO BLANCO</t>
  </si>
  <si>
    <t xml:space="preserve">71560174            </t>
  </si>
  <si>
    <t>fer.picado9626@gmail.com</t>
  </si>
  <si>
    <t>PULPERIA JAAKOV</t>
  </si>
  <si>
    <t>501930766</t>
  </si>
  <si>
    <t>JORGE EDUARDO  PICADO GONZALEZ</t>
  </si>
  <si>
    <t xml:space="preserve">60505906            </t>
  </si>
  <si>
    <t>picadogonzalezjorge@gmail.com</t>
  </si>
  <si>
    <t>00088227</t>
  </si>
  <si>
    <t>700 ESTE 100 NORTE ESTADIO MUNICIPAL TILARAN</t>
  </si>
  <si>
    <t>0000002108</t>
  </si>
  <si>
    <t>MELITINA LUZ MARINA  SEQUEIRA RODRIGUEZ</t>
  </si>
  <si>
    <t xml:space="preserve">88288355            </t>
  </si>
  <si>
    <t>vianeyelizondosequeira@gmail.com</t>
  </si>
  <si>
    <t>EL BUEN PRECIO</t>
  </si>
  <si>
    <t>400930671</t>
  </si>
  <si>
    <t>00055512</t>
  </si>
  <si>
    <t>PULP BUEN PRECIO</t>
  </si>
  <si>
    <t>0000000149</t>
  </si>
  <si>
    <t>MISAEL  FERNANDEZ ARGUEDAS</t>
  </si>
  <si>
    <t xml:space="preserve">88263072            </t>
  </si>
  <si>
    <t>misael.fernandez.a@outlook.com</t>
  </si>
  <si>
    <t>PULPERIA LA CONFIANZA</t>
  </si>
  <si>
    <t>102830105</t>
  </si>
  <si>
    <t>00115670</t>
  </si>
  <si>
    <t>300 MTS SUR DEL BANCO DE COSTA RICA.</t>
  </si>
  <si>
    <t>0000000002</t>
  </si>
  <si>
    <t>OLGER ENRIQUE DEL CARMEN  RODRIGUEZ MENDEZ</t>
  </si>
  <si>
    <t xml:space="preserve">85203862            </t>
  </si>
  <si>
    <t>olger1124@gmail.com</t>
  </si>
  <si>
    <t>"ABASTECEDOR DIOS ES FIEL"</t>
  </si>
  <si>
    <t>502000255</t>
  </si>
  <si>
    <t>00106824</t>
  </si>
  <si>
    <t>03</t>
  </si>
  <si>
    <t>LAS PALMAS TRONADORA "ABASTECEDOR DIOS ES FIEL"</t>
  </si>
  <si>
    <t>0000000272</t>
  </si>
  <si>
    <t>PRISCILLA MARIA  VILLEGAS JIMENEZ</t>
  </si>
  <si>
    <t xml:space="preserve">86373489            </t>
  </si>
  <si>
    <t>prismaria1996@hotmail.com</t>
  </si>
  <si>
    <t>AZUKEP</t>
  </si>
  <si>
    <t>502400197</t>
  </si>
  <si>
    <t>ZULAY GERARDINA DE LOS ANGELES  JIMENEZ SALAZAR</t>
  </si>
  <si>
    <t xml:space="preserve">86088966            </t>
  </si>
  <si>
    <t xml:space="preserve">62616032            </t>
  </si>
  <si>
    <t>00082211</t>
  </si>
  <si>
    <t>FRENTE A LA ESCUELA DE LAS NUBES</t>
  </si>
  <si>
    <t>0000001253</t>
  </si>
  <si>
    <t>ROSIBEL GERARDO  CRUZ JIMENEZ</t>
  </si>
  <si>
    <t xml:space="preserve">88247872            </t>
  </si>
  <si>
    <t xml:space="preserve">26921174            </t>
  </si>
  <si>
    <t>yaricr84@hotmail.com</t>
  </si>
  <si>
    <t>PULPERIA CLAUDIO</t>
  </si>
  <si>
    <t>502490456</t>
  </si>
  <si>
    <t>JORGE ALFREDO  RUIZ CORDOBA</t>
  </si>
  <si>
    <t xml:space="preserve">85292620            </t>
  </si>
  <si>
    <t>jorgeruizcor68@gmail.com</t>
  </si>
  <si>
    <t>00125941</t>
  </si>
  <si>
    <t>100M O 15M S IGLESIA CATOLICA TIERRA MORENAS TILARAN GTE</t>
  </si>
  <si>
    <t>0000000114</t>
  </si>
  <si>
    <t xml:space="preserve">NUCLEO DE SERVICIOS CREATIVOS INTELIGENTES SOCIEDA  </t>
  </si>
  <si>
    <t>JOSE CARLOS  SEQUEIRA SEQUEIRA</t>
  </si>
  <si>
    <t>503970813</t>
  </si>
  <si>
    <t xml:space="preserve">83028219            </t>
  </si>
  <si>
    <t>jocarucr@gmail.com</t>
  </si>
  <si>
    <t>ACTIVIDADES DE CONSULTORIA EN GESTION</t>
  </si>
  <si>
    <t>GESTIONA: ESTRATEGIA Y PROYECTOS</t>
  </si>
  <si>
    <t xml:space="preserve">89966996            </t>
  </si>
  <si>
    <t>0000002256</t>
  </si>
  <si>
    <t>ANDREA DE LOS ANGELES  CHAN VIQUEZ</t>
  </si>
  <si>
    <t xml:space="preserve">83262701            </t>
  </si>
  <si>
    <t>campingazucar@gmail.com</t>
  </si>
  <si>
    <t>ACTIVIDADES TURISTICAS</t>
  </si>
  <si>
    <t>CAMPING Y MIRADOR MONTAÑA DE AZUCAR</t>
  </si>
  <si>
    <t>800440515</t>
  </si>
  <si>
    <t>IOK IO  CHAN WONG</t>
  </si>
  <si>
    <t xml:space="preserve">88902455            </t>
  </si>
  <si>
    <t>iokiochanwong@gmail.com</t>
  </si>
  <si>
    <t>00016126</t>
  </si>
  <si>
    <t>11800M E SECUELA UNION DE ARENAL</t>
  </si>
  <si>
    <t>0000000920</t>
  </si>
  <si>
    <t xml:space="preserve">ASOCIACION ADMINISTRADORA DE LA PRODUCCION AGRICOL  </t>
  </si>
  <si>
    <t xml:space="preserve">88555876            </t>
  </si>
  <si>
    <t>cordobaavarcafrancisco@gmail.com</t>
  </si>
  <si>
    <t>PROYECTO ECOTURISTICO EL JILGUERO</t>
  </si>
  <si>
    <t>2100042014</t>
  </si>
  <si>
    <t xml:space="preserve">ESTADO MINISTERIO DE AMBIENTE Y ENERGIA  </t>
  </si>
  <si>
    <t>00068046</t>
  </si>
  <si>
    <t>750M N Y 2600M E DEL ANTIGUO RECIBIDOR DE CAFETIERRAS MOREN</t>
  </si>
  <si>
    <t>0000001110</t>
  </si>
  <si>
    <t xml:space="preserve">AVENTURAS PARADICE PARK SOCIEDAD ANONIMA  </t>
  </si>
  <si>
    <t>MAURICIO  VARGAS RODRIGUEZ</t>
  </si>
  <si>
    <t>602960548</t>
  </si>
  <si>
    <t xml:space="preserve">88281809            </t>
  </si>
  <si>
    <t>AVENTURA PARADICE PARK S.A</t>
  </si>
  <si>
    <t xml:space="preserve">83144435            </t>
  </si>
  <si>
    <t>0000000741</t>
  </si>
  <si>
    <t>CARLOS ENRIQUE DE JESUS  SIRIAS ARIAS</t>
  </si>
  <si>
    <t xml:space="preserve">87898617            </t>
  </si>
  <si>
    <t>ca9595395@gmail.com</t>
  </si>
  <si>
    <t>Finca La Colina</t>
  </si>
  <si>
    <t>502980830</t>
  </si>
  <si>
    <t>CARLOS ANTONIO  ARIAS LOPEZ</t>
  </si>
  <si>
    <t>00122526</t>
  </si>
  <si>
    <t>De la Iglesia Católica, 1KM al sur, Quebrada Grande.</t>
  </si>
  <si>
    <t>0000001794</t>
  </si>
  <si>
    <t xml:space="preserve">CHILCOUT TRAIL SOCIEDAD DE RESPONSABILIDAD LIMITAD  </t>
  </si>
  <si>
    <t xml:space="preserve">85714518            </t>
  </si>
  <si>
    <t xml:space="preserve">26944667            </t>
  </si>
  <si>
    <t>bret@crparaiso.com</t>
  </si>
  <si>
    <t>CR PARAISO</t>
  </si>
  <si>
    <t>3102645085</t>
  </si>
  <si>
    <t xml:space="preserve">KELLY VALLEY PROPERTY SOCIEDAD DE RESPONSABILIDAD   </t>
  </si>
  <si>
    <t xml:space="preserve">26944750            </t>
  </si>
  <si>
    <t>00050948</t>
  </si>
  <si>
    <t>2KM.NORESTE DEL PUENTE DOS BOCAS N.ARENAL TILARAN</t>
  </si>
  <si>
    <t>0000000793</t>
  </si>
  <si>
    <t xml:space="preserve">CUATRO Y UNO CINCO SOCIEDAD ANONIMA  </t>
  </si>
  <si>
    <t xml:space="preserve">88393764            </t>
  </si>
  <si>
    <t xml:space="preserve">40007283            </t>
  </si>
  <si>
    <t>pablo@grupo415.com</t>
  </si>
  <si>
    <t>TREETOPIA PARK</t>
  </si>
  <si>
    <t>3101864092</t>
  </si>
  <si>
    <t>00010691</t>
  </si>
  <si>
    <t xml:space="preserve">1.5 km noroeste del cruce entre Santa Elena y Las Nubes, San Gerardo.
</t>
  </si>
  <si>
    <t>0000001663</t>
  </si>
  <si>
    <t xml:space="preserve">JUNTA ADMINISTRATIVA COLEGIO TEC.AGROPECUARIO DE S  </t>
  </si>
  <si>
    <t xml:space="preserve">83030035            </t>
  </si>
  <si>
    <t xml:space="preserve">26455390            </t>
  </si>
  <si>
    <t>3008071089@junta.mep.go.cr</t>
  </si>
  <si>
    <t>RESERVA BOSQUE NUBOSO SANTA ELENA</t>
  </si>
  <si>
    <t>2000045522</t>
  </si>
  <si>
    <t xml:space="preserve">EL ESTADO  </t>
  </si>
  <si>
    <t>E</t>
  </si>
  <si>
    <t xml:space="preserve">85238964            </t>
  </si>
  <si>
    <t xml:space="preserve">26958490            </t>
  </si>
  <si>
    <t>00012833</t>
  </si>
  <si>
    <t>OFICINAS COLEGIO TECNICO AGROPECUARIO DE SANTA ELENA</t>
  </si>
  <si>
    <t>0000001089</t>
  </si>
  <si>
    <t>MAYI ALEXANDRA  NUÑEZ ARIAS</t>
  </si>
  <si>
    <t xml:space="preserve">86928203            </t>
  </si>
  <si>
    <t>nunezmayi4@gmail.com</t>
  </si>
  <si>
    <t>CATARATAS &amp; SENDEROS VIENTO FRESCO</t>
  </si>
  <si>
    <t>3101861319</t>
  </si>
  <si>
    <t xml:space="preserve">SENDEROS VIENTO FRESCO SOCIEDAD ANONIMA  </t>
  </si>
  <si>
    <t xml:space="preserve">88683134            </t>
  </si>
  <si>
    <t xml:space="preserve">22006836            </t>
  </si>
  <si>
    <t>jsalas1511@hotmail.com</t>
  </si>
  <si>
    <t>00124425</t>
  </si>
  <si>
    <t>COSTADO N QDA LAS VUELTAS QDA GRANDE</t>
  </si>
  <si>
    <t>0000002055</t>
  </si>
  <si>
    <t xml:space="preserve">PUENTES COLGANTES AVENTURA DE MONTEVERDE SOCIEDAD   </t>
  </si>
  <si>
    <t xml:space="preserve">83567601            </t>
  </si>
  <si>
    <t>puentesaventura@hotmail.con</t>
  </si>
  <si>
    <t>PUENTES AVENTURA</t>
  </si>
  <si>
    <t>203500079</t>
  </si>
  <si>
    <t>CARLOS ALBERTO  VARGAS RODRIGUEZ</t>
  </si>
  <si>
    <t xml:space="preserve">26456413            </t>
  </si>
  <si>
    <t>puentesaventura@hotmail.com</t>
  </si>
  <si>
    <t>00110846</t>
  </si>
  <si>
    <t>1 KM NOROESTE DEL CANOPY AVENTURA, SAN BOSCO</t>
  </si>
  <si>
    <t>0000001158</t>
  </si>
  <si>
    <t>RAFAEL ANGEL DE GERARDO  ARGUEDAS VILLALOBOS</t>
  </si>
  <si>
    <t xml:space="preserve">85305414            </t>
  </si>
  <si>
    <t>arguedasrafaspc@gmail.com</t>
  </si>
  <si>
    <t>CATARATAS LA ROCA</t>
  </si>
  <si>
    <t>3101226773</t>
  </si>
  <si>
    <t xml:space="preserve">GANADERA MONGE ARIAS SOCIEDAD ANONIMA  </t>
  </si>
  <si>
    <t xml:space="preserve">88664311            </t>
  </si>
  <si>
    <t>monge.roger05@gmail.com</t>
  </si>
  <si>
    <t>00140884</t>
  </si>
  <si>
    <t>200 M NORTE Y 700 M OESTE DE LA IGLESIA CATOLICA, EL DOS, CABECERAS.</t>
  </si>
  <si>
    <t>0000001903</t>
  </si>
  <si>
    <t>DESLIZADOR ARCOIRIS</t>
  </si>
  <si>
    <t>502010070</t>
  </si>
  <si>
    <t>MARIA ISABEL  ARGUEDAS VILLALOBOS</t>
  </si>
  <si>
    <t xml:space="preserve">84304418            </t>
  </si>
  <si>
    <t>maria63isa@gmail.com</t>
  </si>
  <si>
    <t>00247587</t>
  </si>
  <si>
    <t>500 M NORTE DE LA IGLESIA DE LA FLORIDA, QUEBRADA GRANDE</t>
  </si>
  <si>
    <t>0000002047</t>
  </si>
  <si>
    <t xml:space="preserve">RUTAS ANCESTRALES MONTEVERDE SOCIEDAD DE RESPONSAB  </t>
  </si>
  <si>
    <t>HEIDY MARIA  PEREZ BRAVO</t>
  </si>
  <si>
    <t>503300655</t>
  </si>
  <si>
    <t xml:space="preserve">84731414            </t>
  </si>
  <si>
    <t>hp115892@gmail.com</t>
  </si>
  <si>
    <t>RUTAS ANCESTRALES MONTEVERDE</t>
  </si>
  <si>
    <t>501650284</t>
  </si>
  <si>
    <t>MARTIN AURELIO  RODRIGUEZ PEREZ</t>
  </si>
  <si>
    <t xml:space="preserve">86583937            </t>
  </si>
  <si>
    <t xml:space="preserve">84108382            </t>
  </si>
  <si>
    <t>maurenr2311@gmail.com</t>
  </si>
  <si>
    <t>00113908</t>
  </si>
  <si>
    <t>50M.NORTE DE LA ESCUELA DE LAS NUBES</t>
  </si>
  <si>
    <t>0000000806</t>
  </si>
  <si>
    <t>SABRINA  GARCIA RODRIGUEZ</t>
  </si>
  <si>
    <t xml:space="preserve">83201864            </t>
  </si>
  <si>
    <t>catarataelahora.cr@gmail.com</t>
  </si>
  <si>
    <t>Catarata El Ahora</t>
  </si>
  <si>
    <t>501940197</t>
  </si>
  <si>
    <t>EDWIN DE JESUS  GARCIA CASTILLO</t>
  </si>
  <si>
    <t xml:space="preserve">89863179            </t>
  </si>
  <si>
    <t>00007262</t>
  </si>
  <si>
    <t>05</t>
  </si>
  <si>
    <t>DE LA IGLESIA CATOLICA LIBANO 1.5 KM AL SUR</t>
  </si>
  <si>
    <t>0000001899</t>
  </si>
  <si>
    <t xml:space="preserve">SELVATURA PARK DE COSTA RICA SOCIEDAD ANONIMA  </t>
  </si>
  <si>
    <t xml:space="preserve">86342664            </t>
  </si>
  <si>
    <t>conta04@corporacioncsb.com</t>
  </si>
  <si>
    <t>SELVATURA PARK DE COSTA RICA</t>
  </si>
  <si>
    <t>4000001021</t>
  </si>
  <si>
    <t xml:space="preserve">BANCO NACIONAL DE COSTA RICA  </t>
  </si>
  <si>
    <t xml:space="preserve">22122000            </t>
  </si>
  <si>
    <t xml:space="preserve">22122225            </t>
  </si>
  <si>
    <t>municipalbn@bncr.fi.cr</t>
  </si>
  <si>
    <t>00013613</t>
  </si>
  <si>
    <t>2KM.NORTE DE LA ESCUELA DE SANTA ELENA</t>
  </si>
  <si>
    <t>0000000697</t>
  </si>
  <si>
    <t xml:space="preserve">TLV BALANCED LIFE SOCIEDAD DE RESPONSABILIDAD LIMI  </t>
  </si>
  <si>
    <t xml:space="preserve">85164510            </t>
  </si>
  <si>
    <t>sally.nilsson@outlook.com</t>
  </si>
  <si>
    <t>TULA VIDA</t>
  </si>
  <si>
    <t>3102837283</t>
  </si>
  <si>
    <t xml:space="preserve">GRUPO TULA VIDA HORSES SOCIEDAD DE RESPONSABILIDAD  </t>
  </si>
  <si>
    <t>00110559</t>
  </si>
  <si>
    <t>3 KM NORTE DEL RECIBIDOR DE CAFÉ</t>
  </si>
  <si>
    <t>0000002150</t>
  </si>
  <si>
    <t>JOSELYN KARINA  RAMIREZ CASTRO</t>
  </si>
  <si>
    <t xml:space="preserve">83807395            </t>
  </si>
  <si>
    <t>joselynr333@gmail.com</t>
  </si>
  <si>
    <t>ACUARIO</t>
  </si>
  <si>
    <t>ACUABLUE</t>
  </si>
  <si>
    <t>3101352083</t>
  </si>
  <si>
    <t xml:space="preserve">INVESTMENT RUNNER ACU SOCIEDAD ANONIMA  </t>
  </si>
  <si>
    <t xml:space="preserve">88288710            </t>
  </si>
  <si>
    <t>alonsocamposu@gmail.com</t>
  </si>
  <si>
    <t>00245036</t>
  </si>
  <si>
    <t>50 M NORTE  DE LA GUARDIA RURAL, TILARAN.</t>
  </si>
  <si>
    <t>0000002231</t>
  </si>
  <si>
    <t>ELVIN ELI  VILLALOBOS NOVO</t>
  </si>
  <si>
    <t xml:space="preserve">83040866            </t>
  </si>
  <si>
    <t>sardinabikes@hotmail.com</t>
  </si>
  <si>
    <t>AGEN Y REPARAC.BICICLETA</t>
  </si>
  <si>
    <t>"SARDINA BIKE</t>
  </si>
  <si>
    <t>503570575</t>
  </si>
  <si>
    <t>LIZA MARIA  BONICHE HERRERA</t>
  </si>
  <si>
    <t>lizaboniche_7@hotmail.com</t>
  </si>
  <si>
    <t>00012324</t>
  </si>
  <si>
    <t>100 M ESTE DEL BANCO DE COSTA RICA, TILARAN</t>
  </si>
  <si>
    <t>0000000427</t>
  </si>
  <si>
    <t>ROBERT  ALVARADO ARIAS</t>
  </si>
  <si>
    <t xml:space="preserve">83431050            </t>
  </si>
  <si>
    <t>raa11769@gmail.com</t>
  </si>
  <si>
    <t>CICLO ALVARADO</t>
  </si>
  <si>
    <t>500770987</t>
  </si>
  <si>
    <t>EDDIE DE JESUS  ALVARADO HERRERA</t>
  </si>
  <si>
    <t xml:space="preserve">87077836            </t>
  </si>
  <si>
    <t xml:space="preserve">88820400            </t>
  </si>
  <si>
    <t>rav174r@gmail.com</t>
  </si>
  <si>
    <t>00022942</t>
  </si>
  <si>
    <t>40 MTS NORTE DE LA CRUZ ROJA</t>
  </si>
  <si>
    <t>0000001293</t>
  </si>
  <si>
    <t>ANNIA FRESIA  MEDINA GOMEZ</t>
  </si>
  <si>
    <t xml:space="preserve">88972949            </t>
  </si>
  <si>
    <t>oscarsc16@hotmail.com</t>
  </si>
  <si>
    <t>AGENCIA DE EQUIPO AGRICOLA</t>
  </si>
  <si>
    <t>AGENCIA HUSQVARNA TILARAN</t>
  </si>
  <si>
    <t>800810688</t>
  </si>
  <si>
    <t>AURA PATRICIA  ASCENCIO SILVA</t>
  </si>
  <si>
    <t xml:space="preserve">83948668            </t>
  </si>
  <si>
    <t>apascencio@hotmail.com</t>
  </si>
  <si>
    <t>00006233</t>
  </si>
  <si>
    <t>COSTADO OESTE DEL GIMNASIO MUNICIPAL</t>
  </si>
  <si>
    <t>0000001623</t>
  </si>
  <si>
    <t xml:space="preserve">EQUIPOS AGROFORESTALES CAÑAS EMPRESA INDIVIDUAL DE  </t>
  </si>
  <si>
    <t xml:space="preserve">61961980            </t>
  </si>
  <si>
    <t>eforestales.tilaran@gmail.com</t>
  </si>
  <si>
    <t>Equipos Agroforestales Tilarán</t>
  </si>
  <si>
    <t>600480988</t>
  </si>
  <si>
    <t>ALEJANDRO  GONZALEZ VILLEGAS</t>
  </si>
  <si>
    <t xml:space="preserve">70244482            </t>
  </si>
  <si>
    <t>zego03@gmail.com</t>
  </si>
  <si>
    <t>00018029</t>
  </si>
  <si>
    <t>75 NORTE DEL MERCADO MUNICIPAL</t>
  </si>
  <si>
    <t>0000001738</t>
  </si>
  <si>
    <t>ISABEL CRISTINA DE LOS ANGELES  ROJAS SIRIAS</t>
  </si>
  <si>
    <t xml:space="preserve">89947698            </t>
  </si>
  <si>
    <t>isabelrosi60@gmail.com</t>
  </si>
  <si>
    <t>Multi Agri</t>
  </si>
  <si>
    <t>106170094</t>
  </si>
  <si>
    <t>00009977</t>
  </si>
  <si>
    <t>100 M NORTE Y 65 ESTE DE LA CATEDRAL</t>
  </si>
  <si>
    <t>0000002028</t>
  </si>
  <si>
    <t>CARLOS ENRIQUE  SOLORZANO ARIAS</t>
  </si>
  <si>
    <t xml:space="preserve">87132488            </t>
  </si>
  <si>
    <t xml:space="preserve">26958163            </t>
  </si>
  <si>
    <t>carlosen1986@hotmail.com</t>
  </si>
  <si>
    <t>AGENCIA DE PINTURAS</t>
  </si>
  <si>
    <t>"PINTURAS TOPO"</t>
  </si>
  <si>
    <t>202850977</t>
  </si>
  <si>
    <t>CARLOS MANUEL  SOLORZANO MOSCOSO</t>
  </si>
  <si>
    <t xml:space="preserve">85230464            </t>
  </si>
  <si>
    <t>notienecorreo@gmail.com</t>
  </si>
  <si>
    <t>00056188</t>
  </si>
  <si>
    <t>200  M NORTE DE LA GASOLINERA TILARAN, URBANIZACION  LINDA VISTA, TILARAN.</t>
  </si>
  <si>
    <t>0000000447</t>
  </si>
  <si>
    <t xml:space="preserve">LAMINAS Y PINTURAS ARIAS VEGA SOCIEDAD ANONIMA  </t>
  </si>
  <si>
    <t xml:space="preserve">88226125            </t>
  </si>
  <si>
    <t>pinturastegal2@gmail.com</t>
  </si>
  <si>
    <t>PINTURAS TEGAL</t>
  </si>
  <si>
    <t>3101636442</t>
  </si>
  <si>
    <t>00186745</t>
  </si>
  <si>
    <t>850M N DE LA BOMBA JSM CAMINO A ARENAL</t>
  </si>
  <si>
    <t>0000000735</t>
  </si>
  <si>
    <t>MARIO ENRIQUE  LACAYO PANIAGUA</t>
  </si>
  <si>
    <t xml:space="preserve">83999575            </t>
  </si>
  <si>
    <t xml:space="preserve">26955141            </t>
  </si>
  <si>
    <t>lacayomasis@gmail.com</t>
  </si>
  <si>
    <t>CENTRO DE COLOR TILARAN.</t>
  </si>
  <si>
    <t>3101192871</t>
  </si>
  <si>
    <t xml:space="preserve">DESARROLLOS EMPRESARIALES LAMA DEL NORTE SOCIEDAD   </t>
  </si>
  <si>
    <t>00006639</t>
  </si>
  <si>
    <t>30M S DE LA CRUZ ROJA</t>
  </si>
  <si>
    <t>0000000285</t>
  </si>
  <si>
    <t>GERSON  MENDIOLA ELIZONDO</t>
  </si>
  <si>
    <t xml:space="preserve">61524791            </t>
  </si>
  <si>
    <t xml:space="preserve">47019454            </t>
  </si>
  <si>
    <t>gersonmendio@gmail.com</t>
  </si>
  <si>
    <t>AGENCIA DE REPUESTOS</t>
  </si>
  <si>
    <t>ALTURA CAR CENTER</t>
  </si>
  <si>
    <t>3101558230</t>
  </si>
  <si>
    <t xml:space="preserve">LA CHOZA DEL MAIZ SOCIEDAD ANONIMA  </t>
  </si>
  <si>
    <t xml:space="preserve">84882101            </t>
  </si>
  <si>
    <t>jgatrell@gmail.com</t>
  </si>
  <si>
    <t>00260195</t>
  </si>
  <si>
    <t>100 MTS ESTE DE LA ESCUELA DE SAN LUIS DE TILARAN</t>
  </si>
  <si>
    <t>0000001873</t>
  </si>
  <si>
    <t>GISSELLE  RODRIGUEZ PICADO</t>
  </si>
  <si>
    <t xml:space="preserve">85846331            </t>
  </si>
  <si>
    <t>gr1334797@gmail.com</t>
  </si>
  <si>
    <t>Motorepuestos San Miguel</t>
  </si>
  <si>
    <t>503000872</t>
  </si>
  <si>
    <t>00060140</t>
  </si>
  <si>
    <t>100M E DE LA ESCUELA DE SAN MIGUEL</t>
  </si>
  <si>
    <t>0000001877</t>
  </si>
  <si>
    <t>GUSTAVO ADOLFO  ZAMORA ALVAREZ</t>
  </si>
  <si>
    <t xml:space="preserve">88456197            </t>
  </si>
  <si>
    <t>reptavotilaran@hotmail.com</t>
  </si>
  <si>
    <t>"REPUESTOS TAVO"</t>
  </si>
  <si>
    <t>110690145</t>
  </si>
  <si>
    <t>00006203</t>
  </si>
  <si>
    <t>100 M NORTE DE LA CRUZ ROJA DE TILARAN</t>
  </si>
  <si>
    <t>0000000052</t>
  </si>
  <si>
    <t>JOHNNY STEVE  GONZALEZ CAMPOS</t>
  </si>
  <si>
    <t xml:space="preserve">61057060            </t>
  </si>
  <si>
    <t>johnnymt60413@gmail.com</t>
  </si>
  <si>
    <t>ON TURIN</t>
  </si>
  <si>
    <t>503830311</t>
  </si>
  <si>
    <t>LUIS MIGUEL  CHAVES PICADO</t>
  </si>
  <si>
    <t xml:space="preserve">72327426            </t>
  </si>
  <si>
    <t>grupoonccrg@gmail.com</t>
  </si>
  <si>
    <t>00069300</t>
  </si>
  <si>
    <t>25M S DE LA IGLESIA DE TURIN</t>
  </si>
  <si>
    <t>0000001001</t>
  </si>
  <si>
    <t>JOSE JOAQUIN  PAYNE MONESTEL</t>
  </si>
  <si>
    <t xml:space="preserve">60779332            </t>
  </si>
  <si>
    <t xml:space="preserve">26958480            </t>
  </si>
  <si>
    <t>polar.automotrizcr@gmail.com</t>
  </si>
  <si>
    <t>Polar Aire Acondicionado Automotriz</t>
  </si>
  <si>
    <t>104530291</t>
  </si>
  <si>
    <t>LIGIA MARIA  MONESTEL MONTOYA</t>
  </si>
  <si>
    <t xml:space="preserve">88950123            </t>
  </si>
  <si>
    <t>kasaligia@gmail.com</t>
  </si>
  <si>
    <t>00254957</t>
  </si>
  <si>
    <t>35 M SUR DE LA GUARDIA RURAL, TILARAN.</t>
  </si>
  <si>
    <t>0000002101</t>
  </si>
  <si>
    <t>OSCAR ALBERTO  SALAS LOPEZ</t>
  </si>
  <si>
    <t xml:space="preserve">83328602            </t>
  </si>
  <si>
    <t xml:space="preserve">26955121            </t>
  </si>
  <si>
    <t>oscarsalas89@hotmail.com</t>
  </si>
  <si>
    <t>REPUESTOS LA BODEGUITA</t>
  </si>
  <si>
    <t>107740967</t>
  </si>
  <si>
    <t>00039048</t>
  </si>
  <si>
    <t>75 M SUR DEL MAG</t>
  </si>
  <si>
    <t>0000000027</t>
  </si>
  <si>
    <t>RAFAEL ANTONIO  PEREZ ELIZONDO</t>
  </si>
  <si>
    <t xml:space="preserve">88235538            </t>
  </si>
  <si>
    <t>transperezeli@gmail.com</t>
  </si>
  <si>
    <t>SERVICENTRO V ESQUINAS</t>
  </si>
  <si>
    <t>3101594400</t>
  </si>
  <si>
    <t xml:space="preserve">GANADERIA HERMANOS PEREZ ALFARO SOCIEDAD ANONIMA  </t>
  </si>
  <si>
    <t>00077164</t>
  </si>
  <si>
    <t>350 MTS SUR DE SERVICENTRO EL LAGO</t>
  </si>
  <si>
    <t>0000001305</t>
  </si>
  <si>
    <t>ROYVIN  OBANDO CARVAJAL</t>
  </si>
  <si>
    <t xml:space="preserve">87311887            </t>
  </si>
  <si>
    <t>repuestosnuevoarenal@gmail.com</t>
  </si>
  <si>
    <t>Repuestos Nuevo Arenal</t>
  </si>
  <si>
    <t>204370329</t>
  </si>
  <si>
    <t>JOSE ANGEL  OBANDO VALVERDE</t>
  </si>
  <si>
    <t xml:space="preserve">88176375            </t>
  </si>
  <si>
    <t>fejoseangelito2010@gmail.com</t>
  </si>
  <si>
    <t>00131818</t>
  </si>
  <si>
    <t>DIAGONAL AL GIMNASIO, ARENAL.</t>
  </si>
  <si>
    <t>0000001656</t>
  </si>
  <si>
    <t xml:space="preserve">TECNI REPUESTOS TILARAN SOCIEDAD ANONIMA  </t>
  </si>
  <si>
    <t xml:space="preserve">88353896            </t>
  </si>
  <si>
    <t xml:space="preserve">26955837            </t>
  </si>
  <si>
    <t>hondatilaran@gmail.com</t>
  </si>
  <si>
    <t>TECNI REPUESTOS TILARAN</t>
  </si>
  <si>
    <t>3101169230</t>
  </si>
  <si>
    <t>00070317</t>
  </si>
  <si>
    <t>185 MTS NORTE DEL MERCADO</t>
  </si>
  <si>
    <t>0000001441</t>
  </si>
  <si>
    <t>YADER DANIEL  ORDOÑEZ GARCIA</t>
  </si>
  <si>
    <t xml:space="preserve">64153183            </t>
  </si>
  <si>
    <t>yadergarcia230g@gmail.com</t>
  </si>
  <si>
    <t>ACCESORIOS Y REPUESTOS ULATE</t>
  </si>
  <si>
    <t>502560573</t>
  </si>
  <si>
    <t>DAUBE MIGUEL  MURILLO NUÑEZ</t>
  </si>
  <si>
    <t xml:space="preserve">88111079            </t>
  </si>
  <si>
    <t xml:space="preserve">26954896            </t>
  </si>
  <si>
    <t>dauve.1969@gmail.com</t>
  </si>
  <si>
    <t>00038883</t>
  </si>
  <si>
    <t>50 MTS SUR DE OFICINAS AYA TILARAN</t>
  </si>
  <si>
    <t>0000002267</t>
  </si>
  <si>
    <t>JULIO CESAR  VILLALOBOS MORALES</t>
  </si>
  <si>
    <t xml:space="preserve">88706657            </t>
  </si>
  <si>
    <t>tallercucatila@gmail.com</t>
  </si>
  <si>
    <t>AGENCIA Y TALLER DE MOTOCICLETAS</t>
  </si>
  <si>
    <t>TALLER Y REPUESTOS CUCA</t>
  </si>
  <si>
    <t>602670136</t>
  </si>
  <si>
    <t>00195736</t>
  </si>
  <si>
    <t>100 M SUR Y 25 M OESTE DEL TABERNACULO, TILARAN</t>
  </si>
  <si>
    <t>0000001688</t>
  </si>
  <si>
    <t xml:space="preserve">3-101-761481 SOCIEDAD ANONIMA  </t>
  </si>
  <si>
    <t>MARIA JOSE  VARGAS ROJAS</t>
  </si>
  <si>
    <t>206970146</t>
  </si>
  <si>
    <t xml:space="preserve">88212736            </t>
  </si>
  <si>
    <t>mariajvarq@outlook.com</t>
  </si>
  <si>
    <t>ALMACEN..</t>
  </si>
  <si>
    <t>US OUTLET</t>
  </si>
  <si>
    <t>3101422902</t>
  </si>
  <si>
    <t xml:space="preserve">INVERSIONES PAJIAN DE TILARAN SOCIEDAD ANONIMA  </t>
  </si>
  <si>
    <t>00012805</t>
  </si>
  <si>
    <t>COSTADO ESTE DE LA CATEDRAL, TILARÁN</t>
  </si>
  <si>
    <t>0000002007</t>
  </si>
  <si>
    <t xml:space="preserve">ALMACEN ZAMORA SOCIEDAD ANONIMA  </t>
  </si>
  <si>
    <t>YARA VANESSA  ZAMORA CHACON</t>
  </si>
  <si>
    <t>602810495</t>
  </si>
  <si>
    <t xml:space="preserve">88193825            </t>
  </si>
  <si>
    <t xml:space="preserve">26954859            </t>
  </si>
  <si>
    <t>yarazamora1@hotmail.com</t>
  </si>
  <si>
    <t>ALMACEN SUPER ZAMORA</t>
  </si>
  <si>
    <t>503600254</t>
  </si>
  <si>
    <t>RAQUEL ALEJANDRA  ZAMORA CHACON</t>
  </si>
  <si>
    <t xml:space="preserve">87069710            </t>
  </si>
  <si>
    <t>razach1@hotmail.com</t>
  </si>
  <si>
    <t>00262492</t>
  </si>
  <si>
    <t>100M SUR DE CATEDARL DE TILARAN</t>
  </si>
  <si>
    <t>0000000680</t>
  </si>
  <si>
    <t xml:space="preserve">ASOCIACION DE PRODUCTORES DE LECHE DE MONTEVERDE  </t>
  </si>
  <si>
    <t>MARCO ANTONIO  ZAMORA ALVAREZ</t>
  </si>
  <si>
    <t>502190211</t>
  </si>
  <si>
    <t xml:space="preserve">63926747            </t>
  </si>
  <si>
    <t xml:space="preserve">87088410            </t>
  </si>
  <si>
    <t>mzamora210@hotmail.com</t>
  </si>
  <si>
    <t>ALMACEN AGRO-FERRETERO APLM</t>
  </si>
  <si>
    <t>3002377976</t>
  </si>
  <si>
    <t xml:space="preserve">85243018            </t>
  </si>
  <si>
    <t>aplmonteverde@gmail.com</t>
  </si>
  <si>
    <t>00216013</t>
  </si>
  <si>
    <t>DIAGONAL AL SALON COMUNAL CABECERAS</t>
  </si>
  <si>
    <t>0000000587</t>
  </si>
  <si>
    <t xml:space="preserve">COOPERATIVA DE CAFICULTORES Y SERVICIOS MULTIPLES   </t>
  </si>
  <si>
    <t>LUIS ALEJANDRO  GARCIA VILLALOBOS</t>
  </si>
  <si>
    <t>503190046</t>
  </si>
  <si>
    <t xml:space="preserve">87012075            </t>
  </si>
  <si>
    <t>alejandro@coopeldos.com</t>
  </si>
  <si>
    <t>COOP.DE CAFICULTORES Y SER.MULT.CORD.TILARAN RL.</t>
  </si>
  <si>
    <t>4000045015</t>
  </si>
  <si>
    <t xml:space="preserve">INSTITUTO NACIONAL DE FOMENTO COOPERATIVO  </t>
  </si>
  <si>
    <t xml:space="preserve">22562944            </t>
  </si>
  <si>
    <t>emendez@infocoop.go.cr</t>
  </si>
  <si>
    <t>00027811</t>
  </si>
  <si>
    <t>200M.NOROESTE DE LA ESCUELA DE EL DOS</t>
  </si>
  <si>
    <t>0000000591</t>
  </si>
  <si>
    <t xml:space="preserve">EL COLONO AGROPECUARIO SOCIEDAD ANONIMA  </t>
  </si>
  <si>
    <t xml:space="preserve">88603596            </t>
  </si>
  <si>
    <t xml:space="preserve">26955184            </t>
  </si>
  <si>
    <t>orojas@grupocolono.com</t>
  </si>
  <si>
    <t>EL COLONO AGROPECUARIO</t>
  </si>
  <si>
    <t>3101079006</t>
  </si>
  <si>
    <t xml:space="preserve">BANCO IMPROSA SOCIEDAD ANONIMA  </t>
  </si>
  <si>
    <t xml:space="preserve">22844000            </t>
  </si>
  <si>
    <t>FIDImpuestos@grupoimprosa.com</t>
  </si>
  <si>
    <t>00006579</t>
  </si>
  <si>
    <t>50 M OESTE DEL BANCO NACIONAL, TILARÁN</t>
  </si>
  <si>
    <t>0000000668</t>
  </si>
  <si>
    <t>GLORIA DINORAH  JIMENEZ SIBAJA</t>
  </si>
  <si>
    <t xml:space="preserve">83631265            </t>
  </si>
  <si>
    <t xml:space="preserve">26955219            </t>
  </si>
  <si>
    <t>casadelganadero.tilaran@hotmail.com</t>
  </si>
  <si>
    <t>LA CASA DEL GANADERO</t>
  </si>
  <si>
    <t>501360132</t>
  </si>
  <si>
    <t>00006220</t>
  </si>
  <si>
    <t>COSTADO NORTE CATEDRAL DE TILARAN, LA CASA DEL GANADERO.</t>
  </si>
  <si>
    <t>0000000189</t>
  </si>
  <si>
    <t>NELITA STORE</t>
  </si>
  <si>
    <t>0000001963</t>
  </si>
  <si>
    <t xml:space="preserve">TILARAN BOX SOCIEDAD DE RESPONSABILIDAD LIMITADA  </t>
  </si>
  <si>
    <t>BERNY JOEL  SALAS UMAÑA</t>
  </si>
  <si>
    <t>503620878</t>
  </si>
  <si>
    <t xml:space="preserve">87053358            </t>
  </si>
  <si>
    <t xml:space="preserve">26954919            </t>
  </si>
  <si>
    <t>bernysalas5@gmail.com</t>
  </si>
  <si>
    <t>TILA BOX</t>
  </si>
  <si>
    <t>3101452679</t>
  </si>
  <si>
    <t xml:space="preserve">TILA SPORT A Y G, SOCIEDAD ANONIMA  </t>
  </si>
  <si>
    <t>camposu1975@gmail.com</t>
  </si>
  <si>
    <t>00126908</t>
  </si>
  <si>
    <t>50M SUR DEL BANCO DE COSTA RICA</t>
  </si>
  <si>
    <t>0000001843</t>
  </si>
  <si>
    <t xml:space="preserve">VIENTOS DEL GUANACASTE SOCIEDAD ANONIMA  </t>
  </si>
  <si>
    <t xml:space="preserve">83832694            </t>
  </si>
  <si>
    <t>info@ticowind.com</t>
  </si>
  <si>
    <t>ALQUILER DE ARTICULOS DEPORTIVOS</t>
  </si>
  <si>
    <t>TICO WIND</t>
  </si>
  <si>
    <t>3101156529</t>
  </si>
  <si>
    <t xml:space="preserve">RIO ESCONDIDO SOCIEDAD ANONIMA  </t>
  </si>
  <si>
    <t>00209813</t>
  </si>
  <si>
    <t>300 M OESTE DE LA ESCUELA PÚBLICA, SABALITO, TIERRAS MORENA</t>
  </si>
  <si>
    <t>0000001378</t>
  </si>
  <si>
    <t xml:space="preserve">EL TUCAN DEL ARENAL SOCIEDAD ANONIMA  </t>
  </si>
  <si>
    <t>GILBERTO  VARELA MORA</t>
  </si>
  <si>
    <t>601340196</t>
  </si>
  <si>
    <t xml:space="preserve">83939411            </t>
  </si>
  <si>
    <t>hotel.mary@yahoo.com</t>
  </si>
  <si>
    <t>ALQUILER EQUIPO TRANSP VIA ACUATICO</t>
  </si>
  <si>
    <t>CATAMARAN TOUCAN ARENAL</t>
  </si>
  <si>
    <t xml:space="preserve">88563718            </t>
  </si>
  <si>
    <t>0000000757</t>
  </si>
  <si>
    <t>JEIMY GRACIELA  CHAVES SANCHEZ</t>
  </si>
  <si>
    <t xml:space="preserve">89875297            </t>
  </si>
  <si>
    <t>clubnauticalagoarenal@gmail.com</t>
  </si>
  <si>
    <t>CLUB NAUTICA LAGO ARENAL</t>
  </si>
  <si>
    <t xml:space="preserve">87077889            </t>
  </si>
  <si>
    <t>0000001692</t>
  </si>
  <si>
    <t xml:space="preserve">GTP TORRES CR SOCIEDAD DE RESPONSABILIDAD LIMITADA  </t>
  </si>
  <si>
    <t xml:space="preserve">41003540            </t>
  </si>
  <si>
    <t>contabilidadcostarica@americantower.com</t>
  </si>
  <si>
    <t>ARRENDA.ANTENAS TELECOMUNI</t>
  </si>
  <si>
    <t>GTP TORRES CR SRL</t>
  </si>
  <si>
    <t xml:space="preserve">83910269            </t>
  </si>
  <si>
    <t>0000000792</t>
  </si>
  <si>
    <t xml:space="preserve">SBA TORRES COSTA RICA LIMITADA  </t>
  </si>
  <si>
    <t xml:space="preserve">22883232            </t>
  </si>
  <si>
    <t>proveedores@sbasite.com</t>
  </si>
  <si>
    <t>SBA TORRES COSTA RICA LTDA</t>
  </si>
  <si>
    <t>502070524</t>
  </si>
  <si>
    <t>MARIA GEOVANNA  MEZA LOPEZ</t>
  </si>
  <si>
    <t xml:space="preserve">26695070            </t>
  </si>
  <si>
    <t>gmeza12@gmail.com</t>
  </si>
  <si>
    <t>00269316</t>
  </si>
  <si>
    <t>Barrio San Antonio, 50 m. Este, 100 m. Sur y 25 m. Oeste de Mueblería Murillo</t>
  </si>
  <si>
    <t>0000000791</t>
  </si>
  <si>
    <t>NANCY TATIANA  VARELA SANCHEZ</t>
  </si>
  <si>
    <t xml:space="preserve">86737167            </t>
  </si>
  <si>
    <t>fenancyvarela@gmail.com</t>
  </si>
  <si>
    <t>ARTICULOS DE LUJO</t>
  </si>
  <si>
    <t>Detallitos</t>
  </si>
  <si>
    <t>603250919</t>
  </si>
  <si>
    <t>00157845</t>
  </si>
  <si>
    <t>300 MTS NORTE, 300 MTS OESTE DE LA GUARDIA RURAL</t>
  </si>
  <si>
    <t>0000001845</t>
  </si>
  <si>
    <t xml:space="preserve">SERVED SOCIEDAD ANONIMA  </t>
  </si>
  <si>
    <t xml:space="preserve">85672672            </t>
  </si>
  <si>
    <t xml:space="preserve">26955788            </t>
  </si>
  <si>
    <t>jptilawa@gmail.com</t>
  </si>
  <si>
    <t>ARTICULOS DEPORTIVOS</t>
  </si>
  <si>
    <t>DEPORTIVOS LAKE ARENAL BREWERY</t>
  </si>
  <si>
    <t>3102592029</t>
  </si>
  <si>
    <t xml:space="preserve">SECRET POINT LIMITADA  </t>
  </si>
  <si>
    <t xml:space="preserve">83155234            </t>
  </si>
  <si>
    <t xml:space="preserve">26955050            </t>
  </si>
  <si>
    <t>00166127</t>
  </si>
  <si>
    <t>CONTIGUO HOTEL TILAWA, SANTA ROSA.</t>
  </si>
  <si>
    <t>0000000750</t>
  </si>
  <si>
    <t>RAMON ELIAS  MENA HERNANDEZ</t>
  </si>
  <si>
    <t xml:space="preserve">88190624            </t>
  </si>
  <si>
    <t>menaramonspc@gmail.com</t>
  </si>
  <si>
    <t>ASERRADERO</t>
  </si>
  <si>
    <t>ASERRADERO TILARÁN</t>
  </si>
  <si>
    <t>501050591</t>
  </si>
  <si>
    <t>00133656</t>
  </si>
  <si>
    <t>1 KM OESTE DEL CEMENTERIO, CAMINO A LIBANO</t>
  </si>
  <si>
    <t>0000000174</t>
  </si>
  <si>
    <t xml:space="preserve">ALISIOS HOLDINGS SOCIEDAD ANONIMA  </t>
  </si>
  <si>
    <t xml:space="preserve">89303290            </t>
  </si>
  <si>
    <t xml:space="preserve">26699500            </t>
  </si>
  <si>
    <t>randall.gutierrez@somoscmi.com</t>
  </si>
  <si>
    <t>ASESORIA MANT. PLANTAS EOLICAS</t>
  </si>
  <si>
    <t>ALISIOS HOLDING S.A</t>
  </si>
  <si>
    <t>3101680765</t>
  </si>
  <si>
    <t>00208980</t>
  </si>
  <si>
    <t>1.5 KM  NORTE DEL CRUCE AGUILARES, QDA AZUL, SANTA ROSA</t>
  </si>
  <si>
    <t>0000000755</t>
  </si>
  <si>
    <t xml:space="preserve">CR OPERACIONES Y MANTENIMIENTO SOCIEDAD ANONIMA  </t>
  </si>
  <si>
    <t>CR OPERACIONES</t>
  </si>
  <si>
    <t>0000000748</t>
  </si>
  <si>
    <t xml:space="preserve">H G &amp; ASOCIADOS TILARAN SOCIEDAD DE RESPONSABILIDA  </t>
  </si>
  <si>
    <t xml:space="preserve">84581020            </t>
  </si>
  <si>
    <t xml:space="preserve">88412118            </t>
  </si>
  <si>
    <t>gherrera@hgwindtec.com</t>
  </si>
  <si>
    <t>BALNEARIOS</t>
  </si>
  <si>
    <t>PISCINA PUERTO SAN LUIS</t>
  </si>
  <si>
    <t>3101503497</t>
  </si>
  <si>
    <t xml:space="preserve">H G WINDTEC SOCIEDAD ANONIMA  </t>
  </si>
  <si>
    <t xml:space="preserve">88265388            </t>
  </si>
  <si>
    <t>00157284</t>
  </si>
  <si>
    <t>HOTEL PUERTO SAN LUIS, TILARAN.</t>
  </si>
  <si>
    <t>0000001190</t>
  </si>
  <si>
    <t>BALNEARIO LAKE ARENAL BREWERY</t>
  </si>
  <si>
    <t>0000001071</t>
  </si>
  <si>
    <t>ANGELICA ELENA  DURAN SANTAMARIA</t>
  </si>
  <si>
    <t xml:space="preserve">83130092            </t>
  </si>
  <si>
    <t>elenangelica07@gmail.com</t>
  </si>
  <si>
    <t>BAR</t>
  </si>
  <si>
    <t>CHENY´S</t>
  </si>
  <si>
    <t>204400422</t>
  </si>
  <si>
    <t>00188576</t>
  </si>
  <si>
    <t>FRENTE A LA GUARDIA RURAL, QUEBRADA GRANDE.</t>
  </si>
  <si>
    <t>0000001916</t>
  </si>
  <si>
    <t xml:space="preserve">ASOCIACION CAMARA DE GANADEROS DE TILARAN  </t>
  </si>
  <si>
    <t>JOSE PABLO  MURILLO CHAVARRIA</t>
  </si>
  <si>
    <t>109250677</t>
  </si>
  <si>
    <t xml:space="preserve">89737010            </t>
  </si>
  <si>
    <t>jpmurilloch@gmail.com</t>
  </si>
  <si>
    <t>BAR LA SUBASTA.</t>
  </si>
  <si>
    <t>3002056564</t>
  </si>
  <si>
    <t xml:space="preserve">26955546            </t>
  </si>
  <si>
    <t>cadeganti@yahoo.es</t>
  </si>
  <si>
    <t>00040655</t>
  </si>
  <si>
    <t>1KM NORTE DEL ICE, CAMINO A NUEVO ARENAL</t>
  </si>
  <si>
    <t>0000001006</t>
  </si>
  <si>
    <t>BERSABE DE LOS ANGELES  BARAHONA ORTEGA</t>
  </si>
  <si>
    <t xml:space="preserve">84479379            </t>
  </si>
  <si>
    <t>b.laamistad2001@gmail.com</t>
  </si>
  <si>
    <t>BAR RESTAURANTE LA AMISTAD</t>
  </si>
  <si>
    <t>501940659</t>
  </si>
  <si>
    <t>00050822</t>
  </si>
  <si>
    <t>200M S DEL SALON COMUNAL RIO PIEDRAS</t>
  </si>
  <si>
    <t>0000000259</t>
  </si>
  <si>
    <t>CARLOS LUIS  HERRERA CHAVES</t>
  </si>
  <si>
    <t xml:space="preserve">86852207            </t>
  </si>
  <si>
    <t>herrerachavescarlos18@gmail.com</t>
  </si>
  <si>
    <t>"BAR CAVI.</t>
  </si>
  <si>
    <t>500820943</t>
  </si>
  <si>
    <t>ZOILA ROSA DE JESUS  CHAVES ZUMBADO</t>
  </si>
  <si>
    <t>herrerachavezcarlos18@gmail.com</t>
  </si>
  <si>
    <t>00024269</t>
  </si>
  <si>
    <t>70M S DE LA IGLESIA DE VIEJO ARENAL TILARAN</t>
  </si>
  <si>
    <t>0000000239</t>
  </si>
  <si>
    <t>CHRISTOPHER  CONEJO PONTEUR</t>
  </si>
  <si>
    <t xml:space="preserve">86143931            </t>
  </si>
  <si>
    <t>ponteurc@gmail.com</t>
  </si>
  <si>
    <t>LE BISTRO</t>
  </si>
  <si>
    <t>3101079081</t>
  </si>
  <si>
    <t xml:space="preserve">DESARROLLO TURISTICO Y AGROPECUARIO ARENAL SOCIEDA  </t>
  </si>
  <si>
    <t>lamansionarenal@gmail.com</t>
  </si>
  <si>
    <t>00025679</t>
  </si>
  <si>
    <t>B</t>
  </si>
  <si>
    <t>HOTEL MANSION INN LA UNION DE ARENAL.</t>
  </si>
  <si>
    <t>0000002204</t>
  </si>
  <si>
    <t xml:space="preserve">CORPORACION LOS VILLEGAR DE LA ALTURA SOCIEDAD ANO  </t>
  </si>
  <si>
    <t xml:space="preserve">84228931            </t>
  </si>
  <si>
    <t>anvillegar@hotmail.com</t>
  </si>
  <si>
    <t>Bar Restaurante Cadillac´s</t>
  </si>
  <si>
    <t>107970412</t>
  </si>
  <si>
    <t>WILSON GERARDO  SOTO NAVARRO</t>
  </si>
  <si>
    <t xml:space="preserve">6958383             </t>
  </si>
  <si>
    <t>00008926</t>
  </si>
  <si>
    <t>25 METROS NORTE DEL B.N.C.R, HOTEL TILARAN - TILARAN</t>
  </si>
  <si>
    <t>0000001803</t>
  </si>
  <si>
    <t xml:space="preserve">DOS AMIGAS SOCIEDAD DE RESPONSABILIDAD LIMITADA  </t>
  </si>
  <si>
    <t xml:space="preserve">TONYA CHRISTINE ASHER </t>
  </si>
  <si>
    <t>A37298871</t>
  </si>
  <si>
    <t>9</t>
  </si>
  <si>
    <t xml:space="preserve">87114027            </t>
  </si>
  <si>
    <t>tonyacasher@yahoo.com</t>
  </si>
  <si>
    <t>LOS AMIGOS</t>
  </si>
  <si>
    <t>3102852020</t>
  </si>
  <si>
    <t xml:space="preserve">BAR LOS AMIGOS DE ARENAL DOS MIL VEINTIDOS SOCIEDA  </t>
  </si>
  <si>
    <t xml:space="preserve">89770931            </t>
  </si>
  <si>
    <t xml:space="preserve">70865806            </t>
  </si>
  <si>
    <t>baramigos45@gmail.com</t>
  </si>
  <si>
    <t>00055477</t>
  </si>
  <si>
    <t>FRENTE A  LA PLAZA DE DEPORTES, ARENAL</t>
  </si>
  <si>
    <t>0000002126</t>
  </si>
  <si>
    <t>ELADIO DEL CARMEN  DELGADO CERDAS</t>
  </si>
  <si>
    <t xml:space="preserve">89967007            </t>
  </si>
  <si>
    <t>jenndijo83@hotmail.com</t>
  </si>
  <si>
    <t>BAR Y RESTAURANTE EQUUS</t>
  </si>
  <si>
    <t>3101768867</t>
  </si>
  <si>
    <t xml:space="preserve">XILOE VENTURES SOCIEDAD ANONIMA  </t>
  </si>
  <si>
    <t xml:space="preserve">83141443            </t>
  </si>
  <si>
    <t>cdtxiloe@gmail.com</t>
  </si>
  <si>
    <t>00023347</t>
  </si>
  <si>
    <t>BAR EQUUS CAMINO ARENAL TILARAN GTE</t>
  </si>
  <si>
    <t>0000001140</t>
  </si>
  <si>
    <t>ELBA ISABEL MAYELA  DURAN CONEJO</t>
  </si>
  <si>
    <t xml:space="preserve">87642439            </t>
  </si>
  <si>
    <t xml:space="preserve">26955425            </t>
  </si>
  <si>
    <t>elbaduranconejo@gmail.com</t>
  </si>
  <si>
    <t>Bar y Restaurante El Parque</t>
  </si>
  <si>
    <t>500940096</t>
  </si>
  <si>
    <t>GERMAN ANTONIO  VARGAS ALFARO</t>
  </si>
  <si>
    <t xml:space="preserve">88634500            </t>
  </si>
  <si>
    <t xml:space="preserve">26955347            </t>
  </si>
  <si>
    <t>vargasherman40@gmail.com</t>
  </si>
  <si>
    <t>00015425</t>
  </si>
  <si>
    <t>50 M NORTE DEL COMERCIAL TILARAN</t>
  </si>
  <si>
    <t>0000001594</t>
  </si>
  <si>
    <t>FRANCIS DANIELA  ARIAS VALLE</t>
  </si>
  <si>
    <t xml:space="preserve">87446799            </t>
  </si>
  <si>
    <t>francisariasvalle@gmail.com</t>
  </si>
  <si>
    <t>RANCHO GIRASOLES</t>
  </si>
  <si>
    <t>106650918</t>
  </si>
  <si>
    <t>JUAN DIEGO DE SAN GERARDO  CABEZAS CALVO</t>
  </si>
  <si>
    <t xml:space="preserve">89047218            </t>
  </si>
  <si>
    <t xml:space="preserve">84305887            </t>
  </si>
  <si>
    <t>losgirasolesdelibano2016@gmail.com</t>
  </si>
  <si>
    <t>00254099</t>
  </si>
  <si>
    <t>1.5 KM OESTE DEL SALON COMUNAL, SOLANIA, RESTAURANTE RANCHO LOS GIRASOLES</t>
  </si>
  <si>
    <t>0000002185</t>
  </si>
  <si>
    <t>JAIME  VARGAS SEGURA</t>
  </si>
  <si>
    <t xml:space="preserve">71003181            </t>
  </si>
  <si>
    <t>prefabricadossegura@gmail.com</t>
  </si>
  <si>
    <t>Restaurante El Mirador Los 80´s</t>
  </si>
  <si>
    <t>3101167907</t>
  </si>
  <si>
    <t xml:space="preserve">GANADERA MARICEL SOCIEDAD ANONIMA  </t>
  </si>
  <si>
    <t xml:space="preserve">57150721            </t>
  </si>
  <si>
    <t>silvajosespc@gmail.com</t>
  </si>
  <si>
    <t>00007985</t>
  </si>
  <si>
    <t>1.680KM.ESTE DEL PUENTE RIO PIEDRAS TIERRAS MORENAS TILARAN</t>
  </si>
  <si>
    <t>0000001636</t>
  </si>
  <si>
    <t>JAVIER GERARDO  ESPINOZA CERDAS</t>
  </si>
  <si>
    <t xml:space="preserve">61458204            </t>
  </si>
  <si>
    <t>javierespinoza2320@hotmail.com</t>
  </si>
  <si>
    <t>Bar Los Angeles</t>
  </si>
  <si>
    <t>502950167</t>
  </si>
  <si>
    <t>JOSE ALEXANDER  ULATE CUBERO</t>
  </si>
  <si>
    <t xml:space="preserve">87305066            </t>
  </si>
  <si>
    <t>aulatecubero@gmail.com</t>
  </si>
  <si>
    <t>00007437</t>
  </si>
  <si>
    <t>COSTADO SUR IGLESIA CATOLICA LOS ANGELES</t>
  </si>
  <si>
    <t>0000001848</t>
  </si>
  <si>
    <t>JORGE EDUARDO DEL SOCORRO  CONEJO SALAS</t>
  </si>
  <si>
    <t xml:space="preserve">83227699            </t>
  </si>
  <si>
    <t xml:space="preserve">26956238            </t>
  </si>
  <si>
    <t>jorgeconejos01@gmail.com</t>
  </si>
  <si>
    <t>BAR RESTAURANT TILAWA</t>
  </si>
  <si>
    <t>3101200362</t>
  </si>
  <si>
    <t xml:space="preserve">COMERCIAL COSA SOCIEDAD ANONIMA  </t>
  </si>
  <si>
    <t>00012305</t>
  </si>
  <si>
    <t>175 M SUR DEL BCR, TILARAN</t>
  </si>
  <si>
    <t>0000000995</t>
  </si>
  <si>
    <t>JOSE NAPOLEON  GARCIA LOPEZ</t>
  </si>
  <si>
    <t xml:space="preserve">62767833            </t>
  </si>
  <si>
    <t>frutera92@gmail.com</t>
  </si>
  <si>
    <t>BAR Y RESTAURANTE LA FRUTERA</t>
  </si>
  <si>
    <t>900930592</t>
  </si>
  <si>
    <t>JOSE LUIS  GONZALEZ ROJAS</t>
  </si>
  <si>
    <t xml:space="preserve">71394741            </t>
  </si>
  <si>
    <t>jenngongut1305@gmail.com</t>
  </si>
  <si>
    <t>00113256</t>
  </si>
  <si>
    <t>500 M NORTE DE LA PLAZA DEPORTES, CABECERAS.</t>
  </si>
  <si>
    <t>0000001198</t>
  </si>
  <si>
    <t>JUAN CARLOS  CONEJO CASTILLO</t>
  </si>
  <si>
    <t xml:space="preserve">84606938            </t>
  </si>
  <si>
    <t>restaurantechafis1967@gmail.com</t>
  </si>
  <si>
    <t>BAR RESTAURANTE CHAFIS</t>
  </si>
  <si>
    <t>3101511764</t>
  </si>
  <si>
    <t xml:space="preserve">LA TEJONA DEL LAGO ARENAL SOCIEDAD ANONIMA  </t>
  </si>
  <si>
    <t xml:space="preserve">85353671            </t>
  </si>
  <si>
    <t>marisa.mirancho@hotmail.com</t>
  </si>
  <si>
    <t>00088472</t>
  </si>
  <si>
    <t>2.5 KM NORTE DE LA AGENCIA ICE, TILARAN</t>
  </si>
  <si>
    <t>0000001983</t>
  </si>
  <si>
    <t xml:space="preserve">LA PEQUEÑA HELVECIA SOCIEDAD ANONIMA  </t>
  </si>
  <si>
    <t>SILENA  MONCADA BELLO</t>
  </si>
  <si>
    <t>302020824</t>
  </si>
  <si>
    <t xml:space="preserve">88139607            </t>
  </si>
  <si>
    <t>smonbe@pequenahelvecia.com</t>
  </si>
  <si>
    <t>RESTAURANTE LOS HEROES</t>
  </si>
  <si>
    <t>3101130626</t>
  </si>
  <si>
    <t xml:space="preserve">26928013            </t>
  </si>
  <si>
    <t>00182053</t>
  </si>
  <si>
    <t>HOTEL LOS HEROES, LA UNIÓN, ARENAL.</t>
  </si>
  <si>
    <t>0000000626</t>
  </si>
  <si>
    <t>LUIS ANGEL DE SAN GERARDO  RODRIGUEZ CORDOBA</t>
  </si>
  <si>
    <t xml:space="preserve">87883996            </t>
  </si>
  <si>
    <t xml:space="preserve">26952303            </t>
  </si>
  <si>
    <t>luisangel@gmail.com</t>
  </si>
  <si>
    <t>LA CASONA DE LIBANO</t>
  </si>
  <si>
    <t>502050442</t>
  </si>
  <si>
    <t>00007290</t>
  </si>
  <si>
    <t>50 M.NORTE DE LA IGLESIA CATOLICA, LIBANO</t>
  </si>
  <si>
    <t>0000001372</t>
  </si>
  <si>
    <t>MARGARITA ISABEL  RAMIREZ RODRIGUEZ</t>
  </si>
  <si>
    <t xml:space="preserve">87159981            </t>
  </si>
  <si>
    <t xml:space="preserve">83199956            </t>
  </si>
  <si>
    <t>ramirez13margarita@gmail.com</t>
  </si>
  <si>
    <t>MACO´S BAR RESTAURANTE Y SALON</t>
  </si>
  <si>
    <t>204760692</t>
  </si>
  <si>
    <t>HENRY RAFAEL  MEJIAS ESQUIVEL</t>
  </si>
  <si>
    <t xml:space="preserve">89237401            </t>
  </si>
  <si>
    <t>rmejiase13@gmail.com</t>
  </si>
  <si>
    <t>00038317</t>
  </si>
  <si>
    <t>FRENTE A LA PLAZA DE DEPORTES, TRONADORA</t>
  </si>
  <si>
    <t>0000001769</t>
  </si>
  <si>
    <t>MARIA JOSE  MEDINA RUIZ</t>
  </si>
  <si>
    <t xml:space="preserve">83816979            </t>
  </si>
  <si>
    <t>comprassilunas@gmail.com</t>
  </si>
  <si>
    <t xml:space="preserve">RESTAURANTE SILUNAS																					</t>
  </si>
  <si>
    <t>0000002212</t>
  </si>
  <si>
    <t>Bar y Restaurante El Tigre</t>
  </si>
  <si>
    <t>0000001652</t>
  </si>
  <si>
    <t>MELISSA  NOVO CAMBRONERO</t>
  </si>
  <si>
    <t xml:space="preserve">86265598            </t>
  </si>
  <si>
    <t>melissanovo611@gmail.com</t>
  </si>
  <si>
    <t>Bar y Restaurante Cevichitos</t>
  </si>
  <si>
    <t>501010712</t>
  </si>
  <si>
    <t>OSCAR ALBERTO DE JESUS  NOVO FLORES</t>
  </si>
  <si>
    <t xml:space="preserve">88738382            </t>
  </si>
  <si>
    <t xml:space="preserve">26953147            </t>
  </si>
  <si>
    <t>00006845</t>
  </si>
  <si>
    <t>80 MTS SUR DE LA CATEDRAL DE TILARAN</t>
  </si>
  <si>
    <t>0000001856</t>
  </si>
  <si>
    <t xml:space="preserve">NUEVO ARENAL SOCIEDAD ANONIMA  </t>
  </si>
  <si>
    <t xml:space="preserve">88278811            </t>
  </si>
  <si>
    <t>aurorainnhotel@hotmail.com</t>
  </si>
  <si>
    <t>BAR LA MURALLA</t>
  </si>
  <si>
    <t>3101635442</t>
  </si>
  <si>
    <t xml:space="preserve">3-101-635442 SOCIEDAD ANONIMA  </t>
  </si>
  <si>
    <t>eugalde_arenal@hotmail.com</t>
  </si>
  <si>
    <t>00127734</t>
  </si>
  <si>
    <t xml:space="preserve">COSTADO SUR DE LA PLAZA DE DEPORTES, ARENAL.																						
</t>
  </si>
  <si>
    <t>0000000636</t>
  </si>
  <si>
    <t>RINA GENARA  RIVERA CARRION</t>
  </si>
  <si>
    <t xml:space="preserve">71332831            </t>
  </si>
  <si>
    <t>rinagenarariveracarrion@gmail.com</t>
  </si>
  <si>
    <t>BAR Y RESTAURANTE RANCHO ALEGRE</t>
  </si>
  <si>
    <t>3101438234</t>
  </si>
  <si>
    <t xml:space="preserve">GRUPO DE TRANSPORTES DEL NORTE HERRERA SOCIEDAD AN  </t>
  </si>
  <si>
    <t xml:space="preserve">86435922            </t>
  </si>
  <si>
    <t xml:space="preserve">26955352            </t>
  </si>
  <si>
    <t>newwesttours@yahoo.com</t>
  </si>
  <si>
    <t>00175204</t>
  </si>
  <si>
    <t>RANCHO ALEGRE, 5 KM DE TILARAN CAMINO A QUEBRADA GRANDE</t>
  </si>
  <si>
    <t>0000001202</t>
  </si>
  <si>
    <t>SANTIAGO ALONSO  MEJIAS CASTRO</t>
  </si>
  <si>
    <t xml:space="preserve">86998871            </t>
  </si>
  <si>
    <t>kalvarez.1972@hotmail.com</t>
  </si>
  <si>
    <t>CHICHARRONERA Península I</t>
  </si>
  <si>
    <t>502700433</t>
  </si>
  <si>
    <t>00129314</t>
  </si>
  <si>
    <t>1800M NOROESTE DEL CTP TRONADORA</t>
  </si>
  <si>
    <t>0000001863</t>
  </si>
  <si>
    <t>BAR LAKE ARENAL BREWERY</t>
  </si>
  <si>
    <t>0000000749</t>
  </si>
  <si>
    <t>XIOMARA MARIA  PICADO BADILLA</t>
  </si>
  <si>
    <t xml:space="preserve">87801852            </t>
  </si>
  <si>
    <t>picadobadillaxiomara@gmail.com</t>
  </si>
  <si>
    <t>BAR Y SALON EL GRAN TENORIO</t>
  </si>
  <si>
    <t>400870127</t>
  </si>
  <si>
    <t>EVELIO GERARDO DEL SOCORRO  PICADO CESPEDES</t>
  </si>
  <si>
    <t xml:space="preserve">86710762            </t>
  </si>
  <si>
    <t xml:space="preserve">87035803            </t>
  </si>
  <si>
    <t>alanm1966@hotmail.com</t>
  </si>
  <si>
    <t>00059886</t>
  </si>
  <si>
    <t>COSTADO ESTE DEL SALON COMUNAL, TIERRAS MORENAS EL GRAN TENO</t>
  </si>
  <si>
    <t>0000001756</t>
  </si>
  <si>
    <t>YEILIN MELISA  ALVAREZ NUÑEZ</t>
  </si>
  <si>
    <t xml:space="preserve">87178714            </t>
  </si>
  <si>
    <t>restaurante.pr9@gmail.com</t>
  </si>
  <si>
    <t>LA PRADERA BAR RESTAURANTE</t>
  </si>
  <si>
    <t>203680191</t>
  </si>
  <si>
    <t>MARIO ALEXIS  BOGANTES FAJARDO</t>
  </si>
  <si>
    <t xml:space="preserve">88226417            </t>
  </si>
  <si>
    <t>bagantesmario@gmail.com</t>
  </si>
  <si>
    <t>00183421</t>
  </si>
  <si>
    <t>100 M ESTE Y 2KM NORTE DEL SERVICETRO TILARAN*LA PRADERA*</t>
  </si>
  <si>
    <t>0000002106</t>
  </si>
  <si>
    <t>CHRISTOPHER ALBERTO  VALVERDE GAITAN</t>
  </si>
  <si>
    <t xml:space="preserve">86113230            </t>
  </si>
  <si>
    <t>cristofervalverde47@gmail.com</t>
  </si>
  <si>
    <t>BARBERÍA</t>
  </si>
  <si>
    <t>Barber Shop C-King</t>
  </si>
  <si>
    <t>3101096821</t>
  </si>
  <si>
    <t xml:space="preserve">HERXIN SOCIEDAD ANONIMA  </t>
  </si>
  <si>
    <t xml:space="preserve">88255373            </t>
  </si>
  <si>
    <t xml:space="preserve">26955365            </t>
  </si>
  <si>
    <t>hernan.jenkins.murillo@gmail.com</t>
  </si>
  <si>
    <t>00007254</t>
  </si>
  <si>
    <t>FRENTE AL MERCADO MUNICIPAL</t>
  </si>
  <si>
    <t>0000001934</t>
  </si>
  <si>
    <t>GREIVIN ENRIQUE  SANDI CABEZAS</t>
  </si>
  <si>
    <t xml:space="preserve">85804719            </t>
  </si>
  <si>
    <t>gsc8819@gmail.com</t>
  </si>
  <si>
    <t>La Barber</t>
  </si>
  <si>
    <t>00231788</t>
  </si>
  <si>
    <t>50 M NORTE DE LA GUARDIA RURAL, TILARAN.</t>
  </si>
  <si>
    <t>0000001269</t>
  </si>
  <si>
    <t>LUIS ANDRES  ALVARADO CARRANZA</t>
  </si>
  <si>
    <t xml:space="preserve">61192511            </t>
  </si>
  <si>
    <t xml:space="preserve">71033376            </t>
  </si>
  <si>
    <t>palesk8360@gmail.com</t>
  </si>
  <si>
    <t>DUBA BARBER</t>
  </si>
  <si>
    <t>602940134</t>
  </si>
  <si>
    <t>ESTEBAN  SIBAJA ALVAREZ</t>
  </si>
  <si>
    <t xml:space="preserve">88155415            </t>
  </si>
  <si>
    <t xml:space="preserve">26957041            </t>
  </si>
  <si>
    <t>tallerchavoesa@gmail.com</t>
  </si>
  <si>
    <t>00021315</t>
  </si>
  <si>
    <t>125 MTS ESTE DEL BANCO DE COSTA RICA, TILARÁN</t>
  </si>
  <si>
    <t>0000001822</t>
  </si>
  <si>
    <t>LUIS CARLOS  ARIAS MUÑOZ</t>
  </si>
  <si>
    <t xml:space="preserve">86295185            </t>
  </si>
  <si>
    <t>estilostilaran2025@gmail.com</t>
  </si>
  <si>
    <t>STUDIO TILARAN</t>
  </si>
  <si>
    <t>501431288</t>
  </si>
  <si>
    <t>LILIA MABEL  BARRIENTOS VALERIO</t>
  </si>
  <si>
    <t xml:space="preserve">71289103            </t>
  </si>
  <si>
    <t>barrientosmabelspc@gmail.com</t>
  </si>
  <si>
    <t>00006235</t>
  </si>
  <si>
    <t>DIAGONAL AL BANCO NACIONAL, TILARÁN</t>
  </si>
  <si>
    <t>0000001890</t>
  </si>
  <si>
    <t>AHMAD  SHIRKAVAND SABBAGH</t>
  </si>
  <si>
    <t xml:space="preserve">85697494            </t>
  </si>
  <si>
    <t xml:space="preserve">26944207            </t>
  </si>
  <si>
    <t>ahmadiran@gmail.com</t>
  </si>
  <si>
    <t>BAZAR Y PASAMANERIA</t>
  </si>
  <si>
    <t>MISTER COCAL</t>
  </si>
  <si>
    <t>800730772</t>
  </si>
  <si>
    <t>00055666</t>
  </si>
  <si>
    <t>300 SUR GASOLINERA NUEVO ARENAL</t>
  </si>
  <si>
    <t>0000000549</t>
  </si>
  <si>
    <t>ALVARO RAFAEL  GRANADOS CHAVERRI</t>
  </si>
  <si>
    <t xml:space="preserve">85553626            </t>
  </si>
  <si>
    <t>salazarbolanosjuly18@gmail.com</t>
  </si>
  <si>
    <t>JULY</t>
  </si>
  <si>
    <t>108960776</t>
  </si>
  <si>
    <t>00007818</t>
  </si>
  <si>
    <t>75 M OESTE DEL BCR, TILARÁN</t>
  </si>
  <si>
    <t>0000001780</t>
  </si>
  <si>
    <t>ASHLEY  PEREZ SOLANO</t>
  </si>
  <si>
    <t xml:space="preserve">86436033            </t>
  </si>
  <si>
    <t>ass18.pe@gmail.com</t>
  </si>
  <si>
    <t>ISA STORE</t>
  </si>
  <si>
    <t>3102903761</t>
  </si>
  <si>
    <t xml:space="preserve">3-102-903761 SOCIEDAD DE RESPONSABILIDAD LIMITADA  </t>
  </si>
  <si>
    <t xml:space="preserve">88692857            </t>
  </si>
  <si>
    <t>jorge17.hrc@gmail.com</t>
  </si>
  <si>
    <t>00025565</t>
  </si>
  <si>
    <t>100 NORTE 25 ESTE DEL MERCADO MUNICIPAL</t>
  </si>
  <si>
    <t>0000002089</t>
  </si>
  <si>
    <t>AZALEA DEL CARMEN  ROJAS ALVARADO</t>
  </si>
  <si>
    <t xml:space="preserve">86232696            </t>
  </si>
  <si>
    <t xml:space="preserve">26938610            </t>
  </si>
  <si>
    <t>azalearojas23@gmail.com</t>
  </si>
  <si>
    <t>BAZAR SINAI</t>
  </si>
  <si>
    <t>501920320</t>
  </si>
  <si>
    <t>00080943</t>
  </si>
  <si>
    <t>500 M OESTE DE LA ESCUELA CABECERAS</t>
  </si>
  <si>
    <t>0000000252</t>
  </si>
  <si>
    <t xml:space="preserve">CIRCULO DE HYPERION SOCIEDAD ANONIMA  </t>
  </si>
  <si>
    <t xml:space="preserve">85323292            </t>
  </si>
  <si>
    <t xml:space="preserve">26956430            </t>
  </si>
  <si>
    <t>circulohyperion@gmail.com</t>
  </si>
  <si>
    <t>CIRCULO HYPERION</t>
  </si>
  <si>
    <t>503730222</t>
  </si>
  <si>
    <t>PRISCILA VANESSA  ALVAREZ NUÑEZ</t>
  </si>
  <si>
    <t xml:space="preserve">88450005            </t>
  </si>
  <si>
    <t>prisci0989@gmail.com</t>
  </si>
  <si>
    <t>00007146</t>
  </si>
  <si>
    <t>50 M AL NORTE DE LA CATEDRAL, TILARÁN</t>
  </si>
  <si>
    <t>0000000664</t>
  </si>
  <si>
    <t xml:space="preserve">DAWEI WU </t>
  </si>
  <si>
    <t xml:space="preserve">60355008            </t>
  </si>
  <si>
    <t>wuhujuliomario173@gmail.com</t>
  </si>
  <si>
    <t>NUEVO MEGA HOGAR</t>
  </si>
  <si>
    <t>00008698</t>
  </si>
  <si>
    <t>100 M ESTE DE LA GASOLINERA, TILARAN.</t>
  </si>
  <si>
    <t>0000001906</t>
  </si>
  <si>
    <t>DIEGO ANDRES  PORRAS ACUÑA</t>
  </si>
  <si>
    <t xml:space="preserve">83224959            </t>
  </si>
  <si>
    <t>diego2287@gmail.com</t>
  </si>
  <si>
    <t>BAZAR T</t>
  </si>
  <si>
    <t>106360940</t>
  </si>
  <si>
    <t>KATHYA MARCELA  ACUÑA DELGADO</t>
  </si>
  <si>
    <t xml:space="preserve">88107913            </t>
  </si>
  <si>
    <t>kathyamarcela27@gmail.com</t>
  </si>
  <si>
    <t>00072751</t>
  </si>
  <si>
    <t>100 M NORTE DE LA PUPERIA PARCELAS DE QDA AZUL, SANTA ROSA</t>
  </si>
  <si>
    <t>0000002261</t>
  </si>
  <si>
    <t>EDWARD ANTONIO  ALVARADO CASTRO</t>
  </si>
  <si>
    <t xml:space="preserve">87691684            </t>
  </si>
  <si>
    <t>edwardcastro20205@gmail.com</t>
  </si>
  <si>
    <t>JOEMII</t>
  </si>
  <si>
    <t>501280867</t>
  </si>
  <si>
    <t>FLORA ALICIA DE LA TRINIDAD  RAMIREZ MOLINA</t>
  </si>
  <si>
    <t xml:space="preserve">88673566            </t>
  </si>
  <si>
    <t xml:space="preserve">26955724            </t>
  </si>
  <si>
    <t>dretalva@gmail.com</t>
  </si>
  <si>
    <t>00006213</t>
  </si>
  <si>
    <t>100 MTS NORTE DEL MERCADO MUNICIPAL</t>
  </si>
  <si>
    <t>0000002279</t>
  </si>
  <si>
    <t>EVELYN DANIELA  CHEVEZ ROBLES</t>
  </si>
  <si>
    <t xml:space="preserve">88766635            </t>
  </si>
  <si>
    <t>christtichevez@gmail.com</t>
  </si>
  <si>
    <t>Todo a Mil y Dos Mil</t>
  </si>
  <si>
    <t>106950760</t>
  </si>
  <si>
    <t>KATIA  MARTINEZ FLORES</t>
  </si>
  <si>
    <t xml:space="preserve">88112929            </t>
  </si>
  <si>
    <t xml:space="preserve">26956797            </t>
  </si>
  <si>
    <t>katymarflo@hotmail.com</t>
  </si>
  <si>
    <t>00006767</t>
  </si>
  <si>
    <t>50 M OESTE DEL BANCO NACIONAL</t>
  </si>
  <si>
    <t>0000002032</t>
  </si>
  <si>
    <t xml:space="preserve">GRUPO COTI SOCIEDAD ANONIMA  </t>
  </si>
  <si>
    <t>BRYAN  CABEZAS ESPINOZA</t>
  </si>
  <si>
    <t>503730153</t>
  </si>
  <si>
    <t xml:space="preserve">87622780            </t>
  </si>
  <si>
    <t xml:space="preserve">26953234            </t>
  </si>
  <si>
    <t>brycabezas1989e@gmail.com</t>
  </si>
  <si>
    <t>CHICHILANDIA</t>
  </si>
  <si>
    <t>501760877</t>
  </si>
  <si>
    <t>FLOR GIOVANNA  PEREZ ARTAVIA</t>
  </si>
  <si>
    <t xml:space="preserve">88504756            </t>
  </si>
  <si>
    <t>rmcastano52@gmail.com</t>
  </si>
  <si>
    <t>00048069</t>
  </si>
  <si>
    <t>100 M NORTE Y 15 M OESTE DE LA  CATEDRAL</t>
  </si>
  <si>
    <t>0000002134</t>
  </si>
  <si>
    <t>LIBÉLULA CR</t>
  </si>
  <si>
    <t>00065981</t>
  </si>
  <si>
    <t>100M E DE LA ESCUELA DE CABECERAS</t>
  </si>
  <si>
    <t>0000002193</t>
  </si>
  <si>
    <t>KATYA VANESSA  HERRERA MEJIAS</t>
  </si>
  <si>
    <t xml:space="preserve">88113091            </t>
  </si>
  <si>
    <t xml:space="preserve">26931481            </t>
  </si>
  <si>
    <t>novalibreria@gmail.com</t>
  </si>
  <si>
    <t>NOVA LIBRERÍA</t>
  </si>
  <si>
    <t>501230931</t>
  </si>
  <si>
    <t>JOSE ANSELMO DEL SOCORRO  HERRERA ZAMORA</t>
  </si>
  <si>
    <t xml:space="preserve">86718384            </t>
  </si>
  <si>
    <t xml:space="preserve">0                   </t>
  </si>
  <si>
    <t>00038303</t>
  </si>
  <si>
    <t>COSTADO OESTE DE PLAZA DE DEPORTES</t>
  </si>
  <si>
    <t>0000000538</t>
  </si>
  <si>
    <t>KIMBERLY PATRICIA  SOTO CORDERO</t>
  </si>
  <si>
    <t xml:space="preserve">63965218            </t>
  </si>
  <si>
    <t>sotok0102@gmail.com</t>
  </si>
  <si>
    <t>INNOVA ARENAL</t>
  </si>
  <si>
    <t>00055506</t>
  </si>
  <si>
    <t>COSTADO SUR DE LA CENTRAL TELEFONICA</t>
  </si>
  <si>
    <t>0000002003</t>
  </si>
  <si>
    <t xml:space="preserve">LIBRERIA GUATUSO J V SOCIEDAD ANONIMA  </t>
  </si>
  <si>
    <t xml:space="preserve">88472817            </t>
  </si>
  <si>
    <t>libreriarenal@gmail.com</t>
  </si>
  <si>
    <t>TIENDA LIBRERIA ARENAL</t>
  </si>
  <si>
    <t>3101222734</t>
  </si>
  <si>
    <t xml:space="preserve">LAJAS DE NUEVO ARENAL SOCIEDAD ANONIMA  </t>
  </si>
  <si>
    <t xml:space="preserve">83789046            </t>
  </si>
  <si>
    <t xml:space="preserve">26944011            </t>
  </si>
  <si>
    <t>dramurilloa@gmail.com</t>
  </si>
  <si>
    <t>00055493</t>
  </si>
  <si>
    <t>50 MTS OESTE DE LA GASOLINERA ARENAL</t>
  </si>
  <si>
    <t>0000000725</t>
  </si>
  <si>
    <t>MARIO ENRIQUE  CABEZAS RODRIGUEZ</t>
  </si>
  <si>
    <t xml:space="preserve">84898757            </t>
  </si>
  <si>
    <t>mariocabezas170@gmail.com</t>
  </si>
  <si>
    <t>DETALLES ELOHIM</t>
  </si>
  <si>
    <t>502280452</t>
  </si>
  <si>
    <t>OLGA MARTA  SANCHEZ LOPEZ</t>
  </si>
  <si>
    <t xml:space="preserve">86756298            </t>
  </si>
  <si>
    <t>honchiucheung.1951@gmail.com</t>
  </si>
  <si>
    <t>00084696</t>
  </si>
  <si>
    <t>0000000337</t>
  </si>
  <si>
    <t>NATALIA IVETH  ZAMORA RODRIGUEZ</t>
  </si>
  <si>
    <t xml:space="preserve">87082577            </t>
  </si>
  <si>
    <t>hymcontabilidad@gmail.com</t>
  </si>
  <si>
    <t>NE Accesorios y más</t>
  </si>
  <si>
    <t>107690588</t>
  </si>
  <si>
    <t>HENRY GUSTAVO  ELIZONDO VEGA</t>
  </si>
  <si>
    <t xml:space="preserve">87204128            </t>
  </si>
  <si>
    <t>hgelizondo@hgwindtec.com</t>
  </si>
  <si>
    <t>00020238</t>
  </si>
  <si>
    <t>100 M OESTE DE LA CASA EPISCOPAL</t>
  </si>
  <si>
    <t>0000002016</t>
  </si>
  <si>
    <t>SIANY DILANIA  RAMIREZ MEJIAS</t>
  </si>
  <si>
    <t xml:space="preserve">60406900            </t>
  </si>
  <si>
    <t>sianyrm09@gmail.com</t>
  </si>
  <si>
    <t>VARIEDADES Y TENDENCIAS SR</t>
  </si>
  <si>
    <t>502290368</t>
  </si>
  <si>
    <t>ELIECER GERARDO  TORRES VARGAS</t>
  </si>
  <si>
    <t xml:space="preserve">89107084            </t>
  </si>
  <si>
    <t xml:space="preserve">26944683            </t>
  </si>
  <si>
    <t>eltorres@cnfi.go.cr</t>
  </si>
  <si>
    <t>00055494</t>
  </si>
  <si>
    <t>CONTIGUO A CENTRAL TELEFONICA DEL ICE ARENAL</t>
  </si>
  <si>
    <t>0000002066</t>
  </si>
  <si>
    <t xml:space="preserve">SUPLIDORA ESTILOS &amp; SONRISAS SOCIEDAD DE RESPONSAB  </t>
  </si>
  <si>
    <t>ERICKA STEPHANY  GONZALEZ ARTAVIA</t>
  </si>
  <si>
    <t>503730641</t>
  </si>
  <si>
    <t xml:space="preserve">87818544            </t>
  </si>
  <si>
    <t>esga31@yahoo.com</t>
  </si>
  <si>
    <t>SUPLIDORA ESTILOS Y SONRISAS</t>
  </si>
  <si>
    <t>0000001832</t>
  </si>
  <si>
    <t xml:space="preserve">TILACENTRO COMERCIAL SOCIEDAD ANONIMA  </t>
  </si>
  <si>
    <t xml:space="preserve">88180921            </t>
  </si>
  <si>
    <t xml:space="preserve">26956201            </t>
  </si>
  <si>
    <t>tilacentrocomercial@gmail.com</t>
  </si>
  <si>
    <t>TILACENTRO COMERCIAL</t>
  </si>
  <si>
    <t>3101200005</t>
  </si>
  <si>
    <t>00032662</t>
  </si>
  <si>
    <t>100 M NORTE DE LA  CATEDRAL, TILARAN.</t>
  </si>
  <si>
    <t>0000000652</t>
  </si>
  <si>
    <t xml:space="preserve">TILARAN PARAISO DE ALTURA SOCIEDAD ANONIMA  </t>
  </si>
  <si>
    <t>RODOLFO  MURILLO ALVAREZ</t>
  </si>
  <si>
    <t>502360713</t>
  </si>
  <si>
    <t xml:space="preserve">83779039            </t>
  </si>
  <si>
    <t>pacafero@gmail.com</t>
  </si>
  <si>
    <t>TILAMAGICO</t>
  </si>
  <si>
    <t>3002045433</t>
  </si>
  <si>
    <t xml:space="preserve">ASOCIACION CRUZ ROJA COSTARRICENSE  </t>
  </si>
  <si>
    <t xml:space="preserve">26956963            </t>
  </si>
  <si>
    <t>tilaran@cruzroja.or.cr</t>
  </si>
  <si>
    <t>00132114</t>
  </si>
  <si>
    <t>25 M SUR DEL BANCO DE COSTA RICA</t>
  </si>
  <si>
    <t>0000000723</t>
  </si>
  <si>
    <t>YAHAIRA  MURILLO DURAN</t>
  </si>
  <si>
    <t xml:space="preserve">86604914            </t>
  </si>
  <si>
    <t>elgirasol5020@hotmail.com</t>
  </si>
  <si>
    <t>LIBRERIA EL GIRASOL</t>
  </si>
  <si>
    <t>3101885327</t>
  </si>
  <si>
    <t xml:space="preserve">INVERSIONES DAGROS P S DEL NORTE SOCIEDAD ANONIMA  </t>
  </si>
  <si>
    <t xml:space="preserve">88987632            </t>
  </si>
  <si>
    <t>gperezsalas9@gmail.com</t>
  </si>
  <si>
    <t>00055510</t>
  </si>
  <si>
    <t>25M ESTE GAR</t>
  </si>
  <si>
    <t>0000000123</t>
  </si>
  <si>
    <t>YESENIA  DELGADO HERNANDEZ</t>
  </si>
  <si>
    <t xml:space="preserve">83390884            </t>
  </si>
  <si>
    <t>jeka_dh@hotmail.com</t>
  </si>
  <si>
    <t>RECAUDADORA Y BAZAR OCTOBER 31</t>
  </si>
  <si>
    <t>0000002122</t>
  </si>
  <si>
    <t>ZAYRA  SIBAJA VARGAS</t>
  </si>
  <si>
    <t xml:space="preserve">88236678            </t>
  </si>
  <si>
    <t xml:space="preserve">83228707            </t>
  </si>
  <si>
    <t>zairasv@hotmail.com</t>
  </si>
  <si>
    <t>Casa Linda Home &amp; Living</t>
  </si>
  <si>
    <t>602330963</t>
  </si>
  <si>
    <t>RANDALL SANDY  SOTO GUEVARA</t>
  </si>
  <si>
    <t xml:space="preserve">88106601            </t>
  </si>
  <si>
    <t>bambuarenal@gmail.com</t>
  </si>
  <si>
    <t>00055511</t>
  </si>
  <si>
    <t>15M E GAR</t>
  </si>
  <si>
    <t>0000002210</t>
  </si>
  <si>
    <t>ALEJANDRO DAVID DEL SOCORRO  CRUZ CHAVES</t>
  </si>
  <si>
    <t xml:space="preserve">83586412            </t>
  </si>
  <si>
    <t>alejandrocch00@gmail.com</t>
  </si>
  <si>
    <t>BUHONERO</t>
  </si>
  <si>
    <t>CARNITAS CHATO</t>
  </si>
  <si>
    <t>0000000219</t>
  </si>
  <si>
    <t>CATALINA  ARCE CRUZ</t>
  </si>
  <si>
    <t xml:space="preserve">63571597            </t>
  </si>
  <si>
    <t>catalinaarce856@gmail.com</t>
  </si>
  <si>
    <t>SOUVENIR VENTA DE ARTESANÍAS</t>
  </si>
  <si>
    <t>0000001311</t>
  </si>
  <si>
    <t>DANIEL  NUÑEZ RODRIGUEZ</t>
  </si>
  <si>
    <t xml:space="preserve">83588164            </t>
  </si>
  <si>
    <t>dnr260560@gmail.com</t>
  </si>
  <si>
    <t>0000000499</t>
  </si>
  <si>
    <t>DELVIN JOSE  GONZALEZ MACHADO</t>
  </si>
  <si>
    <t xml:space="preserve">63087060            </t>
  </si>
  <si>
    <t>gdelvin742@gmail.com</t>
  </si>
  <si>
    <t>CALZADO MASAYA</t>
  </si>
  <si>
    <t xml:space="preserve">61966413            </t>
  </si>
  <si>
    <t>0000002077</t>
  </si>
  <si>
    <t>ESTEBAN  SALAS RODRIGUEZ</t>
  </si>
  <si>
    <t xml:space="preserve">89485355            </t>
  </si>
  <si>
    <t>pinpinparadise3210@gmail.com</t>
  </si>
  <si>
    <t>Pinpin Paradise Café</t>
  </si>
  <si>
    <t xml:space="preserve">83785723            </t>
  </si>
  <si>
    <t>0000002020</t>
  </si>
  <si>
    <t>GERARDITA DEL CARMEN  CRUZ CHAVES</t>
  </si>
  <si>
    <t xml:space="preserve">71459109            </t>
  </si>
  <si>
    <t>gerarditacruz54@gmail.com</t>
  </si>
  <si>
    <t>GERARDITA DEL CARMEN CRUZ CHAVES</t>
  </si>
  <si>
    <t xml:space="preserve">89980303            </t>
  </si>
  <si>
    <t>0000002040</t>
  </si>
  <si>
    <t>HECTOR MANUEL  SERRANO JIMENEZ</t>
  </si>
  <si>
    <t xml:space="preserve">84701066            </t>
  </si>
  <si>
    <t>vivianfuentesperaza@gmail.com</t>
  </si>
  <si>
    <t>GOLOSINAS VIVI</t>
  </si>
  <si>
    <t>0000001967</t>
  </si>
  <si>
    <t>HENRY OLIVIER  SALAS GUERRERO</t>
  </si>
  <si>
    <t xml:space="preserve">62153115            </t>
  </si>
  <si>
    <t>henryzalaz17@gmail.com</t>
  </si>
  <si>
    <t xml:space="preserve">83336330            </t>
  </si>
  <si>
    <t>0000000362</t>
  </si>
  <si>
    <t>JASON ERNESTO  BARBERENA HENRY</t>
  </si>
  <si>
    <t xml:space="preserve">89575261            </t>
  </si>
  <si>
    <t>jasonbarberena88@gmail.com</t>
  </si>
  <si>
    <t>VOLCANO ROCK</t>
  </si>
  <si>
    <t xml:space="preserve">83298157            </t>
  </si>
  <si>
    <t>0000001766</t>
  </si>
  <si>
    <t>JORGE ARTURO  CHAVARRIA MONGE</t>
  </si>
  <si>
    <t xml:space="preserve">83474881            </t>
  </si>
  <si>
    <t>jorgechavarriafacturas@gmail.com</t>
  </si>
  <si>
    <t>PASTELES ZURDO</t>
  </si>
  <si>
    <t>0000000253</t>
  </si>
  <si>
    <t>JORGE ARTURO  SOLANO CASTRO</t>
  </si>
  <si>
    <t xml:space="preserve">86990649            </t>
  </si>
  <si>
    <t>jarturosolanocastro@gmail.com</t>
  </si>
  <si>
    <t>FRUTAS Y VERDURAS TILARAN</t>
  </si>
  <si>
    <t xml:space="preserve">88245048            </t>
  </si>
  <si>
    <t>0000000224</t>
  </si>
  <si>
    <t>JOSE ANGEL  ANCHIA CABEZAS</t>
  </si>
  <si>
    <t xml:space="preserve">84191861            </t>
  </si>
  <si>
    <t>jose_anchia@hotmail.com</t>
  </si>
  <si>
    <t>ARTESANIAS</t>
  </si>
  <si>
    <t xml:space="preserve">87560157            </t>
  </si>
  <si>
    <t>0000002057</t>
  </si>
  <si>
    <t>JOSELYN TATIANA  RAMIREZ MARIN</t>
  </si>
  <si>
    <t xml:space="preserve">71119359            </t>
  </si>
  <si>
    <t>joseline.ramirez231194@gmail.com</t>
  </si>
  <si>
    <t>Flores Joselyn</t>
  </si>
  <si>
    <t xml:space="preserve">88800539            </t>
  </si>
  <si>
    <t>0000001830</t>
  </si>
  <si>
    <t>LEDIS GABRIELA  MOLINA BARRANTES</t>
  </si>
  <si>
    <t xml:space="preserve">85320329            </t>
  </si>
  <si>
    <t>gabytomasmolina2802@gmail.com</t>
  </si>
  <si>
    <t>MOLI ENTREGAS</t>
  </si>
  <si>
    <t xml:space="preserve">83171529            </t>
  </si>
  <si>
    <t>0000002061</t>
  </si>
  <si>
    <t>LUIS RODOLFO  BONICHE MEDRANO</t>
  </si>
  <si>
    <t xml:space="preserve">88508146            </t>
  </si>
  <si>
    <t>bonicheamistad@gmail.com</t>
  </si>
  <si>
    <t>FRUTAS LA AMISTAD</t>
  </si>
  <si>
    <t xml:space="preserve">88196793            </t>
  </si>
  <si>
    <t>0000000277</t>
  </si>
  <si>
    <t>MARCONILO  RAMOS VIQUEZ</t>
  </si>
  <si>
    <t xml:space="preserve">88984636            </t>
  </si>
  <si>
    <t>marconilorv50@gmail.com</t>
  </si>
  <si>
    <t>CAFE ORGANICO ARTESANAL</t>
  </si>
  <si>
    <t xml:space="preserve">86911212            </t>
  </si>
  <si>
    <t>0000000310</t>
  </si>
  <si>
    <t>MARIA CRISTINA  PIMENTEL CHAVARRIA</t>
  </si>
  <si>
    <t xml:space="preserve">89187020            </t>
  </si>
  <si>
    <t>artesaniadupi@gmail.com</t>
  </si>
  <si>
    <t>ARTESANIAS DUPI</t>
  </si>
  <si>
    <t>0000002009</t>
  </si>
  <si>
    <t>MARIA DEL CARMEN  ARIAS NUÑEZ</t>
  </si>
  <si>
    <t xml:space="preserve">87142451            </t>
  </si>
  <si>
    <t>mariafacturas68@gmail.com</t>
  </si>
  <si>
    <t>Venta de artesanías</t>
  </si>
  <si>
    <t>0000001627</t>
  </si>
  <si>
    <t>MARIA DEL ROCIO  ALFARO ROJAS</t>
  </si>
  <si>
    <t xml:space="preserve">61516173            </t>
  </si>
  <si>
    <t>chinorocio91@gmail.com</t>
  </si>
  <si>
    <t>VENTA DE FRUTAS Y VERDURAS</t>
  </si>
  <si>
    <t xml:space="preserve">88987764            </t>
  </si>
  <si>
    <t>0000002073</t>
  </si>
  <si>
    <t>MARIO ANTONIO ANGEL  LOPEZ SEGURA</t>
  </si>
  <si>
    <t xml:space="preserve">86333666            </t>
  </si>
  <si>
    <t>aysc2319@gmail.com</t>
  </si>
  <si>
    <t>0000000221</t>
  </si>
  <si>
    <t>NAJIB EDGARDO  MASIS PERAZA</t>
  </si>
  <si>
    <t xml:space="preserve">87878995            </t>
  </si>
  <si>
    <t>ngatomateo@gmail.com</t>
  </si>
  <si>
    <t>TOGA MONCHIS</t>
  </si>
  <si>
    <t xml:space="preserve">87012793            </t>
  </si>
  <si>
    <t>0000000469</t>
  </si>
  <si>
    <t>RICARDO JUAN MARIA DEL CARMEN  PICADO FERNANDEZ</t>
  </si>
  <si>
    <t xml:space="preserve">86998806            </t>
  </si>
  <si>
    <t>VENTA DE LOTERIA</t>
  </si>
  <si>
    <t xml:space="preserve">88156828            </t>
  </si>
  <si>
    <t>0000001424</t>
  </si>
  <si>
    <t>RONALD GERARDO  FERNANDEZ RAMIREZ</t>
  </si>
  <si>
    <t xml:space="preserve">61325149            </t>
  </si>
  <si>
    <t>rf7397677@gmail.com</t>
  </si>
  <si>
    <t>VENTA DE ARTICULOS DOMESTICOS</t>
  </si>
  <si>
    <t xml:space="preserve">88872541            </t>
  </si>
  <si>
    <t>0000001187</t>
  </si>
  <si>
    <t>SILVIA YAMILETH  BARAHONA VALLE</t>
  </si>
  <si>
    <t xml:space="preserve">63398943            </t>
  </si>
  <si>
    <t>normaortiz.ni@gmail.com</t>
  </si>
  <si>
    <t>ACESORIOS DON ROGER</t>
  </si>
  <si>
    <t xml:space="preserve">84916209            </t>
  </si>
  <si>
    <t>0000000574</t>
  </si>
  <si>
    <t>TRINIDAD DEL CARMEN  SALAZAR NUÑEZ</t>
  </si>
  <si>
    <t xml:space="preserve">60971971            </t>
  </si>
  <si>
    <t xml:space="preserve">62154943            </t>
  </si>
  <si>
    <t>trinidadsalazarnu123@gmail.com</t>
  </si>
  <si>
    <t>VENTA AMBULANTE DE FRUTAS Y VERDURAS</t>
  </si>
  <si>
    <t xml:space="preserve">64239403            </t>
  </si>
  <si>
    <t>0000001011</t>
  </si>
  <si>
    <t>VILMAR ROLANDO  BARRANTES LORIA</t>
  </si>
  <si>
    <t xml:space="preserve">89765502            </t>
  </si>
  <si>
    <t>vilmar-03-08@hotmail.com</t>
  </si>
  <si>
    <t>0000001231</t>
  </si>
  <si>
    <t xml:space="preserve">3-102-940043 SOCIEDAD DE RESPONSABILIDAD LIMITADA  </t>
  </si>
  <si>
    <t xml:space="preserve">DONALD FREDRICK FARRIS  </t>
  </si>
  <si>
    <t>671433047</t>
  </si>
  <si>
    <t xml:space="preserve">86148680            </t>
  </si>
  <si>
    <t>lynnfarris@ymail.com</t>
  </si>
  <si>
    <t>CABINAS</t>
  </si>
  <si>
    <t>CABINAS HEIDE</t>
  </si>
  <si>
    <t>3102940043</t>
  </si>
  <si>
    <t>00130721</t>
  </si>
  <si>
    <t>DE CINCO ESQUINAS 1 KM CARRETERA A ARENAL</t>
  </si>
  <si>
    <t>0000001365</t>
  </si>
  <si>
    <t>0000000919</t>
  </si>
  <si>
    <t>ARIEL  HERRERA MORERA</t>
  </si>
  <si>
    <t xml:space="preserve">88888888            </t>
  </si>
  <si>
    <t>aherrera@hgwindtec.com</t>
  </si>
  <si>
    <t>CABINAS EL TUNEL</t>
  </si>
  <si>
    <t>502820767</t>
  </si>
  <si>
    <t>GERCIN GERARDO  HERRERA FERNANDEZ</t>
  </si>
  <si>
    <t>00221421</t>
  </si>
  <si>
    <t>700 M NORTE DEL PUENTE QUEBRADA AZUL, TILARAN.</t>
  </si>
  <si>
    <t>0000002184</t>
  </si>
  <si>
    <t xml:space="preserve">AZ Y VER SOCIEDAD ANONIMA  </t>
  </si>
  <si>
    <t xml:space="preserve">84075055            </t>
  </si>
  <si>
    <t>sajumi3@gmail.com</t>
  </si>
  <si>
    <t>HOTEL LAGUNA ARENAL</t>
  </si>
  <si>
    <t>3101695897</t>
  </si>
  <si>
    <t xml:space="preserve">LAGO ARENAL AZUL Y VERDE SOCIEDAD ANONIMA  </t>
  </si>
  <si>
    <t>00161761</t>
  </si>
  <si>
    <t>9 KM ESTE DE NUEVO ARENAL, RUTA 142, TILARÁN FORTUNA Y 300 MTS OESTE.</t>
  </si>
  <si>
    <t>0000000769</t>
  </si>
  <si>
    <t>CARLOS ALBERTO  SOLANO ROJAS</t>
  </si>
  <si>
    <t>martavia65@gmail.com</t>
  </si>
  <si>
    <t>CABINAS CATALINA</t>
  </si>
  <si>
    <t>502030156</t>
  </si>
  <si>
    <t>00055500</t>
  </si>
  <si>
    <t>DIAGONAL GIMNASIO DE ARENAL</t>
  </si>
  <si>
    <t>0000000276</t>
  </si>
  <si>
    <t xml:space="preserve">EL LAGO DORADO SOCIEDAD ANONIMA  </t>
  </si>
  <si>
    <t xml:space="preserve">BARBARA MOGLIA  </t>
  </si>
  <si>
    <t>138000146403</t>
  </si>
  <si>
    <t>3</t>
  </si>
  <si>
    <t xml:space="preserve">83821499            </t>
  </si>
  <si>
    <t xml:space="preserve">26921001            </t>
  </si>
  <si>
    <t>balimoglia@gmail.com</t>
  </si>
  <si>
    <t>MYSTICA LODGE</t>
  </si>
  <si>
    <t>3101140324</t>
  </si>
  <si>
    <t>mysticacr@gmail.com</t>
  </si>
  <si>
    <t>00086574</t>
  </si>
  <si>
    <t>300M NORTE DEL CRUCE TIERRAS MORENAS</t>
  </si>
  <si>
    <t>0000000633</t>
  </si>
  <si>
    <t xml:space="preserve">ESTRELLA LUMINOSA DE COSTA RICA SOCIEDAD ANONIMA  </t>
  </si>
  <si>
    <t xml:space="preserve">87067079            </t>
  </si>
  <si>
    <t>villaencantada1@gmail.com</t>
  </si>
  <si>
    <t>VILLA ENCANTADA</t>
  </si>
  <si>
    <t>3101230228</t>
  </si>
  <si>
    <t>00086113</t>
  </si>
  <si>
    <t>300 M ESTE Y 200 M SUR DEL RESTAURANT LA RANA, ARENAL</t>
  </si>
  <si>
    <t>0000000660</t>
  </si>
  <si>
    <t>FERNANDO  CALDERON LAGUNA</t>
  </si>
  <si>
    <t xml:space="preserve">25018107            </t>
  </si>
  <si>
    <t>calderonfernandospc@gmail.com</t>
  </si>
  <si>
    <t>CABINAS XILOE</t>
  </si>
  <si>
    <t>0000001154</t>
  </si>
  <si>
    <t xml:space="preserve">GANADERA SOLANIA SOCIEDAD ANONIMA  </t>
  </si>
  <si>
    <t xml:space="preserve">87066969            </t>
  </si>
  <si>
    <t xml:space="preserve">24940094            </t>
  </si>
  <si>
    <t>villasolania@gmail.com</t>
  </si>
  <si>
    <t>VILLA SOLANIA</t>
  </si>
  <si>
    <t>3101202111</t>
  </si>
  <si>
    <t>00058180</t>
  </si>
  <si>
    <t>COSTADO ESTE DE LA IGLESIA CATOLICA , SOLANIA , LIBANO</t>
  </si>
  <si>
    <t>0000001205</t>
  </si>
  <si>
    <t>GAUDY MARIELA  PICADO FALLAS</t>
  </si>
  <si>
    <t xml:space="preserve">83804437            </t>
  </si>
  <si>
    <t>gaudy@terravivacr.com</t>
  </si>
  <si>
    <t>CABINAS TERRAVIVA</t>
  </si>
  <si>
    <t>3101262271</t>
  </si>
  <si>
    <t xml:space="preserve">TERRA VIVA SOCIEDAD ANONIMA  </t>
  </si>
  <si>
    <t xml:space="preserve">88975454            </t>
  </si>
  <si>
    <t xml:space="preserve">26455454            </t>
  </si>
  <si>
    <t>federico@terravivacr.com</t>
  </si>
  <si>
    <t>00109052</t>
  </si>
  <si>
    <t>2.5 km al Norte de la Municipalidad de Monte Verde</t>
  </si>
  <si>
    <t>0000000010</t>
  </si>
  <si>
    <t xml:space="preserve">HOTEL GUADALUPE SOCIEDAD ANONIMA  </t>
  </si>
  <si>
    <t>LUIS ALBERTO  HERRERA ULATE</t>
  </si>
  <si>
    <t>502150387</t>
  </si>
  <si>
    <t xml:space="preserve">83774877            </t>
  </si>
  <si>
    <t xml:space="preserve">26955943            </t>
  </si>
  <si>
    <t>hotel.guadalupe@hotmail.com</t>
  </si>
  <si>
    <t>HOTEL GUADALUPE</t>
  </si>
  <si>
    <t>00006284</t>
  </si>
  <si>
    <t>100 SUR OFICINAS ACUEDUCTOS Y ALCANTARILLADOS.</t>
  </si>
  <si>
    <t>0000000290</t>
  </si>
  <si>
    <t>JAIME ANTONIO  ZAMORA ALVAREZ</t>
  </si>
  <si>
    <t>arenal5259@yahoo.com</t>
  </si>
  <si>
    <t>HABITACIONES EL CORRAL</t>
  </si>
  <si>
    <t>502460251</t>
  </si>
  <si>
    <t>00251158</t>
  </si>
  <si>
    <t>150M SUR DE LA ESCUELA DEL AGUACATE</t>
  </si>
  <si>
    <t>0000001256</t>
  </si>
  <si>
    <t>CABINAS YIREH</t>
  </si>
  <si>
    <t>00131966</t>
  </si>
  <si>
    <t>100 M NORTE DEL GIMNASIO, ARENAL</t>
  </si>
  <si>
    <t>0000000103</t>
  </si>
  <si>
    <t>JOSE LUIS  PORRAS CAMPOS</t>
  </si>
  <si>
    <t xml:space="preserve">88150202            </t>
  </si>
  <si>
    <t>cieloazulresortcr@gmail.com</t>
  </si>
  <si>
    <t>HOTEL CIELO AZUL RESORT</t>
  </si>
  <si>
    <t>501680151</t>
  </si>
  <si>
    <t>MARJORIE DE LOS ANGELES  DUARTE LOPEZ</t>
  </si>
  <si>
    <t xml:space="preserve">26956643            </t>
  </si>
  <si>
    <t>info@cieloazulresort.com</t>
  </si>
  <si>
    <t>00156332</t>
  </si>
  <si>
    <t>CABINAS CIELO AZUL, TILARAN</t>
  </si>
  <si>
    <t>0000001719</t>
  </si>
  <si>
    <t xml:space="preserve">MONY MONY LLC LIMITADA  </t>
  </si>
  <si>
    <t xml:space="preserve">Monika Krauskopf  </t>
  </si>
  <si>
    <t>127600045503</t>
  </si>
  <si>
    <t xml:space="preserve">87091423            </t>
  </si>
  <si>
    <t xml:space="preserve">26944515            </t>
  </si>
  <si>
    <t>luckybugcr@gmail.com</t>
  </si>
  <si>
    <t>CABINAS LUCKY BUG</t>
  </si>
  <si>
    <t>3102699102</t>
  </si>
  <si>
    <t>00119617</t>
  </si>
  <si>
    <t>ARENAL, 2 km al Oeste del Puente Dos Bocas</t>
  </si>
  <si>
    <t>0000001786</t>
  </si>
  <si>
    <t>NANCY DEL CARMEN  SALAS CONEJO</t>
  </si>
  <si>
    <t xml:space="preserve">88173788            </t>
  </si>
  <si>
    <t>nancysalasc96@gmail.com</t>
  </si>
  <si>
    <t>CABINAS CANFINERA</t>
  </si>
  <si>
    <t>112150326</t>
  </si>
  <si>
    <t>00055519</t>
  </si>
  <si>
    <t>50 M SUR DE LA  GASOLINERA , ARENAL.</t>
  </si>
  <si>
    <t>0000002049</t>
  </si>
  <si>
    <t>LA MURALLA</t>
  </si>
  <si>
    <t>0000000638</t>
  </si>
  <si>
    <t xml:space="preserve">PARADISE EL LAGO SOCIEDAD DE RESPONSABILIDAD LIMIT  </t>
  </si>
  <si>
    <t>ALBERT  KARL  BACHMANN</t>
  </si>
  <si>
    <t>X4365266</t>
  </si>
  <si>
    <t xml:space="preserve">83672599            </t>
  </si>
  <si>
    <t>albatec@bluewin.ch</t>
  </si>
  <si>
    <t>Little Paradise</t>
  </si>
  <si>
    <t>3102774758</t>
  </si>
  <si>
    <t xml:space="preserve">87445555            </t>
  </si>
  <si>
    <t>00126722</t>
  </si>
  <si>
    <t>1 KM SUROESTE DEL CEMENTERIO, ARENAL</t>
  </si>
  <si>
    <t>0000001974</t>
  </si>
  <si>
    <t xml:space="preserve">VILLA DECARY SOCIEDAD ANONIMA  </t>
  </si>
  <si>
    <t xml:space="preserve">SUZANNE BROWN  </t>
  </si>
  <si>
    <t>184001644625</t>
  </si>
  <si>
    <t xml:space="preserve">87189827            </t>
  </si>
  <si>
    <t>info@villadecary.com</t>
  </si>
  <si>
    <t>HOTEL VILLA DECARY.</t>
  </si>
  <si>
    <t>3101141078</t>
  </si>
  <si>
    <t xml:space="preserve">26944330            </t>
  </si>
  <si>
    <t>00055316</t>
  </si>
  <si>
    <t>2 KM ESTE DEL GIMNASIO ARENAL CAMINO A FORTUNA, HOTEL VILLA DECARY</t>
  </si>
  <si>
    <t>0000000635</t>
  </si>
  <si>
    <t>ANDREA DEL CARMEN  MEJIA GONZALEZ</t>
  </si>
  <si>
    <t xml:space="preserve">88826438            </t>
  </si>
  <si>
    <t>andreamejia29@gmail.com</t>
  </si>
  <si>
    <t>CAFETERIA Y REFRESQUERIA</t>
  </si>
  <si>
    <t>Panadería y cafetería Mas Que Pan</t>
  </si>
  <si>
    <t>0000001618</t>
  </si>
  <si>
    <t xml:space="preserve">CAFETERIA TOSCANA DE GRUPO AMA SOCIEDAD DE RESPONS  </t>
  </si>
  <si>
    <t xml:space="preserve">84881188            </t>
  </si>
  <si>
    <t>mgonzalezp865@gmail.com</t>
  </si>
  <si>
    <t>CAFETERIA TOSCANA</t>
  </si>
  <si>
    <t>502350353</t>
  </si>
  <si>
    <t>RAFAEL ENRIQUE DE LOS ANGELES  GONZALEZ MENA</t>
  </si>
  <si>
    <t xml:space="preserve">87103920            </t>
  </si>
  <si>
    <t xml:space="preserve">22537929            </t>
  </si>
  <si>
    <t>regonzalezmena@hotmail.com</t>
  </si>
  <si>
    <t>00056370</t>
  </si>
  <si>
    <t>100 M SUR Y 25 OESTE DEL MAG</t>
  </si>
  <si>
    <t>0000001948</t>
  </si>
  <si>
    <t>YAMILET  MANCILLA SALAZAR</t>
  </si>
  <si>
    <t xml:space="preserve">87162772            </t>
  </si>
  <si>
    <t xml:space="preserve">83545152            </t>
  </si>
  <si>
    <t>yamilemansilla04@gmail.com</t>
  </si>
  <si>
    <t>CAFETERIA Y REFRESQUERIA PEPE</t>
  </si>
  <si>
    <t>0000002223</t>
  </si>
  <si>
    <t>ALISSON JIMENA  ALFARO GUTIERREZ</t>
  </si>
  <si>
    <t xml:space="preserve">84663681            </t>
  </si>
  <si>
    <t>alfarogutia12@gmail.com</t>
  </si>
  <si>
    <t>CAJA RECAUDADORA SERV. PUBLICOS</t>
  </si>
  <si>
    <t>MALIVÁ TODO EN UNO</t>
  </si>
  <si>
    <t>00077784</t>
  </si>
  <si>
    <t>FRENTE A CABINAS EL SUEÑO</t>
  </si>
  <si>
    <t>0000002044</t>
  </si>
  <si>
    <t>EDGAR ANTONIO  ARIAS CASTRO</t>
  </si>
  <si>
    <t xml:space="preserve">26944259            </t>
  </si>
  <si>
    <t>eariascastro@gmail.com</t>
  </si>
  <si>
    <t>PIPO´S STORE</t>
  </si>
  <si>
    <t>3101166347</t>
  </si>
  <si>
    <t xml:space="preserve">VILLA BARU SOCIEDAD ANONIMA  </t>
  </si>
  <si>
    <t>00055509</t>
  </si>
  <si>
    <t>COSTADO O COOPECOMPRO</t>
  </si>
  <si>
    <t>0000001610</t>
  </si>
  <si>
    <t>ERIC OVIDIO  HERRERA BARBOZA</t>
  </si>
  <si>
    <t xml:space="preserve">86175157            </t>
  </si>
  <si>
    <t>erickherrerabarbosa@gmail.com</t>
  </si>
  <si>
    <t>RECAUDADORA MARTILLA</t>
  </si>
  <si>
    <t>0000002005</t>
  </si>
  <si>
    <t>IVIE  CONEJO VARGAS</t>
  </si>
  <si>
    <t xml:space="preserve">87819091            </t>
  </si>
  <si>
    <t>iviecv@hotmail.com</t>
  </si>
  <si>
    <t>Recaudadora Arenal</t>
  </si>
  <si>
    <t>501410634</t>
  </si>
  <si>
    <t>FREDDY ELIAS DEL SOCORRO  CHAVES HERRERA</t>
  </si>
  <si>
    <t xml:space="preserve">83136231            </t>
  </si>
  <si>
    <t>00055375</t>
  </si>
  <si>
    <t>150 SUR 150 OESTE DE REDONDEL ARENAL</t>
  </si>
  <si>
    <t>0000001675</t>
  </si>
  <si>
    <t>DETALLITOS</t>
  </si>
  <si>
    <t>0000001936</t>
  </si>
  <si>
    <t>NICIDA DE LOS ANGELES  HERRERA BRAVO</t>
  </si>
  <si>
    <t xml:space="preserve">87662786            </t>
  </si>
  <si>
    <t>nicidaherrera@gmail.com</t>
  </si>
  <si>
    <t>Recaudadora Tila</t>
  </si>
  <si>
    <t>503250119</t>
  </si>
  <si>
    <t>00041687</t>
  </si>
  <si>
    <t>25 m Oeste del Liceo Maurilio Alvarado Vargas</t>
  </si>
  <si>
    <t>0000001624</t>
  </si>
  <si>
    <t>YENDY  SANCHEZ ALVARADO</t>
  </si>
  <si>
    <t xml:space="preserve">85797076            </t>
  </si>
  <si>
    <t>yendy.s.a@hotmail.com</t>
  </si>
  <si>
    <t>EL PUNTO</t>
  </si>
  <si>
    <t>503750757</t>
  </si>
  <si>
    <t>MARIA ALEJANDRA  DURAN MEJIAS</t>
  </si>
  <si>
    <t xml:space="preserve">88354931            </t>
  </si>
  <si>
    <t>carneselgordotilaran@gmail.com</t>
  </si>
  <si>
    <t>00007510</t>
  </si>
  <si>
    <t>COSTADO OESTE DEL BANCO NACIONAL</t>
  </si>
  <si>
    <t>0000002053</t>
  </si>
  <si>
    <t>0000002123</t>
  </si>
  <si>
    <t xml:space="preserve">CARCRISREY DEL LAGO SOCIEDAD DE RESPONSABILIDAD LI  </t>
  </si>
  <si>
    <t>LARISSA VANESSA  JIMENEZ AZOFEIFA</t>
  </si>
  <si>
    <t>602810666</t>
  </si>
  <si>
    <t xml:space="preserve">83112981            </t>
  </si>
  <si>
    <t>ngordo7840@gmail.com</t>
  </si>
  <si>
    <t>CARNICERIA</t>
  </si>
  <si>
    <t>CARNICERIA Y PESCADERIA LAS CHILAS</t>
  </si>
  <si>
    <t>3102912882</t>
  </si>
  <si>
    <t>vcespedes7840@gmail.com</t>
  </si>
  <si>
    <t>00014680</t>
  </si>
  <si>
    <t>50 M NORTE CATEDRAL, TILARAN</t>
  </si>
  <si>
    <t>0000002075</t>
  </si>
  <si>
    <t>CARLOS ALBERTO  ALVARADO RAMOS</t>
  </si>
  <si>
    <t xml:space="preserve">84553475            </t>
  </si>
  <si>
    <t xml:space="preserve">26953004            </t>
  </si>
  <si>
    <t>calvarado0487@gmail.com</t>
  </si>
  <si>
    <t>CENTRO DE CARNES LA AMISTAD</t>
  </si>
  <si>
    <t>113140621</t>
  </si>
  <si>
    <t>00164393</t>
  </si>
  <si>
    <t>50 M NORTE DE LA CATEDRAL, TILARAN.</t>
  </si>
  <si>
    <t>0000000066</t>
  </si>
  <si>
    <t xml:space="preserve">CARNES DONDE EL GORDO SOCIEDAD ANONIMA  </t>
  </si>
  <si>
    <t>CARNES Y VERDURAS EL GORDO</t>
  </si>
  <si>
    <t>3101363859</t>
  </si>
  <si>
    <t xml:space="preserve">INDUSTRIAS LA UNION &amp; FACUBO SOCIEDAD ANONIMA  </t>
  </si>
  <si>
    <t xml:space="preserve">88757431            </t>
  </si>
  <si>
    <t>rcuberobog@gmail.com</t>
  </si>
  <si>
    <t>00015778</t>
  </si>
  <si>
    <t>50 MTS NORTE DEL BANCO DE COSTA RICA</t>
  </si>
  <si>
    <t>0000001752</t>
  </si>
  <si>
    <t>FILADELFO JORGE  RIVERA GONZALEZ</t>
  </si>
  <si>
    <t xml:space="preserve">87108484            </t>
  </si>
  <si>
    <t>filadelfo.rivera@gmail.com</t>
  </si>
  <si>
    <t>CARNES DEL LAGO</t>
  </si>
  <si>
    <t>501900027</t>
  </si>
  <si>
    <t>AURELIO  SIBAJA MURILLO</t>
  </si>
  <si>
    <t xml:space="preserve">88193054            </t>
  </si>
  <si>
    <t>carnearenal@gmail.com</t>
  </si>
  <si>
    <t>00055507</t>
  </si>
  <si>
    <t>FRENTE A LA CENTRAL TELEFONICA DEL ICE, ARENAL</t>
  </si>
  <si>
    <t>0000001949</t>
  </si>
  <si>
    <t>JOHNNY ROLANDO  SIBAJA ARIAS</t>
  </si>
  <si>
    <t xml:space="preserve">88281031            </t>
  </si>
  <si>
    <t>jsibajaarias@gmail.com</t>
  </si>
  <si>
    <t>CENTRO DE CARNES TILARAN</t>
  </si>
  <si>
    <t>502550560</t>
  </si>
  <si>
    <t>00020887</t>
  </si>
  <si>
    <t>50 M ESTE DEL PALÍ, TILARAN</t>
  </si>
  <si>
    <t>0000000354</t>
  </si>
  <si>
    <t>KEYLOR ANDRES  PICADO JARA</t>
  </si>
  <si>
    <t xml:space="preserve">84135513            </t>
  </si>
  <si>
    <t>keylorandrespicadojara@gmail.com</t>
  </si>
  <si>
    <t>CARNES P&amp;P</t>
  </si>
  <si>
    <t>0000001598</t>
  </si>
  <si>
    <t>KHRIS STEVEN  MASIS HERRERA</t>
  </si>
  <si>
    <t xml:space="preserve">83044467            </t>
  </si>
  <si>
    <t>masisherrera11@gmail.com</t>
  </si>
  <si>
    <t>CARNICERIA LA UNICA</t>
  </si>
  <si>
    <t>503060392</t>
  </si>
  <si>
    <t>CRISS  MASIS VIQUEZ</t>
  </si>
  <si>
    <t xml:space="preserve">87074243            </t>
  </si>
  <si>
    <t>carnicerialaunica@gmail.com</t>
  </si>
  <si>
    <t>00014294</t>
  </si>
  <si>
    <t>FRENTE AL COSTADO ESTE DE LA AGENCIA DEL ICE, TILARAN.</t>
  </si>
  <si>
    <t>0000001337</t>
  </si>
  <si>
    <t>RIGOBERTO  AMADOR RODRIGUEZ</t>
  </si>
  <si>
    <t xml:space="preserve">85211934            </t>
  </si>
  <si>
    <t>amadorrodriguezrigoberto@gmail.com</t>
  </si>
  <si>
    <t>CARNES DEL SOL</t>
  </si>
  <si>
    <t>503040511</t>
  </si>
  <si>
    <t>00038315</t>
  </si>
  <si>
    <t>75 MTS NORTE IGLESIA CATOLICA DE TRONADORA</t>
  </si>
  <si>
    <t>0000000394</t>
  </si>
  <si>
    <t>GEILYN JUANITA  MONTALBAN VINDAS</t>
  </si>
  <si>
    <t xml:space="preserve">85594927            </t>
  </si>
  <si>
    <t>cateringarenal@gmail.com</t>
  </si>
  <si>
    <t>CATERING SERVICE</t>
  </si>
  <si>
    <t>SERVICIO DE CATERING ARENAL</t>
  </si>
  <si>
    <t>205450429</t>
  </si>
  <si>
    <t>00126856</t>
  </si>
  <si>
    <t>400 M NORTE, 400 M OESTE Y 125 M NORTE DE LA PLAZA DE DEPORTES, PARCELAS DE QUEBRADA AZUL, SANTA ROSA</t>
  </si>
  <si>
    <t>0000002216</t>
  </si>
  <si>
    <t>3102898199</t>
  </si>
  <si>
    <t>jc@proyectosgestiona.com</t>
  </si>
  <si>
    <t>00268980</t>
  </si>
  <si>
    <t>1km de la cafetería Macadamia carretera hacia Nuevo Arenal, entrada a mano derecha hacia Aldea Hoja Verde, 200mts a mano derecha.</t>
  </si>
  <si>
    <t>0000002281</t>
  </si>
  <si>
    <t>CENT.LOGISTI.Y MANT.PLANTAS EÓLICAS</t>
  </si>
  <si>
    <t>CENTRO DE LOGISTICA Y MANT. DE PLANTAS EOLICAS</t>
  </si>
  <si>
    <t>00194084</t>
  </si>
  <si>
    <t>B.ATRA</t>
  </si>
  <si>
    <t>0000001376</t>
  </si>
  <si>
    <t>LIZZETTE ALONDRA  SEGURA ARIAS</t>
  </si>
  <si>
    <t xml:space="preserve">83035449            </t>
  </si>
  <si>
    <t>alosegura98@gmail.com</t>
  </si>
  <si>
    <t>CENTRO ACOPIO RESIDUOS VALORIZABLES</t>
  </si>
  <si>
    <t>CENTRO DE ACOPIO ECOTILA-RD</t>
  </si>
  <si>
    <t>502180302</t>
  </si>
  <si>
    <t>JUAN DE JESUS  SEGURA ZAMORA</t>
  </si>
  <si>
    <t xml:space="preserve">26955426            </t>
  </si>
  <si>
    <t>00154876</t>
  </si>
  <si>
    <t>0000000924</t>
  </si>
  <si>
    <t xml:space="preserve">ASOCIACION DE HERMANAS DE LOS POBRES DE SAN PEDRO   </t>
  </si>
  <si>
    <t>FRANCISCA ROSEL  RIVERA PEREIRA</t>
  </si>
  <si>
    <t>801230632</t>
  </si>
  <si>
    <t xml:space="preserve">87400857            </t>
  </si>
  <si>
    <t>jardinios-marcelina@yahoo.com</t>
  </si>
  <si>
    <t>CENTRO EDUCATIVO PRIVADO</t>
  </si>
  <si>
    <t>JARDIN INFANTIL HOGAR MADRE MARCELINA.</t>
  </si>
  <si>
    <t>3002051887</t>
  </si>
  <si>
    <t xml:space="preserve">26951135            </t>
  </si>
  <si>
    <t>jordinios_marcelina@yahoo.com</t>
  </si>
  <si>
    <t>00012759</t>
  </si>
  <si>
    <t>DE LA CARRETERA PRINCIPAL 300 OESTE CAMINO A CEMENTERIO</t>
  </si>
  <si>
    <t>0000000584</t>
  </si>
  <si>
    <t>SHEILA PATRICIA  DANIELS ACUÑA</t>
  </si>
  <si>
    <t xml:space="preserve">88227066            </t>
  </si>
  <si>
    <t xml:space="preserve">26958255            </t>
  </si>
  <si>
    <t>jardinjnt@gmail.com</t>
  </si>
  <si>
    <t>JARDIN DE NIÑOS TILARAN</t>
  </si>
  <si>
    <t>108060782</t>
  </si>
  <si>
    <t>00104743</t>
  </si>
  <si>
    <t>500 MTS ESTE DEL ESTADIO MUNICIPAL</t>
  </si>
  <si>
    <t>0000000033</t>
  </si>
  <si>
    <t xml:space="preserve">TEMPORALIDADES DE LA DIOCESIS DE TILARAN  </t>
  </si>
  <si>
    <t xml:space="preserve">88908581            </t>
  </si>
  <si>
    <t xml:space="preserve">26955010            </t>
  </si>
  <si>
    <t>parroquiadetilaran@gmail.com</t>
  </si>
  <si>
    <t>CENTRO EDUCATIVO CATÓLICO SAN DANIEL COMBONI</t>
  </si>
  <si>
    <t>3010045304</t>
  </si>
  <si>
    <t>00258609</t>
  </si>
  <si>
    <t>COMBONI</t>
  </si>
  <si>
    <t>0000000597</t>
  </si>
  <si>
    <t xml:space="preserve">GRUPO MEDIQUALITY SOCIEDAD ANONIMA  </t>
  </si>
  <si>
    <t>JOSE JOAQUIN  APUY VILLEGAS</t>
  </si>
  <si>
    <t>109850628</t>
  </si>
  <si>
    <t xml:space="preserve">86086969            </t>
  </si>
  <si>
    <t>j_apuy@yahoo.com</t>
  </si>
  <si>
    <t>CENTRO MÉDICO</t>
  </si>
  <si>
    <t>CENTRO MÉDICO APUY</t>
  </si>
  <si>
    <t>3101283426</t>
  </si>
  <si>
    <t xml:space="preserve">DOÑA MIRIAM INMOBILIARIA D M I SOCIEDAD ANONIMA  </t>
  </si>
  <si>
    <t xml:space="preserve">60505055            </t>
  </si>
  <si>
    <t>victor.alvarez90@hotmail.com</t>
  </si>
  <si>
    <t>00164394</t>
  </si>
  <si>
    <t>100M E Y 20 M N DEL MERCADO MUNICIPAL DE TILARAN</t>
  </si>
  <si>
    <t>0000001895</t>
  </si>
  <si>
    <t>MARJORIE DE LOS ANGELES  RODRIGUEZ UGALDE</t>
  </si>
  <si>
    <t xml:space="preserve">85165326            </t>
  </si>
  <si>
    <t>marjorie86rodriguez@hotmail.com</t>
  </si>
  <si>
    <t>CERRAGERIA</t>
  </si>
  <si>
    <t>TIENDA CERRAJERIA TILARAN</t>
  </si>
  <si>
    <t>3101214120</t>
  </si>
  <si>
    <t xml:space="preserve">INVERSIONES GEZA DELNORTE SOCIEDAD ANONIMA  </t>
  </si>
  <si>
    <t xml:space="preserve">83845020            </t>
  </si>
  <si>
    <t>gerardo@grupotilawa.com</t>
  </si>
  <si>
    <t>00108755</t>
  </si>
  <si>
    <t>90 M AL NORTE DE LA CATEDRAL</t>
  </si>
  <si>
    <t>0000000128</t>
  </si>
  <si>
    <t xml:space="preserve">LIBERTY TELECOMUNICACIONES DE COSTA RICA LY SOCIED  </t>
  </si>
  <si>
    <t xml:space="preserve">60407439            </t>
  </si>
  <si>
    <t>municipalidades.cr@libertycr.com</t>
  </si>
  <si>
    <t>COMERCIALIZACION BIENES SERV.TELEC</t>
  </si>
  <si>
    <t>LIBERTY TELECOMUNICACIONES DE COSTA RICA LY SOCIEDAD ANONIMA</t>
  </si>
  <si>
    <t xml:space="preserve">84056854            </t>
  </si>
  <si>
    <t>0000000733</t>
  </si>
  <si>
    <t xml:space="preserve">TELECABLE SOCIEDAD ANONIMA  </t>
  </si>
  <si>
    <t>JORGE GERARDO  MONGE BENAVIDES</t>
  </si>
  <si>
    <t>106030370</t>
  </si>
  <si>
    <t xml:space="preserve">40804000            </t>
  </si>
  <si>
    <t>notificaciones@telecablecr.com</t>
  </si>
  <si>
    <t>TELECABLE S.A</t>
  </si>
  <si>
    <t>0000002045</t>
  </si>
  <si>
    <t>JORGE FABIAN  SANCHO MURILLO</t>
  </si>
  <si>
    <t xml:space="preserve">88629009            </t>
  </si>
  <si>
    <t>jofabian_90@hotmail.com/joycacelularestilaran@gmai</t>
  </si>
  <si>
    <t>COMPRA Y VENTA</t>
  </si>
  <si>
    <t>CASA EMPEÑO JOYCA</t>
  </si>
  <si>
    <t>3101385672</t>
  </si>
  <si>
    <t xml:space="preserve">INVERSIONES DAYMA D Y B SOCIEDAD ANINIMA  </t>
  </si>
  <si>
    <t xml:space="preserve">87295441            </t>
  </si>
  <si>
    <t>maryvr15@hotmail.com</t>
  </si>
  <si>
    <t>00122293</t>
  </si>
  <si>
    <t>COSTADO OESTE DE BNCR TILARAN</t>
  </si>
  <si>
    <t>0000000137</t>
  </si>
  <si>
    <t>MELISSA DE LOS ANGELES  CHINCHILLA HERRERA</t>
  </si>
  <si>
    <t xml:space="preserve">64671014            </t>
  </si>
  <si>
    <t>chinchillamelissa88@gmail.com</t>
  </si>
  <si>
    <t>CONFITERIA</t>
  </si>
  <si>
    <t>DISTRIBUIDORA A TU ANTOJO</t>
  </si>
  <si>
    <t>104720097</t>
  </si>
  <si>
    <t>CARLOS  MORA MURILLO</t>
  </si>
  <si>
    <t xml:space="preserve">83947579            </t>
  </si>
  <si>
    <t>cayanm@hotmail.com</t>
  </si>
  <si>
    <t>00021469</t>
  </si>
  <si>
    <t>100 M NORTE DE LA CRUZ ROJA, TILARAN.</t>
  </si>
  <si>
    <t>0000002272</t>
  </si>
  <si>
    <t xml:space="preserve">NOVAMART - SOLUTION SOCIEDAD DE RESPONSABILIDAD LI  </t>
  </si>
  <si>
    <t xml:space="preserve">87291554            </t>
  </si>
  <si>
    <t>gaby_lizano@yahoo.com</t>
  </si>
  <si>
    <t>CONSERVAS CONDIMENTOS EMPACADOS</t>
  </si>
  <si>
    <t>CONSERVAS NOVAMART.</t>
  </si>
  <si>
    <t>3101395021</t>
  </si>
  <si>
    <t xml:space="preserve">INVERSIONES ZALI DEL OESTE FYG SOCIEDAD ANONIMA  </t>
  </si>
  <si>
    <t xml:space="preserve">88339520            </t>
  </si>
  <si>
    <t xml:space="preserve">22393114            </t>
  </si>
  <si>
    <t>00061514</t>
  </si>
  <si>
    <t>280 MTS ESTE Y 100 NORTE DE LA ESCUELA SAN LUIS TILARAN</t>
  </si>
  <si>
    <t>0000000790</t>
  </si>
  <si>
    <t>GEISON JOSE  ARIAS MADRIGAL</t>
  </si>
  <si>
    <t xml:space="preserve">57026087            </t>
  </si>
  <si>
    <t>tconstruimos@gmail.com</t>
  </si>
  <si>
    <t>CONSTRUCTORA</t>
  </si>
  <si>
    <t>T-CONSTRUIMOS</t>
  </si>
  <si>
    <t>501920637</t>
  </si>
  <si>
    <t>ISIDRO JOSE MARIA  ARIAS NUÑEZ</t>
  </si>
  <si>
    <t xml:space="preserve">60282705            </t>
  </si>
  <si>
    <t>isidroan50@gmail.com</t>
  </si>
  <si>
    <t>00058724</t>
  </si>
  <si>
    <t>100M OESTE Y 50M NORTE DE LA ESCUELA DE SAN LUIS</t>
  </si>
  <si>
    <t>0000001818</t>
  </si>
  <si>
    <t>0000001819</t>
  </si>
  <si>
    <t xml:space="preserve">T CONSTRUIMOS MANTENIMIENTO Y CONSTRUCCION GEISON   </t>
  </si>
  <si>
    <t>701740659</t>
  </si>
  <si>
    <t>T CONSTRUIMOSMANTENIMIENTO Y CONSTRUCCIO</t>
  </si>
  <si>
    <t>0000002132</t>
  </si>
  <si>
    <t xml:space="preserve">3-102-882124 SOCIEDAD DE RESPONSABILIDAD LIMITADA  </t>
  </si>
  <si>
    <t>MARIA ALEJANDRA  ARIAS MATAMOROS</t>
  </si>
  <si>
    <t>504060609</t>
  </si>
  <si>
    <t xml:space="preserve">84792332            </t>
  </si>
  <si>
    <t>roci-alfca00@hotmail.com</t>
  </si>
  <si>
    <t>FARMACIA DON GERARDO NUEVO ARENAL</t>
  </si>
  <si>
    <t>0000001842</t>
  </si>
  <si>
    <t>FARMACIA GALENO TILARÁN</t>
  </si>
  <si>
    <t>0000001952</t>
  </si>
  <si>
    <t>ADRIANA  CONEJO SALAZAR</t>
  </si>
  <si>
    <t xml:space="preserve">83021448            </t>
  </si>
  <si>
    <t>acone.s@gmail.com</t>
  </si>
  <si>
    <t>CLINICA PIE VITAL</t>
  </si>
  <si>
    <t>501650860</t>
  </si>
  <si>
    <t>OSCAR JULIAN  CONEJO ARTAVIA</t>
  </si>
  <si>
    <t xml:space="preserve">84079364            </t>
  </si>
  <si>
    <t>oscarconejoartavia@gmail.com</t>
  </si>
  <si>
    <t>00087296</t>
  </si>
  <si>
    <t>200M SUR DEL SUPER EL BARRIO EL CARMEN, TILARAN</t>
  </si>
  <si>
    <t>0000002166</t>
  </si>
  <si>
    <t>ARLENNE MARIA  RODRIGUEZ RUIZ</t>
  </si>
  <si>
    <t xml:space="preserve">88211147            </t>
  </si>
  <si>
    <t xml:space="preserve">26955607            </t>
  </si>
  <si>
    <t>arlene_1980@hotmail.es</t>
  </si>
  <si>
    <t>"FARMACIA SARAH"</t>
  </si>
  <si>
    <t>110660375</t>
  </si>
  <si>
    <t>00214411</t>
  </si>
  <si>
    <t>COSTADO SUR DE PALI TILARAN "FARMACIA SARAH"</t>
  </si>
  <si>
    <t>0000000051</t>
  </si>
  <si>
    <t>DIANA  ALVAREZ JENKINS</t>
  </si>
  <si>
    <t xml:space="preserve">89110345            </t>
  </si>
  <si>
    <t xml:space="preserve">26955372            </t>
  </si>
  <si>
    <t>farmacia.sion@yahoo.com</t>
  </si>
  <si>
    <t>FARMACIA SION</t>
  </si>
  <si>
    <t>502290385</t>
  </si>
  <si>
    <t>ENID  SOLORZANO CALDERON</t>
  </si>
  <si>
    <t xml:space="preserve">83765928            </t>
  </si>
  <si>
    <t>enid_cafetera@yahoo.com</t>
  </si>
  <si>
    <t>00210182</t>
  </si>
  <si>
    <t>DISGONAL AL BANCO DE COSTA RICA</t>
  </si>
  <si>
    <t>0000000429</t>
  </si>
  <si>
    <t xml:space="preserve">GRUPO SOLAR ARENAL SOCIEDAD ANONIMA  </t>
  </si>
  <si>
    <t xml:space="preserve">83101206            </t>
  </si>
  <si>
    <t>catika2291@gmail.com</t>
  </si>
  <si>
    <t>FARMACIA NUEVO ARENAL</t>
  </si>
  <si>
    <t>0000001345</t>
  </si>
  <si>
    <t xml:space="preserve">HOSPIFARMACIA GUANACASTECA SOCIEDAD ANONIMA  </t>
  </si>
  <si>
    <t xml:space="preserve">86557730            </t>
  </si>
  <si>
    <t xml:space="preserve">26650027            </t>
  </si>
  <si>
    <t>marcela@guanacasteca.com</t>
  </si>
  <si>
    <t>Farmacia Guanacasteca Express Tilarán #9</t>
  </si>
  <si>
    <t>3101199232</t>
  </si>
  <si>
    <t xml:space="preserve">AUROLLEY SOCIEDAD ANONIMA  </t>
  </si>
  <si>
    <t>info.hotelnaralit@gmail.com</t>
  </si>
  <si>
    <t>00075298</t>
  </si>
  <si>
    <t>COSTADO SUR CATEDRAL DE TILARÁN</t>
  </si>
  <si>
    <t>0000001885</t>
  </si>
  <si>
    <t xml:space="preserve">INVERSIONES EL ARBOLITO VIERNES V L SOCIEDAD ANONI  </t>
  </si>
  <si>
    <t>VIVIANA VANESSA  CHACON UMAÑA</t>
  </si>
  <si>
    <t>115610658</t>
  </si>
  <si>
    <t xml:space="preserve">88261326            </t>
  </si>
  <si>
    <t>NOTIENE@TILARAN.GO.CR</t>
  </si>
  <si>
    <t>FARMACIA NUEVA TILARAN</t>
  </si>
  <si>
    <t>3101844417</t>
  </si>
  <si>
    <t xml:space="preserve">NUESTRA HERENCIA DE PAPA Y MAMA EN TILARAN SOCIEDA  </t>
  </si>
  <si>
    <t>notiene@gmail.com</t>
  </si>
  <si>
    <t>00022853</t>
  </si>
  <si>
    <t>FARMACIA TILARAN, TILARAN, GUANACASTE</t>
  </si>
  <si>
    <t>0000001349</t>
  </si>
  <si>
    <t>Farmacia Tilarán</t>
  </si>
  <si>
    <t>3101095643</t>
  </si>
  <si>
    <t xml:space="preserve">ORTHODENT AMERICANA SOCIEDAD ANONIMA  </t>
  </si>
  <si>
    <t xml:space="preserve">88213883            </t>
  </si>
  <si>
    <t>alfonsotilaran@gmail.com</t>
  </si>
  <si>
    <t>00118280</t>
  </si>
  <si>
    <t>75 M NOROESTE DE LA  CATEDRAL TILARAN</t>
  </si>
  <si>
    <t>0000001600</t>
  </si>
  <si>
    <t xml:space="preserve">J DE TRES M SOCIEDAD ANONIMA  </t>
  </si>
  <si>
    <t>MANUEL ANGEL  MARIN MADRIGAL</t>
  </si>
  <si>
    <t>502160309</t>
  </si>
  <si>
    <t xml:space="preserve">88441289            </t>
  </si>
  <si>
    <t>mmarinm1964@hotmail.com</t>
  </si>
  <si>
    <t>PERFUMERIA FRAICHE</t>
  </si>
  <si>
    <t>3101097186</t>
  </si>
  <si>
    <t xml:space="preserve">INVERSIONES HERPOR SOCIEDAD ANONIMA  </t>
  </si>
  <si>
    <t xml:space="preserve">88195891            </t>
  </si>
  <si>
    <t>porranelly@gmail.com</t>
  </si>
  <si>
    <t>00118731</t>
  </si>
  <si>
    <t>50 SUR DE PALI TILARAN DETRAS DE CATEDRAL</t>
  </si>
  <si>
    <t>0000002017</t>
  </si>
  <si>
    <t>CRISTIAN VINICIO  ZAMORA MORA</t>
  </si>
  <si>
    <t xml:space="preserve">83856549            </t>
  </si>
  <si>
    <t>depositoguatuso712@gmail.com</t>
  </si>
  <si>
    <t>DEPOSITO DE MADERAS</t>
  </si>
  <si>
    <t>DEPOSITO DE MADERA GUATUSO</t>
  </si>
  <si>
    <t>205180674</t>
  </si>
  <si>
    <t>00086020</t>
  </si>
  <si>
    <t>COSTADO NORTE DEL ESTADIO MUNICIPAL</t>
  </si>
  <si>
    <t>0000001274</t>
  </si>
  <si>
    <t>EDUARDO HERNAN  HERRERA CHAVES</t>
  </si>
  <si>
    <t xml:space="preserve">87944852            </t>
  </si>
  <si>
    <t xml:space="preserve">87944258            </t>
  </si>
  <si>
    <t>eduardochavez0504@gmail.com</t>
  </si>
  <si>
    <t>Deposito de Madera San Gabriel</t>
  </si>
  <si>
    <t>502560882</t>
  </si>
  <si>
    <t>MARIA ISABEL  HERRERA PEREZ</t>
  </si>
  <si>
    <t xml:space="preserve">89255780            </t>
  </si>
  <si>
    <t>luispolvoron@hotmail.com</t>
  </si>
  <si>
    <t>00197254</t>
  </si>
  <si>
    <t>CONTIGUO A LA IGLESIA METODISTA</t>
  </si>
  <si>
    <t>0000001892</t>
  </si>
  <si>
    <t>ISAAC ARMANDO  ARIAS CASTRO</t>
  </si>
  <si>
    <t xml:space="preserve">88754909            </t>
  </si>
  <si>
    <t>gaudeliamejias75@gmail.com</t>
  </si>
  <si>
    <t>DEPOSITO LA ESPERANZA</t>
  </si>
  <si>
    <t>107230168</t>
  </si>
  <si>
    <t>00129516</t>
  </si>
  <si>
    <t>150M ESTE DEL ANTIGUO RECIBIDOR DE CAFE, TRONADORA, BARRIO LA ESPERANZA.</t>
  </si>
  <si>
    <t>0000001835</t>
  </si>
  <si>
    <t>3101418679</t>
  </si>
  <si>
    <t xml:space="preserve">MONTAÑAS VERDES LAGO ARENAL SOCIEDAD ANONIMA  </t>
  </si>
  <si>
    <t xml:space="preserve">88834046            </t>
  </si>
  <si>
    <t>murallegal23158@gmail.com</t>
  </si>
  <si>
    <t>00128253</t>
  </si>
  <si>
    <t>200M S 20M O GAR TILARAN</t>
  </si>
  <si>
    <t>0000001421</t>
  </si>
  <si>
    <t xml:space="preserve">ALIMENTOS JACKS DE CENTROAMERICA SOCIEDAD ANONIMA  </t>
  </si>
  <si>
    <t>ccastro@jacks.co.cr/presidencia@jacks.co.cr</t>
  </si>
  <si>
    <t>DISTRIBUIDORES.</t>
  </si>
  <si>
    <t>ALIMENTOS JACKS C.A.S.A.</t>
  </si>
  <si>
    <t>0000000601</t>
  </si>
  <si>
    <t xml:space="preserve">BIMBO DE COSTA RICA SOCIEDAD ANONIMA  </t>
  </si>
  <si>
    <t xml:space="preserve">83991772            </t>
  </si>
  <si>
    <t xml:space="preserve">25622205            </t>
  </si>
  <si>
    <t>alejandra.noguera@grupobimbo.com</t>
  </si>
  <si>
    <t>DISTRIBUIDORA BIMBO</t>
  </si>
  <si>
    <t xml:space="preserve">83859481            </t>
  </si>
  <si>
    <t>0000000641</t>
  </si>
  <si>
    <t xml:space="preserve">CAFE EL REY SOCIEDAD ANONIMA  </t>
  </si>
  <si>
    <t xml:space="preserve">84545236            </t>
  </si>
  <si>
    <t xml:space="preserve">22722323            </t>
  </si>
  <si>
    <t>jacorrales@biabrans.com</t>
  </si>
  <si>
    <t>DISTRIBUIDOR</t>
  </si>
  <si>
    <t>0000000599</t>
  </si>
  <si>
    <t xml:space="preserve">CENTRO INTERNACIONAL DE INVERSIONES CII SOCIEDAD A  </t>
  </si>
  <si>
    <t xml:space="preserve">22390655            </t>
  </si>
  <si>
    <t>jorge.gonzalez@grupociisa.cr</t>
  </si>
  <si>
    <t>"DISTRIBUIDORES"</t>
  </si>
  <si>
    <t>0000000600</t>
  </si>
  <si>
    <t xml:space="preserve">COCA COLA FEMSA DE COSTA RICA SOCIEDAD ANONIMA  </t>
  </si>
  <si>
    <t xml:space="preserve">84695508            </t>
  </si>
  <si>
    <t xml:space="preserve">26660480            </t>
  </si>
  <si>
    <t>fiscalcostarica@kof.com</t>
  </si>
  <si>
    <t>COCA COLA FEMSA</t>
  </si>
  <si>
    <t>0000000598</t>
  </si>
  <si>
    <t xml:space="preserve">COMPAÑIA DE GALLETAS POZUELO DCR SOCIEDAD ANONIMA  </t>
  </si>
  <si>
    <t xml:space="preserve">70063859            </t>
  </si>
  <si>
    <t xml:space="preserve">22991377            </t>
  </si>
  <si>
    <t>notificaimpuestos@serviciosnutresa.cr</t>
  </si>
  <si>
    <t>DISTRIBUIDORA POZUELO</t>
  </si>
  <si>
    <t xml:space="preserve">88531899            </t>
  </si>
  <si>
    <t>0000000700</t>
  </si>
  <si>
    <t xml:space="preserve">CORPORACION PIPASA SOCIEDAD DE RESPONSABILIDAD LIM  </t>
  </si>
  <si>
    <t xml:space="preserve">41001745            </t>
  </si>
  <si>
    <t>Anthonny_Rodriguezsolis@cargill.com</t>
  </si>
  <si>
    <t xml:space="preserve">25828400            </t>
  </si>
  <si>
    <t>0000000782</t>
  </si>
  <si>
    <t xml:space="preserve">DESARROLLO COMERCIAL RAMISOL SOCIEDAD ANONIMA  </t>
  </si>
  <si>
    <t xml:space="preserve">83860321            </t>
  </si>
  <si>
    <t>decomra@gmail.com</t>
  </si>
  <si>
    <t>DISTRIBUIDORA RAMISOL</t>
  </si>
  <si>
    <t>3101484751</t>
  </si>
  <si>
    <t xml:space="preserve">3-101-484751 SOCIEDAD ANONIMA  </t>
  </si>
  <si>
    <t xml:space="preserve">86209625            </t>
  </si>
  <si>
    <t>facturasramirez08@gmail.com</t>
  </si>
  <si>
    <t>00038289</t>
  </si>
  <si>
    <t>15M S Y 60M O DEL SUPER EL PUEBLO TRONADORA</t>
  </si>
  <si>
    <t>0000000648</t>
  </si>
  <si>
    <t xml:space="preserve">DISTRIBUIDORA CAFE MONTAÑA SOCIEDAD ANONIMA  </t>
  </si>
  <si>
    <t xml:space="preserve">24420000            </t>
  </si>
  <si>
    <t>ezamora@dcm.cr</t>
  </si>
  <si>
    <t>DISTRIBUIDORA DE CAFÉ MONTAÑA</t>
  </si>
  <si>
    <t>0000000667</t>
  </si>
  <si>
    <t xml:space="preserve">DISTRIBUIDORA LA FLORIDA SOCIEDAD ANONIMA  </t>
  </si>
  <si>
    <t xml:space="preserve">70161760            </t>
  </si>
  <si>
    <t xml:space="preserve">22332790            </t>
  </si>
  <si>
    <t>impuestos@fifco.com</t>
  </si>
  <si>
    <t>DISTRIBUIDORA LA FLORIDA S.A</t>
  </si>
  <si>
    <t xml:space="preserve">11111111            </t>
  </si>
  <si>
    <t>0000000673</t>
  </si>
  <si>
    <t>RAFAEL ANGEL  ELIZONDO JIMENEZ</t>
  </si>
  <si>
    <t xml:space="preserve">85000632            </t>
  </si>
  <si>
    <t>mercafrutfrutasyverduras@gmail.com</t>
  </si>
  <si>
    <t>DISTRIBUIDORA MERCAFRUT</t>
  </si>
  <si>
    <t>0000001069</t>
  </si>
  <si>
    <t xml:space="preserve">SIGMA ALIMENTOS COSTA RICA SOCIEDAD ANONIMA  </t>
  </si>
  <si>
    <t xml:space="preserve">88319237            </t>
  </si>
  <si>
    <t xml:space="preserve">24309390            </t>
  </si>
  <si>
    <t>ealpizars@sigma-alimentos.com</t>
  </si>
  <si>
    <t>SIGMA ALIMENTOS</t>
  </si>
  <si>
    <t>0000000605</t>
  </si>
  <si>
    <t xml:space="preserve">PUPALITO SOCIEDAD DE RESPONSABILIDAD LIMITADA  </t>
  </si>
  <si>
    <t xml:space="preserve">89609393            </t>
  </si>
  <si>
    <t>moo@tisufarm.com</t>
  </si>
  <si>
    <t>ELABORACION CONSERVACION DE CEREAL</t>
  </si>
  <si>
    <t>TISU FARM</t>
  </si>
  <si>
    <t>3101671363</t>
  </si>
  <si>
    <t xml:space="preserve">STYLOSANTHES DEL LAGO SOCIEDAD ANONIMA  </t>
  </si>
  <si>
    <t xml:space="preserve">87292145            </t>
  </si>
  <si>
    <t>aurbinag@gmail.com</t>
  </si>
  <si>
    <t>00006590</t>
  </si>
  <si>
    <t>Sabalito, 300M Noroeste de la Escuela</t>
  </si>
  <si>
    <t>0000001314</t>
  </si>
  <si>
    <t>CINDY DAYANA  SALAS SOLIS</t>
  </si>
  <si>
    <t xml:space="preserve">84954870            </t>
  </si>
  <si>
    <t xml:space="preserve">60124912            </t>
  </si>
  <si>
    <t>cdayass7@icloud.com</t>
  </si>
  <si>
    <t>ELABORACION DE JUGOS</t>
  </si>
  <si>
    <t>NARANTICA</t>
  </si>
  <si>
    <t>206880436</t>
  </si>
  <si>
    <t>253192-0</t>
  </si>
  <si>
    <t>0000001028</t>
  </si>
  <si>
    <t>KEVIN ORLANDO  RODRIGUEZ CAMPOS</t>
  </si>
  <si>
    <t xml:space="preserve">85589914            </t>
  </si>
  <si>
    <t>jugosdellago@gmail.com</t>
  </si>
  <si>
    <t>JUGOS DEL LAGO</t>
  </si>
  <si>
    <t>3101172216</t>
  </si>
  <si>
    <t xml:space="preserve">YA MI TE SOCIEDAD ANONIMA  </t>
  </si>
  <si>
    <t xml:space="preserve">83872379            </t>
  </si>
  <si>
    <t>tere2389@yahoo.com</t>
  </si>
  <si>
    <t>00150558</t>
  </si>
  <si>
    <t>800M SUR DEL CENTRO TURISTICO TILARAN LAS PISCINAS, BARRIO LA CABRA DE TILARAN</t>
  </si>
  <si>
    <t>0000000140</t>
  </si>
  <si>
    <t>DIEGO ANDRES  ZAMORA RODRIGUEZ</t>
  </si>
  <si>
    <t xml:space="preserve">87020813            </t>
  </si>
  <si>
    <t xml:space="preserve">26955556            </t>
  </si>
  <si>
    <t>diegozamora33@hotmail.com</t>
  </si>
  <si>
    <t>EMBOTELLADO AGUA PURIFICADA</t>
  </si>
  <si>
    <t>MONARCA</t>
  </si>
  <si>
    <t>3101085568</t>
  </si>
  <si>
    <t xml:space="preserve">INVERSIONES MURSULI SOCIEDAD ANONIMA  </t>
  </si>
  <si>
    <t xml:space="preserve">88195846            </t>
  </si>
  <si>
    <t xml:space="preserve">26690393            </t>
  </si>
  <si>
    <t>gerencia@arrozliborio.com</t>
  </si>
  <si>
    <t>00110647</t>
  </si>
  <si>
    <t>COSTADO NORTE DE LA QUEBRADA LA CABRA</t>
  </si>
  <si>
    <t>0000000073</t>
  </si>
  <si>
    <t>GISELA  JIMENEZ CONEJO</t>
  </si>
  <si>
    <t xml:space="preserve">88335505            </t>
  </si>
  <si>
    <t xml:space="preserve">26953232            </t>
  </si>
  <si>
    <t>giselaj23@hotmail.com</t>
  </si>
  <si>
    <t>EMPAQUES PLASTICOS</t>
  </si>
  <si>
    <t>CASA DEL PLASTICO</t>
  </si>
  <si>
    <t>3101876634</t>
  </si>
  <si>
    <t xml:space="preserve">3-101-876634 SOCIEDAD ANONIMA  </t>
  </si>
  <si>
    <t xml:space="preserve">86172436            </t>
  </si>
  <si>
    <t>stevenmurilloaraya@hotmail.com</t>
  </si>
  <si>
    <t>00024055</t>
  </si>
  <si>
    <t>175 MTS NORTE DEL MERCADO MUNICIPAL</t>
  </si>
  <si>
    <t>0000000524</t>
  </si>
  <si>
    <t>ANA YANCI  BADILLA FERNANDEZ</t>
  </si>
  <si>
    <t xml:space="preserve">83118525            </t>
  </si>
  <si>
    <t>yancybf1982@gmail.com</t>
  </si>
  <si>
    <t>ENSEÑANZA PRESCOLAR</t>
  </si>
  <si>
    <t>CENTRO EDUCATIVO QUERUBIN</t>
  </si>
  <si>
    <t>503260650</t>
  </si>
  <si>
    <t>BERNAL ADOLFO  CHAVES MENDEZ</t>
  </si>
  <si>
    <t xml:space="preserve">83390536            </t>
  </si>
  <si>
    <t>bernaladolfochavesmendez@gmail.com</t>
  </si>
  <si>
    <t>00027893</t>
  </si>
  <si>
    <t>300 MTS SUR Y 10 ESTE DE LA CATEDRAL DE TILARAN</t>
  </si>
  <si>
    <t>0000000144</t>
  </si>
  <si>
    <t xml:space="preserve">GENES ALTA SOCIEDAD DE RESPONSABILIDAD LIMITADA  </t>
  </si>
  <si>
    <t xml:space="preserve">88120887            </t>
  </si>
  <si>
    <t>genesaltacr@gmail.com</t>
  </si>
  <si>
    <t>EXPENDIO AL POR MENOR DE MATERIAL GENETICO BOVINO</t>
  </si>
  <si>
    <t>ALTA GENETICS COSTA RICA</t>
  </si>
  <si>
    <t xml:space="preserve">83032930            </t>
  </si>
  <si>
    <t>0000002015</t>
  </si>
  <si>
    <t xml:space="preserve">DAGU DE TILARAN SOCIEDAD ANONIMA  </t>
  </si>
  <si>
    <t>LUIS DAVID  ALVAREZ GUTIERREZ</t>
  </si>
  <si>
    <t>501420037</t>
  </si>
  <si>
    <t xml:space="preserve">83793736            </t>
  </si>
  <si>
    <t xml:space="preserve">22000368            </t>
  </si>
  <si>
    <t>ronaldchiry@gmail.com</t>
  </si>
  <si>
    <t>EXPLOTACION MINAS O CANTERAS</t>
  </si>
  <si>
    <t>Tajo Los Portones</t>
  </si>
  <si>
    <t>3101178681</t>
  </si>
  <si>
    <t>00142041</t>
  </si>
  <si>
    <t>4KM AL SUR DEL CEMENTERIO DE TILARÁN, LIBANO</t>
  </si>
  <si>
    <t>0000001683</t>
  </si>
  <si>
    <t xml:space="preserve">LOS GIRASOLES DE LIBANO CABEZAS GUTIERREZ SOCIEDAD  </t>
  </si>
  <si>
    <t xml:space="preserve">83823380            </t>
  </si>
  <si>
    <t>losgirasolesdellibano2016@gmail.com</t>
  </si>
  <si>
    <t>TAJO LOS GIRASOLES.</t>
  </si>
  <si>
    <t>3101658564</t>
  </si>
  <si>
    <t>00165115</t>
  </si>
  <si>
    <t>BARRIO LOS BARRANTES, LIBANO</t>
  </si>
  <si>
    <t>0000000747</t>
  </si>
  <si>
    <t>RAFAEL ANGEL DE JESUS  CASTILLO LEDEZMA</t>
  </si>
  <si>
    <t xml:space="preserve">87126745            </t>
  </si>
  <si>
    <t xml:space="preserve">26955337            </t>
  </si>
  <si>
    <t>rafaelangelcastillo3@gmail.com</t>
  </si>
  <si>
    <t>LIBANO DE TILARAN GTE</t>
  </si>
  <si>
    <t>3101309182</t>
  </si>
  <si>
    <t xml:space="preserve">TAJO LA PIEDRA VIVA SOCIEDAD ANONIMA  </t>
  </si>
  <si>
    <t xml:space="preserve">60474040            </t>
  </si>
  <si>
    <t xml:space="preserve">26957060            </t>
  </si>
  <si>
    <t>tajopiedraviva1@gmail.com</t>
  </si>
  <si>
    <t>00116644</t>
  </si>
  <si>
    <t>600M.OESTE DE LA IGLESIA CATOLICA DE LIBANO TILARAN GTE</t>
  </si>
  <si>
    <t>0000000207</t>
  </si>
  <si>
    <t xml:space="preserve">TAJO LIBANO SOCIEDAD ANONIMA  </t>
  </si>
  <si>
    <t xml:space="preserve">87546217            </t>
  </si>
  <si>
    <t xml:space="preserve">26958064            </t>
  </si>
  <si>
    <t>tajo.libano@hotmail.com</t>
  </si>
  <si>
    <t>TAJO LIBANO</t>
  </si>
  <si>
    <t>501370228</t>
  </si>
  <si>
    <t>ZULEMA JOVITA DE LAS PIEDADES  RODRIGUEZ BERMUDEZ</t>
  </si>
  <si>
    <t xml:space="preserve">89839111            </t>
  </si>
  <si>
    <t>transportesrojas126@gmail.com</t>
  </si>
  <si>
    <t>00008317</t>
  </si>
  <si>
    <t>500 M SUR DEL CEMENTERIO LIBANO DE TILARAN</t>
  </si>
  <si>
    <t>0000000658</t>
  </si>
  <si>
    <t>JOHANNA  MENDEZ LOPEZ</t>
  </si>
  <si>
    <t xml:space="preserve">88982233            </t>
  </si>
  <si>
    <t>mendezjohanna00@gmail.com</t>
  </si>
  <si>
    <t>FABRICA DE ROPA</t>
  </si>
  <si>
    <t>JOHA MENDEZ</t>
  </si>
  <si>
    <t>601490956</t>
  </si>
  <si>
    <t>ALEXIS JESUS DEL CARMEN  MENDEZ VASQUEZ</t>
  </si>
  <si>
    <t xml:space="preserve">88963326            </t>
  </si>
  <si>
    <t>00038323</t>
  </si>
  <si>
    <t>FRENTE AL COLEGIO TECNICO PROFESIONAL, TRONADORA</t>
  </si>
  <si>
    <t>0000001782</t>
  </si>
  <si>
    <t>LUIS ANGEL GERARDO  SIBAJA RIVERA</t>
  </si>
  <si>
    <t xml:space="preserve">86998722            </t>
  </si>
  <si>
    <t xml:space="preserve">26956006            </t>
  </si>
  <si>
    <t>luisangelsibaja.56@gmail.com</t>
  </si>
  <si>
    <t>SASTRERIA Y TIENDA SIBAJA</t>
  </si>
  <si>
    <t>501600013</t>
  </si>
  <si>
    <t>00062831</t>
  </si>
  <si>
    <t>50 MTS ESTE DE PALI TILARAN</t>
  </si>
  <si>
    <t>0000000210</t>
  </si>
  <si>
    <t xml:space="preserve">ASOCIACION DE DESARROLLO INTEGRAL DE EL AGUACATE T  </t>
  </si>
  <si>
    <t>RONALD  ALVAREZ VILLEGAS</t>
  </si>
  <si>
    <t>503120883</t>
  </si>
  <si>
    <t xml:space="preserve">88389330            </t>
  </si>
  <si>
    <t>FERIA ARTESANAL</t>
  </si>
  <si>
    <t>3002680397</t>
  </si>
  <si>
    <t xml:space="preserve">86388092            </t>
  </si>
  <si>
    <t>adiaguacate@hotmail.com</t>
  </si>
  <si>
    <t>00062309</t>
  </si>
  <si>
    <t>200 NORTE DE IGLESIA EL AGUACATE TIERRA MORENAS</t>
  </si>
  <si>
    <t>0000001070</t>
  </si>
  <si>
    <t>FERRETERIA</t>
  </si>
  <si>
    <t>Ferretería y Materiales Construcción San</t>
  </si>
  <si>
    <t>0000002147</t>
  </si>
  <si>
    <t xml:space="preserve">IMPORTACIONES JOSMA J Y S DEL NORTE SOCIEDAD ANONI  </t>
  </si>
  <si>
    <t xml:space="preserve">26958608            </t>
  </si>
  <si>
    <t>jfcamposu@4hotmail.com</t>
  </si>
  <si>
    <t>DONDE NENEN</t>
  </si>
  <si>
    <t>3101284439</t>
  </si>
  <si>
    <t>00036382</t>
  </si>
  <si>
    <t>55 MTS ESTE DEL BANCO DE COSTA RICA</t>
  </si>
  <si>
    <t>0000000669</t>
  </si>
  <si>
    <t>FERRETERIA DONDE PAYUTE</t>
  </si>
  <si>
    <t>3101270668</t>
  </si>
  <si>
    <t xml:space="preserve">FIDUCIARIA CASTRO GARNIER SOCIEDAD ANONIMA  </t>
  </si>
  <si>
    <t>00006744</t>
  </si>
  <si>
    <t>125 M SUR DE LA GUARDIA RURAL</t>
  </si>
  <si>
    <t>0000001144</t>
  </si>
  <si>
    <t xml:space="preserve">MERCADO DE MATERIALES EL TANQUE SOCIEDAD ANONIMA  </t>
  </si>
  <si>
    <t>JORGE LUIS DEL SOCORRO  JIMENEZ PORRAS</t>
  </si>
  <si>
    <t>203950083</t>
  </si>
  <si>
    <t xml:space="preserve">86029329            </t>
  </si>
  <si>
    <t>fsibaja@colonos.com</t>
  </si>
  <si>
    <t>EL COLONO TILARAN FERRETERO</t>
  </si>
  <si>
    <t>00164972</t>
  </si>
  <si>
    <t>200 metros norte de la agencia del ICE de Tilarán
OFICINAS Y ALMACEN DEL COLONO</t>
  </si>
  <si>
    <t>0000000630</t>
  </si>
  <si>
    <t>COLONO NUEVO ARENAL</t>
  </si>
  <si>
    <t>3101273837</t>
  </si>
  <si>
    <t xml:space="preserve">AGROPECUARIA SANTO TOMAS F P J SOCIEDAD ANONIMA  </t>
  </si>
  <si>
    <t xml:space="preserve">88246492            </t>
  </si>
  <si>
    <t xml:space="preserve">88233300            </t>
  </si>
  <si>
    <t>garnerperez@hotmail.com</t>
  </si>
  <si>
    <t>00131212</t>
  </si>
  <si>
    <t>75 MTS OESTE DEL GIMNASIO NUEVO ARENAL</t>
  </si>
  <si>
    <t>0000000631</t>
  </si>
  <si>
    <t>EL COLONO TILARAN CENTRO</t>
  </si>
  <si>
    <t>3101696425</t>
  </si>
  <si>
    <t xml:space="preserve">3-101-696425 SOCIEDAD ANONIMA  </t>
  </si>
  <si>
    <t xml:space="preserve">88024040            </t>
  </si>
  <si>
    <t xml:space="preserve">26958282            </t>
  </si>
  <si>
    <t>imsa.materiales@hotmail.com</t>
  </si>
  <si>
    <t>00051128</t>
  </si>
  <si>
    <t>100 MTS SUR DE LA CATEDRAL</t>
  </si>
  <si>
    <t>0000000632</t>
  </si>
  <si>
    <t>MUSTIOLA GERARDA  RODRIGUEZ MURILLO</t>
  </si>
  <si>
    <t xml:space="preserve">83112014            </t>
  </si>
  <si>
    <t xml:space="preserve">26955410            </t>
  </si>
  <si>
    <t>comercialtila@gmail.com</t>
  </si>
  <si>
    <t>COMERCIAL SAN ANTONIO</t>
  </si>
  <si>
    <t>0000000322</t>
  </si>
  <si>
    <t>ORLANDO DEL CARMEN  CAMPOS PEREZ</t>
  </si>
  <si>
    <t xml:space="preserve">83847395            </t>
  </si>
  <si>
    <t>orlcam69@gmail.com</t>
  </si>
  <si>
    <t>FERRETERIA CAMPOS</t>
  </si>
  <si>
    <t>602680795</t>
  </si>
  <si>
    <t>YORLENE DE LOS ANGELES  CRUZ RAMIREZ</t>
  </si>
  <si>
    <t xml:space="preserve">85145212            </t>
  </si>
  <si>
    <t>yorlenecruz9@gmail.com</t>
  </si>
  <si>
    <t>00083705</t>
  </si>
  <si>
    <t>50M S DE LA PULPERIA EL LLANO DE BARRIO SECO, LAS BRISAS</t>
  </si>
  <si>
    <t>0000000347</t>
  </si>
  <si>
    <t>OSCAR ANTONIO  CASTILLO MEJIA</t>
  </si>
  <si>
    <t xml:space="preserve">89545185            </t>
  </si>
  <si>
    <t>oscarcasmej@gmail.com</t>
  </si>
  <si>
    <t>Ferreteria Tronadora</t>
  </si>
  <si>
    <t>503500273</t>
  </si>
  <si>
    <t>00038285</t>
  </si>
  <si>
    <t>100M O DEL BAR TEXAS TRONADORA</t>
  </si>
  <si>
    <t>0000001586</t>
  </si>
  <si>
    <t xml:space="preserve">RAFA FERRETERIA TILARAN SOCIEDAD ANONIMA  </t>
  </si>
  <si>
    <t>DAYAN  CASTRILLO GONZALEZ</t>
  </si>
  <si>
    <t>702260494</t>
  </si>
  <si>
    <t xml:space="preserve">86384128            </t>
  </si>
  <si>
    <t>dayicg94@hotmail.com</t>
  </si>
  <si>
    <t>FERRETERIA RAFA TILARAN</t>
  </si>
  <si>
    <t>0000001723</t>
  </si>
  <si>
    <t>MARIA DE LOS ANGELES  ARIAS RODRIGUEZ</t>
  </si>
  <si>
    <t xml:space="preserve">88157413            </t>
  </si>
  <si>
    <t>maria.6912.arias@gmail.com</t>
  </si>
  <si>
    <t>FLORISTERIA</t>
  </si>
  <si>
    <t>FLORISTERIA NOAK EVENTOS</t>
  </si>
  <si>
    <t>502390742</t>
  </si>
  <si>
    <t>EVELIN  MURILLO ARIAS</t>
  </si>
  <si>
    <t xml:space="preserve">89970102            </t>
  </si>
  <si>
    <t>murilloeve@hotmail.com</t>
  </si>
  <si>
    <t>00030970</t>
  </si>
  <si>
    <t>COSTADO OESTE DEL PARQUE MUNICIPAL</t>
  </si>
  <si>
    <t>0000000023</t>
  </si>
  <si>
    <t>VIRGITA DE LOS ANGELES  SALAS CHAVES</t>
  </si>
  <si>
    <t xml:space="preserve">86863171            </t>
  </si>
  <si>
    <t xml:space="preserve">26955889            </t>
  </si>
  <si>
    <t>sttilawa@hotmail.com</t>
  </si>
  <si>
    <t>FLORISTERIA TILARAN</t>
  </si>
  <si>
    <t>501010510</t>
  </si>
  <si>
    <t>00034802</t>
  </si>
  <si>
    <t>225M SUR DEL BCR. FLORISTERIA TILARAN</t>
  </si>
  <si>
    <t>0000000169</t>
  </si>
  <si>
    <t>JAVIER GERARDO DE JESUS  DELGADO CERDAS</t>
  </si>
  <si>
    <t xml:space="preserve">83787183            </t>
  </si>
  <si>
    <t>jadelga_58@hotmail.com</t>
  </si>
  <si>
    <t>FUNERARIA</t>
  </si>
  <si>
    <t>FUNERARIA TILARAN</t>
  </si>
  <si>
    <t>103830319</t>
  </si>
  <si>
    <t>JORGE ARTURO  BARRIENTOS VALERIO</t>
  </si>
  <si>
    <t xml:space="preserve">88363987            </t>
  </si>
  <si>
    <t>jabarrientosvalerio@gmail.com</t>
  </si>
  <si>
    <t>00168051</t>
  </si>
  <si>
    <t>50 M OESTE DEL BANCO NACIONAL DE COSTA RICA, TILARAN.</t>
  </si>
  <si>
    <t>0000002260</t>
  </si>
  <si>
    <t xml:space="preserve">CHIAPSOL SOCIEDAD ANONIMA  </t>
  </si>
  <si>
    <t>JORGE EDUARDO DE LA TRINIDAD  SOLANO ZUÑIGA</t>
  </si>
  <si>
    <t>302930587</t>
  </si>
  <si>
    <t>marcela.ch@grupocaribenos.com</t>
  </si>
  <si>
    <t>GASOLINERA</t>
  </si>
  <si>
    <t>SERVICENTRO JSM TILARAN</t>
  </si>
  <si>
    <t>3101597065</t>
  </si>
  <si>
    <t xml:space="preserve">22237011            </t>
  </si>
  <si>
    <t>notificacionesjsm@gmail.com</t>
  </si>
  <si>
    <t>00148630</t>
  </si>
  <si>
    <t>50 metros norte de la Agencia del ICE</t>
  </si>
  <si>
    <t>0000000730</t>
  </si>
  <si>
    <t xml:space="preserve">ENRIQUEZ CHACON SOCIEDAD ANONIMA  </t>
  </si>
  <si>
    <t>RAUDIN SERVULO  ENRIQUEZ GARCIA</t>
  </si>
  <si>
    <t>401600052</t>
  </si>
  <si>
    <t xml:space="preserve">83415835            </t>
  </si>
  <si>
    <t>enriquez_chacon@hotmail.com</t>
  </si>
  <si>
    <t>GASOLINERA ECH-TILARÁN</t>
  </si>
  <si>
    <t>3101200613</t>
  </si>
  <si>
    <t>00137586</t>
  </si>
  <si>
    <t>GASOLINERA CINCO ESQUINAS</t>
  </si>
  <si>
    <t>0000001828</t>
  </si>
  <si>
    <t xml:space="preserve">GASOLINERA ARENAL PURA VIDA SOCIEDAD ANONIMA  </t>
  </si>
  <si>
    <t xml:space="preserve">84325008            </t>
  </si>
  <si>
    <t xml:space="preserve">26944179            </t>
  </si>
  <si>
    <t>gasolinera.arenal@gmail.com</t>
  </si>
  <si>
    <t>GASOLINERA PURA VIDA</t>
  </si>
  <si>
    <t>3101764724</t>
  </si>
  <si>
    <t>00055489</t>
  </si>
  <si>
    <t>FRENTE AL GIMNASIO COMUNAL, NUEVO ARENAL</t>
  </si>
  <si>
    <t>0000000772</t>
  </si>
  <si>
    <t xml:space="preserve">GASOLINERA TILARAN SOCIEDAD ANONIMA  </t>
  </si>
  <si>
    <t xml:space="preserve">83844840            </t>
  </si>
  <si>
    <t xml:space="preserve">26956115            </t>
  </si>
  <si>
    <t>gasolineratilaran@hotmail.com</t>
  </si>
  <si>
    <t>GASOLINERA TILARÁN</t>
  </si>
  <si>
    <t>3101346218</t>
  </si>
  <si>
    <t>00133550</t>
  </si>
  <si>
    <t>200 MTS NORTE DE LA CATEDRAL DE TILARAN</t>
  </si>
  <si>
    <t>0000000692</t>
  </si>
  <si>
    <t>ERNEY ENRIQUE  ALVARADO ANCHIA</t>
  </si>
  <si>
    <t xml:space="preserve">83889485            </t>
  </si>
  <si>
    <t>alvaradoerney2@gmail.com</t>
  </si>
  <si>
    <t>GESTIÓN DE INSTALACIONES DEPORTIVAS (PLAZA DE DEPORTES)</t>
  </si>
  <si>
    <t>Green Paradise</t>
  </si>
  <si>
    <t>503350283</t>
  </si>
  <si>
    <t>00249677</t>
  </si>
  <si>
    <t>DEL CRUCE ENTRE ARENAL Y EL LAGO 100 M ESTE</t>
  </si>
  <si>
    <t>0000001893</t>
  </si>
  <si>
    <t>WILBER FERNANDO  QUESADA NAVARRO</t>
  </si>
  <si>
    <t xml:space="preserve">83745366            </t>
  </si>
  <si>
    <t>wfernadoq@gmail.com</t>
  </si>
  <si>
    <t>CENTRO RECREATIVO MIKANCHA</t>
  </si>
  <si>
    <t>602360287</t>
  </si>
  <si>
    <t>00256501</t>
  </si>
  <si>
    <t>250M O DE LA ESC DE CABECERAS</t>
  </si>
  <si>
    <t>0000001438</t>
  </si>
  <si>
    <t>CINDY DE LOS ANGELES  VARGAS ARAYA</t>
  </si>
  <si>
    <t xml:space="preserve">83011038            </t>
  </si>
  <si>
    <t xml:space="preserve">26957292            </t>
  </si>
  <si>
    <t>cindyvargas81@gmail.com</t>
  </si>
  <si>
    <t>GUARDERIA Y TALLER</t>
  </si>
  <si>
    <t>CECUDI TILARAN</t>
  </si>
  <si>
    <t>00194302</t>
  </si>
  <si>
    <t>CECUDI</t>
  </si>
  <si>
    <t>0000000533</t>
  </si>
  <si>
    <t>WANDER ARLEY  ALFARO RAMIREZ</t>
  </si>
  <si>
    <t xml:space="preserve">83019270            </t>
  </si>
  <si>
    <t>kalfaro17@gmail.com</t>
  </si>
  <si>
    <t>CENTRO INFANTIL SUEÑOS Y SONRISAS</t>
  </si>
  <si>
    <t>108510356</t>
  </si>
  <si>
    <t>ROBERT EDUARDO  VILLALOBOS MORA</t>
  </si>
  <si>
    <t xml:space="preserve">88210077            </t>
  </si>
  <si>
    <t>00018498</t>
  </si>
  <si>
    <t>100 mts Oeste de la Guardia Rural, Quebrada Grande</t>
  </si>
  <si>
    <t>0000000474</t>
  </si>
  <si>
    <t>YENCY MAGALY  PRADO BECERRA</t>
  </si>
  <si>
    <t xml:space="preserve">71331055            </t>
  </si>
  <si>
    <t>pradoyency24@gmail.com</t>
  </si>
  <si>
    <t>GUARDERIA HAPPY KIDS</t>
  </si>
  <si>
    <t>603790073</t>
  </si>
  <si>
    <t>PEDRO JOSE  ARAYA CHAVARRIA</t>
  </si>
  <si>
    <t xml:space="preserve">70639497            </t>
  </si>
  <si>
    <t>pedrojosewx28@hotmail.com</t>
  </si>
  <si>
    <t>00077640</t>
  </si>
  <si>
    <t>200M OESTE Y 80M SUR DEL CRUCE FORTUNA-ARENAL</t>
  </si>
  <si>
    <t>0000001329</t>
  </si>
  <si>
    <t>BLANCA IRIS  MENA ALVARADO</t>
  </si>
  <si>
    <t xml:space="preserve">85090834            </t>
  </si>
  <si>
    <t>irismenaalvarado@gmail.com</t>
  </si>
  <si>
    <t>HELADERIA</t>
  </si>
  <si>
    <t>SODA Y HELADERIA ARENAL</t>
  </si>
  <si>
    <t>602240740</t>
  </si>
  <si>
    <t>GILBERTO JESUS  GUTIERREZ SANCHEZ</t>
  </si>
  <si>
    <t xml:space="preserve">85786762            </t>
  </si>
  <si>
    <t xml:space="preserve">26944461            </t>
  </si>
  <si>
    <t>gilbertogutierrezsanchez@hotmail.com</t>
  </si>
  <si>
    <t>00055462</t>
  </si>
  <si>
    <t>75 NORTE DE BANCO NAC.ARENAL TILARAN "SODA HELADERIA ARENAL.</t>
  </si>
  <si>
    <t>0000000270</t>
  </si>
  <si>
    <t xml:space="preserve">COMPAÑIA AMERICANA DE HELADOS SOCIEDAD ANONIMA  </t>
  </si>
  <si>
    <t>POP'S</t>
  </si>
  <si>
    <t>401720063</t>
  </si>
  <si>
    <t>VERA  JENKINS BOLAÑOS</t>
  </si>
  <si>
    <t xml:space="preserve">83751541            </t>
  </si>
  <si>
    <t>vejenbo@gmail.com</t>
  </si>
  <si>
    <t>00070249</t>
  </si>
  <si>
    <t>COSTADO NORTE DE LA IGLESIA, TILARÁN</t>
  </si>
  <si>
    <t>0000001318</t>
  </si>
  <si>
    <t>MARIA VIRGINIA  ALVAREZ CRUZ</t>
  </si>
  <si>
    <t xml:space="preserve">83817009            </t>
  </si>
  <si>
    <t>alvarezcruzvirginia@gmail.com</t>
  </si>
  <si>
    <t>SODA HELADERÍA DOÑA VIQUI</t>
  </si>
  <si>
    <t>0000000015</t>
  </si>
  <si>
    <t>RUTH MARIA  HERRERA ARIAS</t>
  </si>
  <si>
    <t xml:space="preserve">88809273            </t>
  </si>
  <si>
    <t>lubricentrolaamistad@gmail.com</t>
  </si>
  <si>
    <t>PERFECTA DULZURA</t>
  </si>
  <si>
    <t>502310194</t>
  </si>
  <si>
    <t>00054360</t>
  </si>
  <si>
    <t>50M SUR DEL HOTEL GUADALUPE</t>
  </si>
  <si>
    <t>0000001988</t>
  </si>
  <si>
    <t>VALERIA  MAROTO SEGURA</t>
  </si>
  <si>
    <t xml:space="preserve">85842496            </t>
  </si>
  <si>
    <t>vmarotto05@gmail.com</t>
  </si>
  <si>
    <t xml:space="preserve">DOLCEZZA																						</t>
  </si>
  <si>
    <t>0000002254</t>
  </si>
  <si>
    <t xml:space="preserve">ALQUILERES Y COMISIONES POLO AZUL SOCIEDAD ANONIMA  </t>
  </si>
  <si>
    <t>MARCO VINICIO  CASTRO ESCOBAR</t>
  </si>
  <si>
    <t>107950791</t>
  </si>
  <si>
    <t>jcjimenez@mongeexpress.com</t>
  </si>
  <si>
    <t>HOSPEDAJE</t>
  </si>
  <si>
    <t>Alquileres y Comisiones Polo Azul</t>
  </si>
  <si>
    <t>3102314880</t>
  </si>
  <si>
    <t xml:space="preserve">NESLIP FRIA LIMITADA  </t>
  </si>
  <si>
    <t xml:space="preserve">24401616            </t>
  </si>
  <si>
    <t>jcjimenez@mongedexpress.com</t>
  </si>
  <si>
    <t>00157744</t>
  </si>
  <si>
    <t>1KM E ESCUELA LA UNION ARENAL</t>
  </si>
  <si>
    <t>0000002076</t>
  </si>
  <si>
    <t>ALQUILERES Y COMISIONES POLO AZUL</t>
  </si>
  <si>
    <t>00167346</t>
  </si>
  <si>
    <t>0000002082</t>
  </si>
  <si>
    <t xml:space="preserve">CABAÑAS KOI JOURNEY AND ADVENTURES SOCIEDAD DE RES  </t>
  </si>
  <si>
    <t>VANESSA  ADRIEN PULEO</t>
  </si>
  <si>
    <t>184002717627</t>
  </si>
  <si>
    <t xml:space="preserve">85358619            </t>
  </si>
  <si>
    <t>vanessa@led2serve.org</t>
  </si>
  <si>
    <t>Cabañas Koi</t>
  </si>
  <si>
    <t>3101786274</t>
  </si>
  <si>
    <t xml:space="preserve">LED TWO SERVE SOCIEDAD ANONIMA  </t>
  </si>
  <si>
    <t>00256720</t>
  </si>
  <si>
    <t>50M SUR DEL CRUCE DE CHIMURRIA</t>
  </si>
  <si>
    <t>0000001806</t>
  </si>
  <si>
    <t xml:space="preserve">CR LAGO LABOR AND PROPERTY SERVICES SOCIEDAD DE RE  </t>
  </si>
  <si>
    <t xml:space="preserve">84883101            </t>
  </si>
  <si>
    <t>BASECAMP ARENAL</t>
  </si>
  <si>
    <t>0000001246</t>
  </si>
  <si>
    <t>EDIE DE LOS ANGELES  GOMEZ SANCHEZ</t>
  </si>
  <si>
    <t xml:space="preserve">88122136            </t>
  </si>
  <si>
    <t>gomezeddie66@gmail.com</t>
  </si>
  <si>
    <t>HOSPEDAJE RANCHO MI TATA</t>
  </si>
  <si>
    <t>502310666</t>
  </si>
  <si>
    <t>00242930</t>
  </si>
  <si>
    <t>220M SUROESTE DE LA IGLESIA DE MARAVILLA</t>
  </si>
  <si>
    <t>0000001402</t>
  </si>
  <si>
    <t>MARITA ISABEL  VILLALOBOS RODRIGUEZ</t>
  </si>
  <si>
    <t xml:space="preserve">83964013            </t>
  </si>
  <si>
    <t>alalmeida_cr@hotmail.com</t>
  </si>
  <si>
    <t>MARITA´S BYB</t>
  </si>
  <si>
    <t>501750320</t>
  </si>
  <si>
    <t>00055544</t>
  </si>
  <si>
    <t>425M S GIMNACIO ARENAL</t>
  </si>
  <si>
    <t>0000000229</t>
  </si>
  <si>
    <t xml:space="preserve">PLAYA TILA SOCIEDAD ANONIMA  </t>
  </si>
  <si>
    <t>RAQUEL  ACUÑA BARRIENTOS</t>
  </si>
  <si>
    <t>112550217</t>
  </si>
  <si>
    <t xml:space="preserve">88124172            </t>
  </si>
  <si>
    <t>PLAYA TILA HOSPEDAJE.</t>
  </si>
  <si>
    <t>502010776</t>
  </si>
  <si>
    <t>YADIRA  BARRIENTOS VALERIO</t>
  </si>
  <si>
    <t xml:space="preserve">87047845            </t>
  </si>
  <si>
    <t>yadi.barrientos@hotmail.com</t>
  </si>
  <si>
    <t>00039554</t>
  </si>
  <si>
    <t>50 M NORTE DE LA CRUZ ROJA</t>
  </si>
  <si>
    <t>0000001003</t>
  </si>
  <si>
    <t xml:space="preserve">PUNTA TIGRE DEL PACIFICO SOCIEDAD ANONIMA  </t>
  </si>
  <si>
    <t xml:space="preserve">83801517            </t>
  </si>
  <si>
    <t xml:space="preserve">40014627            </t>
  </si>
  <si>
    <t>vistaverdelogde@gmail.com</t>
  </si>
  <si>
    <t>VISTA VERDE LODGE</t>
  </si>
  <si>
    <t>3101138046</t>
  </si>
  <si>
    <t>00099452</t>
  </si>
  <si>
    <t>DEL SKY ADVENTURE 3 KM AL NORTE</t>
  </si>
  <si>
    <t>0000001352</t>
  </si>
  <si>
    <t>RODORICO  PICADO ARGUEDAS</t>
  </si>
  <si>
    <t xml:space="preserve">86096988            </t>
  </si>
  <si>
    <t>picadorodoricospc@gmail.com</t>
  </si>
  <si>
    <t>Hospedaje La Casa De La Mariposa</t>
  </si>
  <si>
    <t>104210700</t>
  </si>
  <si>
    <t>00190460</t>
  </si>
  <si>
    <t>COSTADO NORTE DEL CEMENTERIO DEL DOS</t>
  </si>
  <si>
    <t>0000001616</t>
  </si>
  <si>
    <t>0000002149</t>
  </si>
  <si>
    <t>MARIA ALEXANDRA  SUAREZ GOMEZ</t>
  </si>
  <si>
    <t xml:space="preserve">62265960            </t>
  </si>
  <si>
    <t>alita21.as@gmail.com</t>
  </si>
  <si>
    <t>HOSPEDAJE CON DESAYUNO</t>
  </si>
  <si>
    <t>HAPPY PARADISE LODGE</t>
  </si>
  <si>
    <t>204070740</t>
  </si>
  <si>
    <t>00244084</t>
  </si>
  <si>
    <t>600 M SUR DEL CEMENTERIO ,ARENAL</t>
  </si>
  <si>
    <t>0000000096</t>
  </si>
  <si>
    <t xml:space="preserve">MONTE TERRAS SOCIEDAD ANONIMA  </t>
  </si>
  <si>
    <t xml:space="preserve">VOOGD CORNELIS  </t>
  </si>
  <si>
    <t>152800062808</t>
  </si>
  <si>
    <t>CABINAS MONTE TERRAS S.A</t>
  </si>
  <si>
    <t>3101380805</t>
  </si>
  <si>
    <t>casavoogd@hotmail.com</t>
  </si>
  <si>
    <t>00056104</t>
  </si>
  <si>
    <t>400 M ESTE Y  50 M NORTE DEL COLEGIO TECNICO PROFESIONAL, TRONADORA .</t>
  </si>
  <si>
    <t>0000000698</t>
  </si>
  <si>
    <t xml:space="preserve">SOLARRI CORPORATION SOCIEDAD ANONIMA  </t>
  </si>
  <si>
    <t>CARLOS CESAR  SOLANO CONEJO</t>
  </si>
  <si>
    <t>502650511</t>
  </si>
  <si>
    <t xml:space="preserve">86106279            </t>
  </si>
  <si>
    <t>ticosolano@yahoo.com</t>
  </si>
  <si>
    <t>CASA DONNA ROSA B&amp;B</t>
  </si>
  <si>
    <t>3101495573</t>
  </si>
  <si>
    <t xml:space="preserve">26944118            </t>
  </si>
  <si>
    <t>00181269</t>
  </si>
  <si>
    <t>400 M OESTE Y 200 M SUR DEL BANCO NACIONAL, NUEVO ARENAL</t>
  </si>
  <si>
    <t>0000000719</t>
  </si>
  <si>
    <t xml:space="preserve">3-101-763532 SOCIEDAD ANONIMA  </t>
  </si>
  <si>
    <t xml:space="preserve">87017007            </t>
  </si>
  <si>
    <t>oscar@burbilakelodge.com</t>
  </si>
  <si>
    <t>HOTEL</t>
  </si>
  <si>
    <t>BURBI LAKE LODGE</t>
  </si>
  <si>
    <t>3101763532</t>
  </si>
  <si>
    <t>00235427</t>
  </si>
  <si>
    <t>600M.NORTE DE LA ESCUELA MONTES LOS OLIVOS</t>
  </si>
  <si>
    <t>0000000911</t>
  </si>
  <si>
    <t xml:space="preserve">3-102-788743 SOCIEDAD DE RESPONSABILIDAD LIMITADA  </t>
  </si>
  <si>
    <t xml:space="preserve">JOANNE LOUISE LANE </t>
  </si>
  <si>
    <t>HM350737</t>
  </si>
  <si>
    <t xml:space="preserve">87991346            </t>
  </si>
  <si>
    <t>2joannelane@hotmail.com</t>
  </si>
  <si>
    <t>TOUCAN LANE</t>
  </si>
  <si>
    <t>3102788743</t>
  </si>
  <si>
    <t>00207745</t>
  </si>
  <si>
    <t>9 KM SUROESTE DE LA GASOLINERA, NUEVO ARENAL</t>
  </si>
  <si>
    <t>0000001103</t>
  </si>
  <si>
    <t xml:space="preserve">CABINAS Y HOTEL MARIES SOCIEDAD ANONIMA  </t>
  </si>
  <si>
    <t>CABINAS Y HOTEL MARIES</t>
  </si>
  <si>
    <t>3101165806</t>
  </si>
  <si>
    <t xml:space="preserve">26955479            </t>
  </si>
  <si>
    <t>00122171</t>
  </si>
  <si>
    <t>300M S GASOLINERA TILARAN</t>
  </si>
  <si>
    <t>0000001076</t>
  </si>
  <si>
    <t>HOTEL LA MANSION INN ARENAL</t>
  </si>
  <si>
    <t>0000002203</t>
  </si>
  <si>
    <t>EYAL BEN  MENACHEM YAARI</t>
  </si>
  <si>
    <t xml:space="preserve">86389962            </t>
  </si>
  <si>
    <t>gingerbredhotel@gmail.com</t>
  </si>
  <si>
    <t>HOTEL GINGERBREAD</t>
  </si>
  <si>
    <t>3102383881</t>
  </si>
  <si>
    <t xml:space="preserve">DALILA EIGHTY EIGHT REAL ESTATE SOCIEDAD DE RESPON  </t>
  </si>
  <si>
    <t xml:space="preserve">26944632            </t>
  </si>
  <si>
    <t>00140231</t>
  </si>
  <si>
    <t>0000001405</t>
  </si>
  <si>
    <t>HOTEL PUERTO SAN LUIS</t>
  </si>
  <si>
    <t>0000001136</t>
  </si>
  <si>
    <t xml:space="preserve">HARMALA TROPICAL INVESTMENTS LIMITADA  </t>
  </si>
  <si>
    <t xml:space="preserve">70313239            </t>
  </si>
  <si>
    <t>johannaharmala@gmail.com</t>
  </si>
  <si>
    <t>HOTEL LIVING FOREST</t>
  </si>
  <si>
    <t>3102657282</t>
  </si>
  <si>
    <t>00154324</t>
  </si>
  <si>
    <t>800 MTS NE Y 250 E DE LA IGLESIA SABALITO</t>
  </si>
  <si>
    <t>0000001726</t>
  </si>
  <si>
    <t>HOTEL LOS HEROES</t>
  </si>
  <si>
    <t>0000000628</t>
  </si>
  <si>
    <t>REINHARD GOTTFRIED  WILHELM BECKER</t>
  </si>
  <si>
    <t xml:space="preserve">83884151            </t>
  </si>
  <si>
    <t>laranadearenal@hotmail.com</t>
  </si>
  <si>
    <t>LA RANA ARENAL</t>
  </si>
  <si>
    <t>127600110710</t>
  </si>
  <si>
    <t>00075279</t>
  </si>
  <si>
    <t>RESTAURANT LA RANA N.ARENAL TILARAN</t>
  </si>
  <si>
    <t>0000000566</t>
  </si>
  <si>
    <t>HOTEL LAKE ARENAL BREWERY</t>
  </si>
  <si>
    <t>0000000752</t>
  </si>
  <si>
    <t>WILFREDO  GONZALEZ ACOSTA</t>
  </si>
  <si>
    <t xml:space="preserve">70058053            </t>
  </si>
  <si>
    <t>gatowill2@gmail.com</t>
  </si>
  <si>
    <t>HOTEL EL PARQUE TILARÁN</t>
  </si>
  <si>
    <t>0000001322</t>
  </si>
  <si>
    <t>XINIA MARIBEL DEL CARMEN  ARTAVIA CONEJO</t>
  </si>
  <si>
    <t xml:space="preserve">89875303            </t>
  </si>
  <si>
    <t>jhasu07@gmail.com</t>
  </si>
  <si>
    <t>HOSPEDAJE LAS TINAJAS</t>
  </si>
  <si>
    <t>3101756205</t>
  </si>
  <si>
    <t xml:space="preserve">JHASU DE ARENAL SOCIEDAD ANONIMA  </t>
  </si>
  <si>
    <t xml:space="preserve">88323170            </t>
  </si>
  <si>
    <t>cindy.dallana@gmail.com</t>
  </si>
  <si>
    <t>00237221</t>
  </si>
  <si>
    <t>I KM SUR DEL CEMENTERIO, ARENAL</t>
  </si>
  <si>
    <t>0000000289</t>
  </si>
  <si>
    <t>EDDYE DEL CARMEN  PICADO FERNANDEZ</t>
  </si>
  <si>
    <t xml:space="preserve">88482147            </t>
  </si>
  <si>
    <t>eddie.picado.f@gmail.com</t>
  </si>
  <si>
    <t>JOYERIA</t>
  </si>
  <si>
    <t>JOYERÍA CRISTAL</t>
  </si>
  <si>
    <t>3101577169</t>
  </si>
  <si>
    <t xml:space="preserve">TIME SQUARE INVESTMENTS SOCIEDAD ANONIMA  </t>
  </si>
  <si>
    <t xml:space="preserve">88982240            </t>
  </si>
  <si>
    <t xml:space="preserve">26956908            </t>
  </si>
  <si>
    <t>eitel29@yahoo.com</t>
  </si>
  <si>
    <t>00045156</t>
  </si>
  <si>
    <t>FRENTE A PARADA DE TAXIS ROJOS PARQUE TILARAN</t>
  </si>
  <si>
    <t>0000000324</t>
  </si>
  <si>
    <t>GERARDO MARIO DEL CARMEN  PICADO RODRIGUEZ</t>
  </si>
  <si>
    <t xml:space="preserve">87647825            </t>
  </si>
  <si>
    <t xml:space="preserve">26956340            </t>
  </si>
  <si>
    <t>picadogerardospc@gmail.com</t>
  </si>
  <si>
    <t>JOYERIA Y RELOJERIA PICADO</t>
  </si>
  <si>
    <t>0000000185</t>
  </si>
  <si>
    <t>LABORATORIO CLINICO</t>
  </si>
  <si>
    <t>LABORATORIO CLINICO ARM</t>
  </si>
  <si>
    <t>0000001975</t>
  </si>
  <si>
    <t xml:space="preserve">LABORATORIO CLINICO SANTORINI AZM SOCIEDAD ANONIMA  </t>
  </si>
  <si>
    <t xml:space="preserve">86232012            </t>
  </si>
  <si>
    <t>labclinicosantorini@gmail.com</t>
  </si>
  <si>
    <t>LABORATORIO CLINICO SANTORINI AZM S.A</t>
  </si>
  <si>
    <t>0000001173</t>
  </si>
  <si>
    <t>FAURICIO  JIMENEZ RUIZ</t>
  </si>
  <si>
    <t xml:space="preserve">63183997            </t>
  </si>
  <si>
    <t>fauriciojimenez160498@gmail.com</t>
  </si>
  <si>
    <t>LAVADO DE CARROS</t>
  </si>
  <si>
    <t>LAVACAR TRONADORA</t>
  </si>
  <si>
    <t>502690163</t>
  </si>
  <si>
    <t>CARLOS JULIO  CAMPOS HERRERA</t>
  </si>
  <si>
    <t xml:space="preserve">87544689            </t>
  </si>
  <si>
    <t>lecheriacarlos@gmail.com</t>
  </si>
  <si>
    <t>00038445</t>
  </si>
  <si>
    <t>90M O DE LA PLAZA DE TRONADORA</t>
  </si>
  <si>
    <t>0000002228</t>
  </si>
  <si>
    <t>FRANK EMANUEL  ALVAREZ NUÑEZ</t>
  </si>
  <si>
    <t xml:space="preserve">61917318            </t>
  </si>
  <si>
    <t>lavacartucatila@hotmail.com</t>
  </si>
  <si>
    <t>LAVACAR TUCA</t>
  </si>
  <si>
    <t>00034124</t>
  </si>
  <si>
    <t>75 SUR BANCO NACIONAL C.R, TILARAN</t>
  </si>
  <si>
    <t>0000001367</t>
  </si>
  <si>
    <t>MARCOS VINICIO  ARGUEDAS VARGAS</t>
  </si>
  <si>
    <t xml:space="preserve">83996771            </t>
  </si>
  <si>
    <t>marcosarguedas_11@hotmail.com</t>
  </si>
  <si>
    <t>LAVACAR VARGAS</t>
  </si>
  <si>
    <t>503930421</t>
  </si>
  <si>
    <t>00211515</t>
  </si>
  <si>
    <t>0000000477</t>
  </si>
  <si>
    <t>MARVIN DE LOS ANGELES  GONZALEZ ELIZONDO</t>
  </si>
  <si>
    <t xml:space="preserve">83621416            </t>
  </si>
  <si>
    <t>tallerautomotrizpym@gmail.com</t>
  </si>
  <si>
    <t>LAVACAR PYM</t>
  </si>
  <si>
    <t>503980020</t>
  </si>
  <si>
    <t>MARVIN JOSE  GONZALEZ HERNANDEZ</t>
  </si>
  <si>
    <t xml:space="preserve">85890376            </t>
  </si>
  <si>
    <t>jose290514@gmail.com</t>
  </si>
  <si>
    <t>00132837</t>
  </si>
  <si>
    <t>400 M OESTE DE LA GASOLINERA JSM</t>
  </si>
  <si>
    <t>0000000024</t>
  </si>
  <si>
    <t>ROGER ARMANDO  VILLALOBOS HERNANDEZ</t>
  </si>
  <si>
    <t xml:space="preserve">85832130            </t>
  </si>
  <si>
    <t>rogervh27cr@gmail.com</t>
  </si>
  <si>
    <t>LAVACAR VILLAHER</t>
  </si>
  <si>
    <t>3101342348</t>
  </si>
  <si>
    <t xml:space="preserve">RAS INVERSIONES R S A R SOCIEDAD ANONIMA  </t>
  </si>
  <si>
    <t xml:space="preserve">88580124            </t>
  </si>
  <si>
    <t>silviachc14@gmail.com</t>
  </si>
  <si>
    <t>00040552</t>
  </si>
  <si>
    <t>135 M SUR DE LA CASA EPISCOPAL</t>
  </si>
  <si>
    <t>0000001798</t>
  </si>
  <si>
    <t>ANA MARCELA  VARGAS JENKINS</t>
  </si>
  <si>
    <t xml:space="preserve">86440582            </t>
  </si>
  <si>
    <t xml:space="preserve">26955187            </t>
  </si>
  <si>
    <t>akymvargas@hotmail.com</t>
  </si>
  <si>
    <t>LIBRERIA</t>
  </si>
  <si>
    <t>LIBRERIA AKY</t>
  </si>
  <si>
    <t>108330405</t>
  </si>
  <si>
    <t>00087219</t>
  </si>
  <si>
    <t>25 MTS ESTE DEL LICEO MAURILIO ALVARADO VARGAS</t>
  </si>
  <si>
    <t>0000000034</t>
  </si>
  <si>
    <t>CIRCULO HIPERION</t>
  </si>
  <si>
    <t>0000000665</t>
  </si>
  <si>
    <t>DAVID MAURICIO  VARGAS CERDAS</t>
  </si>
  <si>
    <t xml:space="preserve">87598484            </t>
  </si>
  <si>
    <t>davidvargascerdas@gmail.com</t>
  </si>
  <si>
    <t>LIBRERIA MARANATHA</t>
  </si>
  <si>
    <t>106120951</t>
  </si>
  <si>
    <t>00055950</t>
  </si>
  <si>
    <t>100 NORTE 50 OESTE SUPER EL BARRIO, BARRIO EL CARMEN, BARRIO LA T.</t>
  </si>
  <si>
    <t>0000000999</t>
  </si>
  <si>
    <t>EDWIN  ALVAREZ HERNANDEZ</t>
  </si>
  <si>
    <t xml:space="preserve">83868521            </t>
  </si>
  <si>
    <t xml:space="preserve">26956485            </t>
  </si>
  <si>
    <t>libreriamayis@hotmail.com</t>
  </si>
  <si>
    <t>LIBRERIA MAYIS</t>
  </si>
  <si>
    <t>3101768434</t>
  </si>
  <si>
    <t xml:space="preserve">DESARROLLOS ALCAMADA DEL NORTE SOCIEDAD ANONIMA  </t>
  </si>
  <si>
    <t>00207354</t>
  </si>
  <si>
    <t>75 M ESTE DEL ESTADIO</t>
  </si>
  <si>
    <t>0000000507</t>
  </si>
  <si>
    <t>0000000539</t>
  </si>
  <si>
    <t>0000000124</t>
  </si>
  <si>
    <t>JASON FERNANDO  HIDALGO SALAZAR</t>
  </si>
  <si>
    <t xml:space="preserve">88194035            </t>
  </si>
  <si>
    <t>jhidalgosalazar@hotmail.com</t>
  </si>
  <si>
    <t>LUBRICENTRO</t>
  </si>
  <si>
    <t>TILA GARAGE LUBRICENTRO</t>
  </si>
  <si>
    <t>201840652</t>
  </si>
  <si>
    <t>JOSE FRANCISCO  PICADO OROZCO</t>
  </si>
  <si>
    <t xml:space="preserve">87043344            </t>
  </si>
  <si>
    <t>picadosilvia@yahoo.es</t>
  </si>
  <si>
    <t>00012931</t>
  </si>
  <si>
    <t>50 M NORTE Y 300 M OESTE DE LA CAMARA DE GANADEROS</t>
  </si>
  <si>
    <t>0000001434</t>
  </si>
  <si>
    <t>0000000989</t>
  </si>
  <si>
    <t>LUIS FRANCISCO  VILLALOBOS FERRETO</t>
  </si>
  <si>
    <t xml:space="preserve">88900273            </t>
  </si>
  <si>
    <t>villalobosluisspc@gmail.com</t>
  </si>
  <si>
    <t>LUBRICENTRO TATO</t>
  </si>
  <si>
    <t>503480146</t>
  </si>
  <si>
    <t>KAREN SELENIA  MENDEZ PEREZ</t>
  </si>
  <si>
    <t xml:space="preserve">88170785            </t>
  </si>
  <si>
    <t>kmendezperez85@gmail.com</t>
  </si>
  <si>
    <t>00125943</t>
  </si>
  <si>
    <t>100 M SUR Y 200 M ESTE DE LA GAR DE QUEBRADA GRANDE</t>
  </si>
  <si>
    <t>0000000460</t>
  </si>
  <si>
    <t>RAFAEL DE LOS ANGELES  HERRERA CONEJO</t>
  </si>
  <si>
    <t xml:space="preserve">88245544            </t>
  </si>
  <si>
    <t xml:space="preserve">26955442            </t>
  </si>
  <si>
    <t>lubricentrofelo@gmail.com</t>
  </si>
  <si>
    <t>LUBRICENTRO FELO</t>
  </si>
  <si>
    <t>3101695100</t>
  </si>
  <si>
    <t xml:space="preserve">LUBRICENTRO FELO DE TILARAN SOCIEDAD ANONIMA  </t>
  </si>
  <si>
    <t>00009465</t>
  </si>
  <si>
    <t>100 M SUR  DEL PALACIO EPISCOPAL, TILARAN</t>
  </si>
  <si>
    <t>0000000489</t>
  </si>
  <si>
    <t>LUBRICENTRO LA AMISTAD</t>
  </si>
  <si>
    <t>502510247</t>
  </si>
  <si>
    <t>ESTRELLA CECILIA  MASIS BASTOS</t>
  </si>
  <si>
    <t xml:space="preserve">85027700            </t>
  </si>
  <si>
    <t>masisestrellaspc@gmail.com</t>
  </si>
  <si>
    <t>00111836</t>
  </si>
  <si>
    <t>100 MTS SUR CAMARA DE GANADEROS TILARAN</t>
  </si>
  <si>
    <t>0000000312</t>
  </si>
  <si>
    <t>STEVENS DE LOS ANGELES  RAMIREZ GARCIA</t>
  </si>
  <si>
    <t xml:space="preserve">88488847            </t>
  </si>
  <si>
    <t>stevensramirezgarcia@gmail.com</t>
  </si>
  <si>
    <t>LUBRISERVICIO DAGO</t>
  </si>
  <si>
    <t>3101761635</t>
  </si>
  <si>
    <t xml:space="preserve">GRUPO FAMURO FMR SOCIEDAD ANONIMA  </t>
  </si>
  <si>
    <t xml:space="preserve">84666699            </t>
  </si>
  <si>
    <t>marjorierojas33@gmail.com</t>
  </si>
  <si>
    <t>00192205</t>
  </si>
  <si>
    <t>COSTADO N DEL COLONO, TILARÁN</t>
  </si>
  <si>
    <t>0000001701</t>
  </si>
  <si>
    <t xml:space="preserve">H T SETECCA LIMITADA  </t>
  </si>
  <si>
    <t>HENRIK  THAEKKER HANSEN</t>
  </si>
  <si>
    <t>120800000707</t>
  </si>
  <si>
    <t xml:space="preserve">83165805            </t>
  </si>
  <si>
    <t>ht@htsetecca.com</t>
  </si>
  <si>
    <t>MANTE.REPARACION TURBINAS EOLICAS</t>
  </si>
  <si>
    <t>HTSETECCA LIMITADA</t>
  </si>
  <si>
    <t>3102251490</t>
  </si>
  <si>
    <t>ml@htsetecca.com</t>
  </si>
  <si>
    <t>00041349</t>
  </si>
  <si>
    <t>150 MTS SUR DE LA CASA EPISCOPAL</t>
  </si>
  <si>
    <t>0000000784</t>
  </si>
  <si>
    <t xml:space="preserve">VESTAS COSTA RICA, SOCIEDAD ANONIMA  </t>
  </si>
  <si>
    <t xml:space="preserve">83418936            </t>
  </si>
  <si>
    <t>jmiranda@blplegal.com</t>
  </si>
  <si>
    <t>VESTAS COSTA RICA</t>
  </si>
  <si>
    <t>00208618</t>
  </si>
  <si>
    <t>Ruta nacional 142, 1 kilómetro posterior al pueblo Los Ángeles, ruta Canas - Tilarán, mano derecha.</t>
  </si>
  <si>
    <t>0000001894</t>
  </si>
  <si>
    <t xml:space="preserve">MAJO H&amp;A INGENIERIA Y CONSTRUCCION SOCIEDAD ANONIM  </t>
  </si>
  <si>
    <t>MAURICIO JOSUE  ALVAREZ GAMBOA</t>
  </si>
  <si>
    <t>504020486</t>
  </si>
  <si>
    <t xml:space="preserve">72671844            </t>
  </si>
  <si>
    <t>malvarez@majohya.com</t>
  </si>
  <si>
    <t>Mantenimiento y reparación Edificios e Instalac.</t>
  </si>
  <si>
    <t>MAJO H&amp;A INGENIERIA Y CONTRUCCION</t>
  </si>
  <si>
    <t xml:space="preserve">85364025            </t>
  </si>
  <si>
    <t>0000002001</t>
  </si>
  <si>
    <t>MIGUEL ANGEL  ALEMAN CHAVARRIA</t>
  </si>
  <si>
    <t xml:space="preserve">87643608            </t>
  </si>
  <si>
    <t>miguelalemanchavarria95@hotmail.com</t>
  </si>
  <si>
    <t>MULTISERVICIOS MIGUEL ALEMAN</t>
  </si>
  <si>
    <t xml:space="preserve">88461854            </t>
  </si>
  <si>
    <t>0000001933</t>
  </si>
  <si>
    <t xml:space="preserve">MUTISERVICIOS GEMEGASO R&amp;G SOCIEDAD DE RESPONSABIL  </t>
  </si>
  <si>
    <t>YUSMEL  SEQUEIRA GAZO</t>
  </si>
  <si>
    <t>155826662614</t>
  </si>
  <si>
    <t xml:space="preserve">84573017            </t>
  </si>
  <si>
    <t>sequeiragazoyusmel@gmail.com</t>
  </si>
  <si>
    <t>MUTISERVICIOS GEMEGASO R&amp;G SRL</t>
  </si>
  <si>
    <t>0000002128</t>
  </si>
  <si>
    <t xml:space="preserve">PUBLICARTELES SOCIEDAD ANONIMA  </t>
  </si>
  <si>
    <t xml:space="preserve">88853636            </t>
  </si>
  <si>
    <t>legal@pbclcr.com</t>
  </si>
  <si>
    <t>PBCL</t>
  </si>
  <si>
    <t>0000001986</t>
  </si>
  <si>
    <t>MANTENIMIENTO ZONAS VERDES</t>
  </si>
  <si>
    <t>0000001817</t>
  </si>
  <si>
    <t>HERNAN DAVID  JENKINS MURILLO</t>
  </si>
  <si>
    <t>jenkinshernanspc@gmail.com</t>
  </si>
  <si>
    <t>MAQUINAS DE JUEGOS</t>
  </si>
  <si>
    <t>SALA JUEGOS BUENA SUERTE</t>
  </si>
  <si>
    <t>0000000008</t>
  </si>
  <si>
    <t>SALA DE JUEGOS</t>
  </si>
  <si>
    <t>00021485</t>
  </si>
  <si>
    <t>100M N IGLESIA CATOLICA LOS ANGELES</t>
  </si>
  <si>
    <t>0000000355</t>
  </si>
  <si>
    <t>MATERIALES CONSTRUCCION.</t>
  </si>
  <si>
    <t>COLONO TILARAN CONSTRUCCION</t>
  </si>
  <si>
    <t>0000000629</t>
  </si>
  <si>
    <t>OLGER DE JESUS  PORRAS GUZMAN</t>
  </si>
  <si>
    <t>502090908</t>
  </si>
  <si>
    <t>TAJO LA PIEDRA VIVA</t>
  </si>
  <si>
    <t>0000000677</t>
  </si>
  <si>
    <t xml:space="preserve">3-102-921369 SOCIEDAD DE RESPONSABILIDAD LIMITADA  </t>
  </si>
  <si>
    <t xml:space="preserve">MEI ZHEN MG MOK  </t>
  </si>
  <si>
    <t>166335828</t>
  </si>
  <si>
    <t xml:space="preserve">86646882            </t>
  </si>
  <si>
    <t>omega222eli@hotmail.com</t>
  </si>
  <si>
    <t>MINISUPER</t>
  </si>
  <si>
    <t>MINISUPER CARLOS</t>
  </si>
  <si>
    <t>00108858</t>
  </si>
  <si>
    <t>CONTIGUO A OFICINAS DE CORREO DE TILARAN</t>
  </si>
  <si>
    <t>0000002109</t>
  </si>
  <si>
    <t>ALEJANDRA MARIA  MATA CRUZ</t>
  </si>
  <si>
    <t xml:space="preserve">85374226            </t>
  </si>
  <si>
    <t>alejandramatacruz@gmail.com</t>
  </si>
  <si>
    <t>MINISUPER EL MANANTIAL</t>
  </si>
  <si>
    <t>501600329</t>
  </si>
  <si>
    <t>ELIGIA ALEIDA DE LOS ANGELES  ROJAS ALVAREZ</t>
  </si>
  <si>
    <t xml:space="preserve">87063543            </t>
  </si>
  <si>
    <t xml:space="preserve">26587252            </t>
  </si>
  <si>
    <t>00065929</t>
  </si>
  <si>
    <t>FRENTE AL SALON COMUNAL DE RIO PIEDRAS, TIERRAS MORENAS</t>
  </si>
  <si>
    <t>0000001134</t>
  </si>
  <si>
    <t>ALEJANDRO ALONSO  CHAVARRIA CHAVARRIA</t>
  </si>
  <si>
    <t xml:space="preserve">85041608            </t>
  </si>
  <si>
    <t>alejandrocc38@gmail.com</t>
  </si>
  <si>
    <t>MINISUPER ROCHA</t>
  </si>
  <si>
    <t>503220174</t>
  </si>
  <si>
    <t>ERICK  ROJAS ARIAS</t>
  </si>
  <si>
    <t xml:space="preserve">62024453            </t>
  </si>
  <si>
    <t>erick1981ra@gmail.com</t>
  </si>
  <si>
    <t>00082292</t>
  </si>
  <si>
    <t>100M OESTE Y 25M NORTE DEL RECIBIDOR DE CAFE TIERRAS MORENAS TILARAN</t>
  </si>
  <si>
    <t>0000001799</t>
  </si>
  <si>
    <t>ALESSANDRO JOSHSOA  HIDALGO PRENDAS</t>
  </si>
  <si>
    <t xml:space="preserve">83618641            </t>
  </si>
  <si>
    <t>kavaminisuperylico@gmail.com</t>
  </si>
  <si>
    <t>KAVA MINISUPER</t>
  </si>
  <si>
    <t>0000002164</t>
  </si>
  <si>
    <t>ALEXIS GERARDO  PORRAS PORRAS</t>
  </si>
  <si>
    <t xml:space="preserve">87598533            </t>
  </si>
  <si>
    <t>alexisporrasporras@gmail.com</t>
  </si>
  <si>
    <t>MINISUPER RAMOS</t>
  </si>
  <si>
    <t>501670889</t>
  </si>
  <si>
    <t>GUIDO GERARDO DEL CARMEN  RAMOS ALVAREZ</t>
  </si>
  <si>
    <t xml:space="preserve">867278120           </t>
  </si>
  <si>
    <t>00063318</t>
  </si>
  <si>
    <t>30M S SALON COMUNAL DE RIO PIEDRAS TIERRA MORENAS TILARAN</t>
  </si>
  <si>
    <t>0000001711</t>
  </si>
  <si>
    <t>ANA BEATRIZ DE LA TRINIDAD  PEREZ SALAZAR</t>
  </si>
  <si>
    <t xml:space="preserve">84106996            </t>
  </si>
  <si>
    <t>beapesalazar@gmail.com</t>
  </si>
  <si>
    <t>Minisuper La Florida</t>
  </si>
  <si>
    <t>502510469</t>
  </si>
  <si>
    <t>00127533</t>
  </si>
  <si>
    <t>200 M SUR DE LA ESCUELA LOS PATOS, QUEBRADA GRANDE</t>
  </si>
  <si>
    <t>0000001695</t>
  </si>
  <si>
    <t>ANA CECILIA  MURILLO CASTRO</t>
  </si>
  <si>
    <t xml:space="preserve">89849492            </t>
  </si>
  <si>
    <t>pulperiaelrio@gmail.com</t>
  </si>
  <si>
    <t>MINI SUPER EL RIO</t>
  </si>
  <si>
    <t>502520635</t>
  </si>
  <si>
    <t>00020332</t>
  </si>
  <si>
    <t>25 M ESTE DE LA ANTIGUA DELEGACION, LIBANO.</t>
  </si>
  <si>
    <t>0000001426</t>
  </si>
  <si>
    <t>ANABEL  GATICA BLANDON</t>
  </si>
  <si>
    <t xml:space="preserve">86190040            </t>
  </si>
  <si>
    <t>anabelgatica906@gmail.com</t>
  </si>
  <si>
    <t>Mini Super Frania</t>
  </si>
  <si>
    <t>155830326726</t>
  </si>
  <si>
    <t>00224909</t>
  </si>
  <si>
    <t>DE LA PLAZA DE LA FLORIDA 200 M AL NORESTE</t>
  </si>
  <si>
    <t>0000002012</t>
  </si>
  <si>
    <t>ANGEL  GUZMAN PEREZ</t>
  </si>
  <si>
    <t xml:space="preserve">87296942            </t>
  </si>
  <si>
    <t>aguzmanperez794@gmail.com</t>
  </si>
  <si>
    <t>MINISUPER G Y G</t>
  </si>
  <si>
    <t>502110679</t>
  </si>
  <si>
    <t>LIDIETH GERARDINA  MURILLO ULATE</t>
  </si>
  <si>
    <t xml:space="preserve">64551750            </t>
  </si>
  <si>
    <t>lidiethmurillo50@gmail.com</t>
  </si>
  <si>
    <t>00091931</t>
  </si>
  <si>
    <t>150M.NORTE DEL SALON COMUNAL LINDA VISTA QDA.AZUL</t>
  </si>
  <si>
    <t>0000000559</t>
  </si>
  <si>
    <t>DANIEL RENAN JOSE  MENDEZ RODRIGUEZ</t>
  </si>
  <si>
    <t xml:space="preserve">87818487            </t>
  </si>
  <si>
    <t>danielmend387@gmail.com</t>
  </si>
  <si>
    <t>MINISUPER RIO PIEDRAS</t>
  </si>
  <si>
    <t>502090316</t>
  </si>
  <si>
    <t>00126612</t>
  </si>
  <si>
    <t>COSTADO ESTE DEL PARQUE DE RIO PIEDRAS TIERRA MORENAS</t>
  </si>
  <si>
    <t>0000001106</t>
  </si>
  <si>
    <t>EDGAR VINICIO  GRANADOS SOLIS</t>
  </si>
  <si>
    <t xml:space="preserve">88163206            </t>
  </si>
  <si>
    <t xml:space="preserve">26955871            </t>
  </si>
  <si>
    <t>evgranados@hotmail.com</t>
  </si>
  <si>
    <t>MINISUPER AVENIDA 01</t>
  </si>
  <si>
    <t>501411228</t>
  </si>
  <si>
    <t>ELMER DE JESUS  ZAMORA ZAMORA</t>
  </si>
  <si>
    <t xml:space="preserve">88093010            </t>
  </si>
  <si>
    <t>zamorazamoraelmer@gmail.com</t>
  </si>
  <si>
    <t>00011258</t>
  </si>
  <si>
    <t>0000001981</t>
  </si>
  <si>
    <t>QUEKO´S MINISUPER Y LICORES</t>
  </si>
  <si>
    <t>0000002172</t>
  </si>
  <si>
    <t>ERIC MARTIN  RAMIREZ AVILA</t>
  </si>
  <si>
    <t xml:space="preserve">83724959            </t>
  </si>
  <si>
    <t>eramirez0389@gmail.com</t>
  </si>
  <si>
    <t>MINISÚPER EL VENTOLERO</t>
  </si>
  <si>
    <t>502630273</t>
  </si>
  <si>
    <t>EBERTO GERARDO  GONZALEZ ARCE</t>
  </si>
  <si>
    <t xml:space="preserve">84865380            </t>
  </si>
  <si>
    <t>egonzalez081170@gmail.com</t>
  </si>
  <si>
    <t>00077239</t>
  </si>
  <si>
    <t>50M.NORTE DE LA ESCUELA LOS OLIVOS</t>
  </si>
  <si>
    <t>0000002096</t>
  </si>
  <si>
    <t>EYLEEN  HERRERA GARCIA</t>
  </si>
  <si>
    <t xml:space="preserve">85514197            </t>
  </si>
  <si>
    <t>eyhergar@gmail.com</t>
  </si>
  <si>
    <t>Abastecedor La Escuelita</t>
  </si>
  <si>
    <t>503860404</t>
  </si>
  <si>
    <t>00111558</t>
  </si>
  <si>
    <t>FRENTE ESCUELA ASENTAMIENTO SIBAJA, ARENAL</t>
  </si>
  <si>
    <t>0000001805</t>
  </si>
  <si>
    <t>Super Los Rodríguez San Miguel</t>
  </si>
  <si>
    <t>0000001746</t>
  </si>
  <si>
    <t>GUO RONG  LU CAI</t>
  </si>
  <si>
    <t xml:space="preserve">88340033            </t>
  </si>
  <si>
    <t>biyingzzz@hotmail.com</t>
  </si>
  <si>
    <t>MINI SUPER BIEN</t>
  </si>
  <si>
    <t>801110458</t>
  </si>
  <si>
    <t>00039077</t>
  </si>
  <si>
    <t>COSTADO SUR DE LA AGENCIA DEL ICE</t>
  </si>
  <si>
    <t>0000001247</t>
  </si>
  <si>
    <t>HUBER ISAIAS  CHACON CORELLA</t>
  </si>
  <si>
    <t xml:space="preserve">83122653            </t>
  </si>
  <si>
    <t>supertubert82@gmail.com</t>
  </si>
  <si>
    <t>MINISUPER TUNGAR</t>
  </si>
  <si>
    <t>0000000397</t>
  </si>
  <si>
    <t xml:space="preserve">INVERSIONES BONICHE SOCIEDAD ANONIMA  </t>
  </si>
  <si>
    <t>CAMILO  BONICHE BARQUERO</t>
  </si>
  <si>
    <t>504120717</t>
  </si>
  <si>
    <t xml:space="preserve">87878798            </t>
  </si>
  <si>
    <t>cboniche@byaingenieria.co.cr</t>
  </si>
  <si>
    <t>MINI MEGA TILARÁN</t>
  </si>
  <si>
    <t>402100139</t>
  </si>
  <si>
    <t>DIANA BEATRIZ  BOGANTES PICADO</t>
  </si>
  <si>
    <t xml:space="preserve">87270841            </t>
  </si>
  <si>
    <t>dbogantesfvh@gmail.com</t>
  </si>
  <si>
    <t>00089114</t>
  </si>
  <si>
    <t>300M OESTE DE GASOLINERA JSM</t>
  </si>
  <si>
    <t>0000001787</t>
  </si>
  <si>
    <t xml:space="preserve">INVERSIONES Y SOLUCIONES RACAR SOCIEDAD ANONIMA  </t>
  </si>
  <si>
    <t>503540977</t>
  </si>
  <si>
    <t>MINISUPER LICO ZAMORA</t>
  </si>
  <si>
    <t>00065160</t>
  </si>
  <si>
    <t>100 MTS OESTE DEL BANCO NACIONAL</t>
  </si>
  <si>
    <t>0000001705</t>
  </si>
  <si>
    <t>MINISUPER Y LICO ZAMORA</t>
  </si>
  <si>
    <t>3101099574</t>
  </si>
  <si>
    <t xml:space="preserve">GANADERA JENKINS VEGA SOCIEDAD ANONIMA  </t>
  </si>
  <si>
    <t xml:space="preserve">83849614            </t>
  </si>
  <si>
    <t xml:space="preserve">26955167            </t>
  </si>
  <si>
    <t>ganaderajenkinsvega@yahoo.com</t>
  </si>
  <si>
    <t>00064776</t>
  </si>
  <si>
    <t>COSTADO OESTE DEL MERCADO MUNICIPAL</t>
  </si>
  <si>
    <t>0000001712</t>
  </si>
  <si>
    <t>Super El Barrio</t>
  </si>
  <si>
    <t>502620481</t>
  </si>
  <si>
    <t>OLDEMAR DE LA TRINIDAD  CARRANZA ARGUEDAS</t>
  </si>
  <si>
    <t xml:space="preserve">89693473            </t>
  </si>
  <si>
    <t xml:space="preserve">26956336            </t>
  </si>
  <si>
    <t>rmp.olde@hotmail.com</t>
  </si>
  <si>
    <t>00026199</t>
  </si>
  <si>
    <t>CONTIGUO AL SUPER EL BARRIO, BARRIO EL CARMEN, TILARAN</t>
  </si>
  <si>
    <t>0000001721</t>
  </si>
  <si>
    <t>SUPER Y LICO ZAMORA #4</t>
  </si>
  <si>
    <t>3101855877</t>
  </si>
  <si>
    <t xml:space="preserve">85192069            </t>
  </si>
  <si>
    <t>00079640</t>
  </si>
  <si>
    <t>100 MTS OESTE DEL BANCO DE COSTA RICA</t>
  </si>
  <si>
    <t>0000002265</t>
  </si>
  <si>
    <t>JACKELINE MARIA  SANCHEZ ARIAS</t>
  </si>
  <si>
    <t xml:space="preserve">85908517            </t>
  </si>
  <si>
    <t>jacke85908517@gmail.com</t>
  </si>
  <si>
    <t>PULPERIA MARAVILLA</t>
  </si>
  <si>
    <t>504010892</t>
  </si>
  <si>
    <t>00194767</t>
  </si>
  <si>
    <t>MARAVILLA</t>
  </si>
  <si>
    <t>0000001649</t>
  </si>
  <si>
    <t>JEFFERSON ANTONIO  CRUZ ARIAS</t>
  </si>
  <si>
    <t xml:space="preserve">87040510            </t>
  </si>
  <si>
    <t xml:space="preserve">22501722            </t>
  </si>
  <si>
    <t>declaracionpatentes@gmail.com</t>
  </si>
  <si>
    <t>MINISUPER FELIZ</t>
  </si>
  <si>
    <t>208190130</t>
  </si>
  <si>
    <t>00075810</t>
  </si>
  <si>
    <t>TILARAN, 50 MTS OESTE DE LA ESCUELA DE SAN LUIS</t>
  </si>
  <si>
    <t>0000001377</t>
  </si>
  <si>
    <t>Kapi Kapi Market N°1</t>
  </si>
  <si>
    <t>00262390</t>
  </si>
  <si>
    <t>COSTADO OESTE DE PLAZA DEPORTE DE LOS ANGELES ,SANTA ROSA.</t>
  </si>
  <si>
    <t>0000002033</t>
  </si>
  <si>
    <t>KATTIA MARITZA  HUERTAS CAMPOS</t>
  </si>
  <si>
    <t xml:space="preserve">63284963            </t>
  </si>
  <si>
    <t>kattiahuertas15@gmail.com</t>
  </si>
  <si>
    <t>SULA GREENS</t>
  </si>
  <si>
    <t>3101223252</t>
  </si>
  <si>
    <t xml:space="preserve">ARMOSA A M R SOCIEDAD ANONIMA  </t>
  </si>
  <si>
    <t xml:space="preserve">88743692            </t>
  </si>
  <si>
    <t xml:space="preserve">26944447            </t>
  </si>
  <si>
    <t>lmorar59@hotmail.com</t>
  </si>
  <si>
    <t>00055472</t>
  </si>
  <si>
    <t>COSTADO SUR PLAZA DEPORTES ARENAL</t>
  </si>
  <si>
    <t>0000001962</t>
  </si>
  <si>
    <t>MINISUPER LA UNICA</t>
  </si>
  <si>
    <t>0000001336</t>
  </si>
  <si>
    <t>KIMBERLY MICHAEL  RODRIGUEZ SANCHEZ</t>
  </si>
  <si>
    <t xml:space="preserve">72087809            </t>
  </si>
  <si>
    <t>kirosa14@hotmail.com</t>
  </si>
  <si>
    <t>TU PUNTO MINISUPER Y LICORES</t>
  </si>
  <si>
    <t>502080771</t>
  </si>
  <si>
    <t>JOSE OLDEMAR  CALDERON MURILLO</t>
  </si>
  <si>
    <t xml:space="preserve">88616905            </t>
  </si>
  <si>
    <t>00055461</t>
  </si>
  <si>
    <t>50M NORTE DEL BANCO NACIONAL</t>
  </si>
  <si>
    <t>0000001989</t>
  </si>
  <si>
    <t>EMNI</t>
  </si>
  <si>
    <t>00072755</t>
  </si>
  <si>
    <t>300M NOROESTE DEL SALON COMUNAL, PARCELAS QUEBRADA AZUL</t>
  </si>
  <si>
    <t>0000002139</t>
  </si>
  <si>
    <t xml:space="preserve">LIYING CHEN </t>
  </si>
  <si>
    <t xml:space="preserve">87640888            </t>
  </si>
  <si>
    <t>601441753@qq.com</t>
  </si>
  <si>
    <t>MINISUPER 668</t>
  </si>
  <si>
    <t>501430394</t>
  </si>
  <si>
    <t>MARIA DEL CARMEN ANTONIA  HERRERA SOTO</t>
  </si>
  <si>
    <t xml:space="preserve">89282004            </t>
  </si>
  <si>
    <t>carmen.resepo@gmail.com</t>
  </si>
  <si>
    <t>00013088</t>
  </si>
  <si>
    <t>COSTADO SUR DE LA PLAZA LOS ANGELES DE TILARAN</t>
  </si>
  <si>
    <t>0000002224</t>
  </si>
  <si>
    <t>MARGOTH ROXANA  SANCHEZ RAMIREZ</t>
  </si>
  <si>
    <t xml:space="preserve">88531522            </t>
  </si>
  <si>
    <t>comefrutatilaran@gmail.com</t>
  </si>
  <si>
    <t>Come Fruta</t>
  </si>
  <si>
    <t>00054900</t>
  </si>
  <si>
    <t>100 MTS SUR DE LA CATEDRAL, TILARÁN</t>
  </si>
  <si>
    <t>0000001589</t>
  </si>
  <si>
    <t>MARIA ELIZABETH  MARENCO TRIGUEROS</t>
  </si>
  <si>
    <t xml:space="preserve">86815503            </t>
  </si>
  <si>
    <t>elymt1987@gmail.com</t>
  </si>
  <si>
    <t>LA FARMACIA ORGANICA</t>
  </si>
  <si>
    <t>3002056957</t>
  </si>
  <si>
    <t xml:space="preserve">ASOCIACION DESARROLLO INTEGRAL DE ARENAL DE TILARA  </t>
  </si>
  <si>
    <t xml:space="preserve">26944129            </t>
  </si>
  <si>
    <t>adinarenal@gmail.com</t>
  </si>
  <si>
    <t>00055563</t>
  </si>
  <si>
    <t>GIMNACIO DE ARENAL</t>
  </si>
  <si>
    <t>0000002058</t>
  </si>
  <si>
    <t>MARIA GUADALUPE  RODRIGUEZ MEJIA</t>
  </si>
  <si>
    <t xml:space="preserve">86855979            </t>
  </si>
  <si>
    <t>lalicominisuper334@gmail.com</t>
  </si>
  <si>
    <t>Minisuper La Lico</t>
  </si>
  <si>
    <t>0000001968</t>
  </si>
  <si>
    <t>MIRYANA LUCIA  GARCIA ARTAVIA</t>
  </si>
  <si>
    <t xml:space="preserve">89416050            </t>
  </si>
  <si>
    <t>miryanagarcia@gmail.com</t>
  </si>
  <si>
    <t>Minisuper y licorera Ruta 734</t>
  </si>
  <si>
    <t>503470454</t>
  </si>
  <si>
    <t>00217422</t>
  </si>
  <si>
    <t>Nuevo Arenal, Mata de Caña 750 mts Este de la Escuela.</t>
  </si>
  <si>
    <t>0000002129</t>
  </si>
  <si>
    <t>RONNY ANTONIO  SALAZAR ESPINOZA</t>
  </si>
  <si>
    <t xml:space="preserve">86042030            </t>
  </si>
  <si>
    <t xml:space="preserve">86600321            </t>
  </si>
  <si>
    <t>ronnysalazar1234@gmail.com</t>
  </si>
  <si>
    <t>MINISUPER SOLANIA</t>
  </si>
  <si>
    <t>502160683</t>
  </si>
  <si>
    <t>HILDA ENID DEL CARMEN  ROJAS GARCIA</t>
  </si>
  <si>
    <t xml:space="preserve">88245892            </t>
  </si>
  <si>
    <t xml:space="preserve">26954079            </t>
  </si>
  <si>
    <t>hilda.alba09@gmail.com</t>
  </si>
  <si>
    <t>00086638</t>
  </si>
  <si>
    <t>COSTADO OESTE DEL SALON COMUNAL DE SOLANIA EN LIBANO</t>
  </si>
  <si>
    <t>0000001665</t>
  </si>
  <si>
    <t xml:space="preserve">TIENDA DE CONVENIENCIA SERVICENTROS JSM SOCIEDAD A  </t>
  </si>
  <si>
    <t xml:space="preserve">89640301            </t>
  </si>
  <si>
    <t xml:space="preserve">26952100            </t>
  </si>
  <si>
    <t>TIENDA LA CARIBEÑA MINISUPER</t>
  </si>
  <si>
    <t>0000001107</t>
  </si>
  <si>
    <t xml:space="preserve">TUCAN HILL DE TRONADORA SOCIEDAD ANONIMA  </t>
  </si>
  <si>
    <t>MAUREEN ETHELVINA  CASTILLO MEJIA</t>
  </si>
  <si>
    <t>503730053</t>
  </si>
  <si>
    <t xml:space="preserve">70122802            </t>
  </si>
  <si>
    <t xml:space="preserve">83095706            </t>
  </si>
  <si>
    <t>notipunto21@gmail.com</t>
  </si>
  <si>
    <t>MINI SUPER EL PUNTO</t>
  </si>
  <si>
    <t>0000000734</t>
  </si>
  <si>
    <t>VALERY JULYANA  CAMPOS MENA</t>
  </si>
  <si>
    <t xml:space="preserve">85256421            </t>
  </si>
  <si>
    <t>menajulyana@gmail.com</t>
  </si>
  <si>
    <t>EL RINCONCITO DE LOS LÁCTEOS Y MÁS…</t>
  </si>
  <si>
    <t>3101170495</t>
  </si>
  <si>
    <t xml:space="preserve">GANADERIA ALEGRE RAC SOCIEDAD ANONIMA  </t>
  </si>
  <si>
    <t>robertoalegre95@gmail.com</t>
  </si>
  <si>
    <t>00126652</t>
  </si>
  <si>
    <t>60 MTS NORTE BCCR TILARAN</t>
  </si>
  <si>
    <t>0000002200</t>
  </si>
  <si>
    <t>YENDRY GABRIELA  RODRIGUEZ ALVAREZ</t>
  </si>
  <si>
    <t xml:space="preserve">87366485            </t>
  </si>
  <si>
    <t>yenrodriguezcr@gmail.com</t>
  </si>
  <si>
    <t>MINISUPER RYA</t>
  </si>
  <si>
    <t>502030787</t>
  </si>
  <si>
    <t>DINORAH DE LOS ANGELES  ALVAREZ ARAYA</t>
  </si>
  <si>
    <t xml:space="preserve">85072654            </t>
  </si>
  <si>
    <t xml:space="preserve">26938012            </t>
  </si>
  <si>
    <t>00072057</t>
  </si>
  <si>
    <t>COSTADO ESTE DEL SALON COMUNAL DE EL DOS</t>
  </si>
  <si>
    <t>0000000240</t>
  </si>
  <si>
    <t xml:space="preserve">Z MAS Z PODEROSO SOCIEDAD DE RESPONSABILIDAD LIMIT  </t>
  </si>
  <si>
    <t xml:space="preserve">60063388            </t>
  </si>
  <si>
    <t>zhengxuanq@hotmail.com</t>
  </si>
  <si>
    <t>MINISUPER Z MAS Z</t>
  </si>
  <si>
    <t>3102843272</t>
  </si>
  <si>
    <t xml:space="preserve">Z POR Z SOCIEDAD DE RESPONSABILIDAD LIMITADA  </t>
  </si>
  <si>
    <t>00213863</t>
  </si>
  <si>
    <t>URB.LAS BRISAS</t>
  </si>
  <si>
    <t>0000001382</t>
  </si>
  <si>
    <t>CAMILO  MURILLO HERRERA</t>
  </si>
  <si>
    <t xml:space="preserve">86479721            </t>
  </si>
  <si>
    <t>servicentrotilaran@gmail.com</t>
  </si>
  <si>
    <t>MULTISERVICIOS</t>
  </si>
  <si>
    <t>SERVICENTRO TILARAN</t>
  </si>
  <si>
    <t>504060144</t>
  </si>
  <si>
    <t>00263482</t>
  </si>
  <si>
    <t>300 M SUR DEL M.A.G EN TILARAN</t>
  </si>
  <si>
    <t>0000002102</t>
  </si>
  <si>
    <t>CHRISTIAN  DURAN SIBAJA</t>
  </si>
  <si>
    <t xml:space="preserve">88697352            </t>
  </si>
  <si>
    <t>patico772012@gmail.com</t>
  </si>
  <si>
    <t>MULTISERVICIOS DURAN SIBAJA</t>
  </si>
  <si>
    <t>501310207</t>
  </si>
  <si>
    <t>CARLOS LUIS  DURAN HERRERA</t>
  </si>
  <si>
    <t>carlosluisduranherrera@gmail.com</t>
  </si>
  <si>
    <t>00055278</t>
  </si>
  <si>
    <t>700M E GIMNACIO ARENAL</t>
  </si>
  <si>
    <t>0000001932</t>
  </si>
  <si>
    <t>CINTHYA  VILLALOBOS NOVO</t>
  </si>
  <si>
    <t xml:space="preserve">86909942            </t>
  </si>
  <si>
    <t xml:space="preserve">83172217            </t>
  </si>
  <si>
    <t>villaloboscinthia36@gmail.com</t>
  </si>
  <si>
    <t>A Y C MULTISERVICIOS</t>
  </si>
  <si>
    <t>503780256</t>
  </si>
  <si>
    <t>00216460</t>
  </si>
  <si>
    <t>100 M NORESTE Y 30 OESTE DEL LICEO MAURILIO ALVARADO VARGAS</t>
  </si>
  <si>
    <t>0000002013</t>
  </si>
  <si>
    <t>EDUIN GILBERTO  FERNANDEZ NAVARRO</t>
  </si>
  <si>
    <t xml:space="preserve">60400777            </t>
  </si>
  <si>
    <t>eduinfn.100@gmail.com</t>
  </si>
  <si>
    <t>Ingeniería FV</t>
  </si>
  <si>
    <t xml:space="preserve">87090579            </t>
  </si>
  <si>
    <t>0000001641</t>
  </si>
  <si>
    <t>FINLANDER  CHACON PORRAS</t>
  </si>
  <si>
    <t xml:space="preserve">86508295            </t>
  </si>
  <si>
    <t>filachp1972.fc@gmail.com</t>
  </si>
  <si>
    <t>CARROCERIA Y PINTURAS 3C</t>
  </si>
  <si>
    <t>3101168230</t>
  </si>
  <si>
    <t xml:space="preserve">LA HUEYA DEL NORTE SOCIEDAD ANONIMA  </t>
  </si>
  <si>
    <t xml:space="preserve">83111611            </t>
  </si>
  <si>
    <t xml:space="preserve">26956160            </t>
  </si>
  <si>
    <t>00026157</t>
  </si>
  <si>
    <t>25 MTS ESTE DE LA SEGUNDA ENTRADA BARRIO SAN ANTONIO</t>
  </si>
  <si>
    <t>0000001176</t>
  </si>
  <si>
    <t>JORGE GERARDO  ALVARADO MORALES</t>
  </si>
  <si>
    <t xml:space="preserve">86180303            </t>
  </si>
  <si>
    <t xml:space="preserve">40016231            </t>
  </si>
  <si>
    <t>jrge08@gmail.com</t>
  </si>
  <si>
    <t>MULTISERVICIOS ALVARADO</t>
  </si>
  <si>
    <t>502080448</t>
  </si>
  <si>
    <t>DAISY NOEMI  VARGAS ARIAS</t>
  </si>
  <si>
    <t xml:space="preserve">85345326            </t>
  </si>
  <si>
    <t xml:space="preserve">26938405            </t>
  </si>
  <si>
    <t>noemi.vargas05@gmail.com</t>
  </si>
  <si>
    <t>00040864</t>
  </si>
  <si>
    <t>400M SUR DE LA ESCUELA EL DOS</t>
  </si>
  <si>
    <t>0000001961</t>
  </si>
  <si>
    <t>JOSE ISAIAS  OBREGON ZUÑIGA</t>
  </si>
  <si>
    <t xml:space="preserve">88198823            </t>
  </si>
  <si>
    <t>obregonjose623@gmail.com</t>
  </si>
  <si>
    <t>MULTISERVICIOS OBREGONES</t>
  </si>
  <si>
    <t>502570507</t>
  </si>
  <si>
    <t>MARISOL  ALVAREZ MURILLO</t>
  </si>
  <si>
    <t xml:space="preserve">88194201            </t>
  </si>
  <si>
    <t xml:space="preserve">22730896            </t>
  </si>
  <si>
    <t>imalei67@gmail.com</t>
  </si>
  <si>
    <t>00134141</t>
  </si>
  <si>
    <t>50 M SUR DE LA CATEDRAL, TILARÁN</t>
  </si>
  <si>
    <t>0000002142</t>
  </si>
  <si>
    <t>JUAN JOSE  RODRIGUEZ BRICEÑO</t>
  </si>
  <si>
    <t xml:space="preserve">83403836            </t>
  </si>
  <si>
    <t>jjrodriguez06@hotmail.com</t>
  </si>
  <si>
    <t>Multiservicios JDS</t>
  </si>
  <si>
    <t>503570445</t>
  </si>
  <si>
    <t>00192888</t>
  </si>
  <si>
    <t>15M ESTE DE LA PLAZA DE DEPORTES DE LA CIUDADELA</t>
  </si>
  <si>
    <t>0000002052</t>
  </si>
  <si>
    <t>MARGERIE  RAMIREZ RAMIREZ</t>
  </si>
  <si>
    <t xml:space="preserve">64236788            </t>
  </si>
  <si>
    <t>margerie2191997@gmail.com</t>
  </si>
  <si>
    <t>MULTISERVICIOS K Y M</t>
  </si>
  <si>
    <t>503520070</t>
  </si>
  <si>
    <t>KENNY JOSE  MONGE ZAMORA</t>
  </si>
  <si>
    <t xml:space="preserve">61378916            </t>
  </si>
  <si>
    <t>kennymz219@gmail.com</t>
  </si>
  <si>
    <t>00267509</t>
  </si>
  <si>
    <t>FTE A LA IGLESIA CATOLICA DE TURIN</t>
  </si>
  <si>
    <t>0000001956</t>
  </si>
  <si>
    <t>MAURO VINICIO  MASIS SOLIS</t>
  </si>
  <si>
    <t xml:space="preserve">89436609            </t>
  </si>
  <si>
    <t>mmasis26@yahoo.es</t>
  </si>
  <si>
    <t>MULTISERVICIOS MASIS</t>
  </si>
  <si>
    <t>503940070</t>
  </si>
  <si>
    <t>ERIKA MARIA  NUÑEZ LOPEZ</t>
  </si>
  <si>
    <t xml:space="preserve">87286274            </t>
  </si>
  <si>
    <t>nericka398@gmail.com</t>
  </si>
  <si>
    <t>00172172</t>
  </si>
  <si>
    <t>Bº EL ASERRADERO</t>
  </si>
  <si>
    <t>0000001387</t>
  </si>
  <si>
    <t xml:space="preserve">BIOSOMA ESFERA VERDE SOCIEDAD ANONIMA  </t>
  </si>
  <si>
    <t xml:space="preserve">85841439            </t>
  </si>
  <si>
    <t>rodolfowattson@yahoo.com</t>
  </si>
  <si>
    <t>NO CLASIFICADAS</t>
  </si>
  <si>
    <t>BIOSOMA ESFERA VERDE</t>
  </si>
  <si>
    <t>502240085</t>
  </si>
  <si>
    <t>LEDA MARIA  HERRERA ULATE</t>
  </si>
  <si>
    <t xml:space="preserve">86504201            </t>
  </si>
  <si>
    <t>00019795</t>
  </si>
  <si>
    <t>285M NORTE BCR TILARAN</t>
  </si>
  <si>
    <t>0000001592</t>
  </si>
  <si>
    <t xml:space="preserve">IMPORTACIONES TILARAN QUESADA MURILLO SOCIEDAD ANO  </t>
  </si>
  <si>
    <t>imptilaquesadamurillo@gmail.com</t>
  </si>
  <si>
    <t xml:space="preserve">Importaciones Tilarán Quesada Murillo </t>
  </si>
  <si>
    <t>0000002168</t>
  </si>
  <si>
    <t xml:space="preserve">INVERSIONES GOODBUY SOCIEDAD DE RESPONSABILIDAD LI  </t>
  </si>
  <si>
    <t xml:space="preserve">88121958            </t>
  </si>
  <si>
    <t>dlalonso822@gmail.com</t>
  </si>
  <si>
    <t>VENTA DE AUTOS GOODBUY</t>
  </si>
  <si>
    <t>0000001730</t>
  </si>
  <si>
    <t>Venta de Autos Goodbuy</t>
  </si>
  <si>
    <t>00230577</t>
  </si>
  <si>
    <t>50 M ESTE DE LA FERIA DE 5 ESQUINAS, TILARÁN</t>
  </si>
  <si>
    <t>0000002277</t>
  </si>
  <si>
    <t>NOLBERT ARTURO  MURILLO PANIAGUA</t>
  </si>
  <si>
    <t xml:space="preserve">85880478            </t>
  </si>
  <si>
    <t>nolmurp@gmail.com</t>
  </si>
  <si>
    <t>EBANISTERIA MURILLO</t>
  </si>
  <si>
    <t>603300928</t>
  </si>
  <si>
    <t>00036798</t>
  </si>
  <si>
    <t>175 M SUR DE LA 1ERA ENTRADA A BARRIO SAN ANTONIO</t>
  </si>
  <si>
    <t>0000001878</t>
  </si>
  <si>
    <t xml:space="preserve">PASEO DEL VIENTO CINEMAS SOCIEDAD ANONIMA  </t>
  </si>
  <si>
    <t>RANDALL MAURICIO  ALVAREZ BARRANTES</t>
  </si>
  <si>
    <t>114430071</t>
  </si>
  <si>
    <t xml:space="preserve">88875805            </t>
  </si>
  <si>
    <t>paseodelvientocinemas@gmail.com</t>
  </si>
  <si>
    <t>Paseo del Viento Cinema</t>
  </si>
  <si>
    <t>00257643</t>
  </si>
  <si>
    <t>50 M OESTE DE LA GUARDIA RURAL, TILARAN.</t>
  </si>
  <si>
    <t>0000001682</t>
  </si>
  <si>
    <t xml:space="preserve">3-101-725021 SOCIEDAD ANONIMA  </t>
  </si>
  <si>
    <t>MARIO ANDRES  SOLANO BADILLA</t>
  </si>
  <si>
    <t>111800803</t>
  </si>
  <si>
    <t xml:space="preserve">83848590            </t>
  </si>
  <si>
    <t>ssolano@selvatura.com</t>
  </si>
  <si>
    <t>OFICINA DE SERVICIOS</t>
  </si>
  <si>
    <t>SELVATURA MEMORIES</t>
  </si>
  <si>
    <t>00013615</t>
  </si>
  <si>
    <t>CENTRO TURISTICO MONTEVERDE EXPEDICIONES,TILARAN</t>
  </si>
  <si>
    <t>0000001442</t>
  </si>
  <si>
    <t xml:space="preserve">3-102-847939 SOCIEDAD DE RESPONSABILIDAD LIMITADA  </t>
  </si>
  <si>
    <t xml:space="preserve">71090462            </t>
  </si>
  <si>
    <t>jbastos@softwarestudiocr.com</t>
  </si>
  <si>
    <t>OFICINA DE SERVICIOS (DESARROLLO DE SOFTWARE)</t>
  </si>
  <si>
    <t>115360312</t>
  </si>
  <si>
    <t>NATALIA PAOLA  CHINCHILLA SUAREZ</t>
  </si>
  <si>
    <t xml:space="preserve">87699246            </t>
  </si>
  <si>
    <t>nachinchilla@outlook.com</t>
  </si>
  <si>
    <t>00177982</t>
  </si>
  <si>
    <t>SEGUNDA ETAPA LOMAS DEL SOL</t>
  </si>
  <si>
    <t>0000001350</t>
  </si>
  <si>
    <t xml:space="preserve">ACCIONA ENERGIA COSTA RICA SOCIEDAD ANONIMA  </t>
  </si>
  <si>
    <t xml:space="preserve">84008658            </t>
  </si>
  <si>
    <t>mcamposd@acciona.com</t>
  </si>
  <si>
    <t>ACCIONA ENERGIA COSTA RICA S,A</t>
  </si>
  <si>
    <t>3101649435</t>
  </si>
  <si>
    <t xml:space="preserve">CONSORCIO EOLICO CHIRIPA SOCIEDAD ANONIMA  </t>
  </si>
  <si>
    <t xml:space="preserve">84929649            </t>
  </si>
  <si>
    <t>info@gecoenergia.com</t>
  </si>
  <si>
    <t>00202368</t>
  </si>
  <si>
    <t>TILARÁN, SANTA ROSA, RANCHITOS, PARQUE EOLICO CHIRIPA</t>
  </si>
  <si>
    <t>0000001171</t>
  </si>
  <si>
    <t>ADONAY ALEJANDRO  RODRIGUEZ DURAN</t>
  </si>
  <si>
    <t xml:space="preserve">86225374            </t>
  </si>
  <si>
    <t>waterfalllapiedra@gmail.com</t>
  </si>
  <si>
    <t>SERVICIOS WATER FALL</t>
  </si>
  <si>
    <t>501760581</t>
  </si>
  <si>
    <t>MODESTO  PICADO MEJIAS</t>
  </si>
  <si>
    <t xml:space="preserve">88235935            </t>
  </si>
  <si>
    <t>modestopicado18@gmail.com</t>
  </si>
  <si>
    <t>00090138</t>
  </si>
  <si>
    <t>100M N DE LA ESCUELA DE SAN MIGUEL</t>
  </si>
  <si>
    <t>0000001042</t>
  </si>
  <si>
    <t xml:space="preserve">ALAVISA DE CAÑAS S A L  </t>
  </si>
  <si>
    <t xml:space="preserve">83402905            </t>
  </si>
  <si>
    <t xml:space="preserve">84813111            </t>
  </si>
  <si>
    <t>alavisa.sa@gmail.com</t>
  </si>
  <si>
    <t>ALAVISA</t>
  </si>
  <si>
    <t>502210292</t>
  </si>
  <si>
    <t>MAINOR GERARDO  NUÑEZ LOPEZ</t>
  </si>
  <si>
    <t xml:space="preserve">88780781            </t>
  </si>
  <si>
    <t>00111452</t>
  </si>
  <si>
    <t>100 M OESTE DE LA IGLESIA ASAMBLEA DE DIOS</t>
  </si>
  <si>
    <t>0000002046</t>
  </si>
  <si>
    <t>ANA JULIA  CASTRO RAMIREZ</t>
  </si>
  <si>
    <t xml:space="preserve">64628775            </t>
  </si>
  <si>
    <t>anajuliacr17@outlook.es</t>
  </si>
  <si>
    <t>RECAUDADORA TILAWA</t>
  </si>
  <si>
    <t>00021489</t>
  </si>
  <si>
    <t>50 M SUR DE LA CATEDRAL,TILARAN.</t>
  </si>
  <si>
    <t>0000001356</t>
  </si>
  <si>
    <t>ANA MARIELA  GUZMAN SOLANO</t>
  </si>
  <si>
    <t xml:space="preserve">88862831            </t>
  </si>
  <si>
    <t>instilaran@gmail.com</t>
  </si>
  <si>
    <t>OFICINAS DE SERVICIOS GUZ</t>
  </si>
  <si>
    <t>0000001023</t>
  </si>
  <si>
    <t>ARELIZ DANIELA  BRENES VILLALOBOS</t>
  </si>
  <si>
    <t xml:space="preserve">86710138            </t>
  </si>
  <si>
    <t>dv21149@gmail.com</t>
  </si>
  <si>
    <t>CAFE Y MAS</t>
  </si>
  <si>
    <t>0000001414</t>
  </si>
  <si>
    <t xml:space="preserve">ARENAL CAR RENTAL SOCIEDAD DE RESPONSABILIDAD LIMI  </t>
  </si>
  <si>
    <t>LUIS ALBERTO GERARDO  MORA MARIN</t>
  </si>
  <si>
    <t>204330974</t>
  </si>
  <si>
    <t xml:space="preserve">87744347            </t>
  </si>
  <si>
    <t>beto67-mora@hotmail</t>
  </si>
  <si>
    <t>ARENAL CAR RENTAL</t>
  </si>
  <si>
    <t>502690658</t>
  </si>
  <si>
    <t>MARISOL  ARTAVIA ARIAS</t>
  </si>
  <si>
    <t xml:space="preserve">57104297            </t>
  </si>
  <si>
    <t>marisolartavia.71@gmail.com</t>
  </si>
  <si>
    <t>00088657</t>
  </si>
  <si>
    <t>25 M NORTE  DEL SALON COMUNAL, RIO PIEDRAS, TIERRAS MORENAS.</t>
  </si>
  <si>
    <t>0000001737</t>
  </si>
  <si>
    <t>ASDRUBAL ARDUINO DE JESUS  ALVAREZ DURAN</t>
  </si>
  <si>
    <t xml:space="preserve">88168084            </t>
  </si>
  <si>
    <t xml:space="preserve">83831178            </t>
  </si>
  <si>
    <t>vientofrescowaterfalls@gmail.com</t>
  </si>
  <si>
    <t>OFICINA Y RESTAURANT VIENTO FRESCO</t>
  </si>
  <si>
    <t>502240298</t>
  </si>
  <si>
    <t>OLMAN EFRAIN  ALVAREZ DURAN</t>
  </si>
  <si>
    <t>00900176</t>
  </si>
  <si>
    <t>700 M SUR DE LA ESCUELA, PUEBLO NUEVO,QUEBRADA GRANDE</t>
  </si>
  <si>
    <t>0000000200</t>
  </si>
  <si>
    <t xml:space="preserve">AUTOTRANSPORTES RODASFAS P L SOCIEDAD ANONIMA  </t>
  </si>
  <si>
    <t xml:space="preserve">89655205            </t>
  </si>
  <si>
    <t>rodasfas2299@hotmail.com</t>
  </si>
  <si>
    <t>OFICINA AUTOTRASP.RODASFAS.</t>
  </si>
  <si>
    <t>503530403</t>
  </si>
  <si>
    <t>DAURYN  ELIZONDO GONZALEZ</t>
  </si>
  <si>
    <t xml:space="preserve">89875729            </t>
  </si>
  <si>
    <t>00072468</t>
  </si>
  <si>
    <t>FRENTE A LA ESCUELA, CABECERAS.</t>
  </si>
  <si>
    <t>0000000708</t>
  </si>
  <si>
    <t>CARLOS ANDREY  CASTRO SOTO</t>
  </si>
  <si>
    <t xml:space="preserve">70982961            </t>
  </si>
  <si>
    <t>andrecastrosoto@gmail.com</t>
  </si>
  <si>
    <t>NOTICIERO TILARAN GUANACASTE</t>
  </si>
  <si>
    <t>00041357</t>
  </si>
  <si>
    <t>COSTADO SUR DEL AYA</t>
  </si>
  <si>
    <t>0000001054</t>
  </si>
  <si>
    <t xml:space="preserve">CFS SISTEMAS SOCIEDAD ANONIMA  </t>
  </si>
  <si>
    <t xml:space="preserve">88211194            </t>
  </si>
  <si>
    <t>contabilidad@cfscr.com</t>
  </si>
  <si>
    <t>CFS SISTEMAS S.A</t>
  </si>
  <si>
    <t>203060547</t>
  </si>
  <si>
    <t>GISELLE  AVILA BENAVIDES</t>
  </si>
  <si>
    <t xml:space="preserve">72936258            </t>
  </si>
  <si>
    <t>00125345</t>
  </si>
  <si>
    <t>100 M SUR 25 OESTE DE CATEDRAL DE TILARAN</t>
  </si>
  <si>
    <t>0000000649</t>
  </si>
  <si>
    <t xml:space="preserve">COOPERATIVA DE AHORRO Y CREDITO DE LA COMUNIDAD DE  </t>
  </si>
  <si>
    <t>LUIS RICARDO  QUIROS GONZALEZ</t>
  </si>
  <si>
    <t>205210312</t>
  </si>
  <si>
    <t xml:space="preserve">85696036            </t>
  </si>
  <si>
    <t>mrodriguezc@coocique.fi.cr</t>
  </si>
  <si>
    <t>COOCIQUE R.L</t>
  </si>
  <si>
    <t>00061222</t>
  </si>
  <si>
    <t>110M O ESTADIO MUNICIPAL</t>
  </si>
  <si>
    <t>0000002241</t>
  </si>
  <si>
    <t>COOP.CAFICULTORES Y SERV.MULT.CORD.TILARAN RL.</t>
  </si>
  <si>
    <t>0000000590</t>
  </si>
  <si>
    <t xml:space="preserve">CORPORACION TILAWA SERVICIOS INFORMATICOS SOCIEDAD  </t>
  </si>
  <si>
    <t xml:space="preserve">86842393            </t>
  </si>
  <si>
    <t xml:space="preserve">26958720            </t>
  </si>
  <si>
    <t>CORPORACION TILAWA DE SERVICIOS INFORMATICOS</t>
  </si>
  <si>
    <t>0000000746</t>
  </si>
  <si>
    <t xml:space="preserve">DESPACHO GOMEZ &amp; ASOCIADOS SOCIEDAD ANONIMA  </t>
  </si>
  <si>
    <t>GIOVANNI ALEXIS  GOMEZ CARRANZA</t>
  </si>
  <si>
    <t>502370725</t>
  </si>
  <si>
    <t xml:space="preserve">88959000            </t>
  </si>
  <si>
    <t xml:space="preserve">26953333            </t>
  </si>
  <si>
    <t>ggomezcpa@gmail.com</t>
  </si>
  <si>
    <t>DESPACHO GOMEZ &amp; ASOCIADOS S.A</t>
  </si>
  <si>
    <t>00179179</t>
  </si>
  <si>
    <t>100M O 25M N SERVICENTRO TILARAN URBANIZACION LINDA VISTA</t>
  </si>
  <si>
    <t>0000002209</t>
  </si>
  <si>
    <t xml:space="preserve">DESPACHO JIMENEZ Y GUZMAN ASOCIADOS SOCIEDAD ANONI  </t>
  </si>
  <si>
    <t xml:space="preserve">88147227            </t>
  </si>
  <si>
    <t xml:space="preserve">2695-6547           </t>
  </si>
  <si>
    <t>mrivera@jimenezyguzman.com</t>
  </si>
  <si>
    <t>DESPACHO JIMENEZ Y GUZMAN ASOCIADOS S.A</t>
  </si>
  <si>
    <t>108420109</t>
  </si>
  <si>
    <t>KARLA MARIA  ASTUA QUESADA</t>
  </si>
  <si>
    <t xml:space="preserve">83728896            </t>
  </si>
  <si>
    <t>kass88@gmail.com</t>
  </si>
  <si>
    <t>00110308</t>
  </si>
  <si>
    <t>800 M ESTE Y 40 M NORTE DEL BANCO DE COSTA RICA, TILARAN.</t>
  </si>
  <si>
    <t>0000000979</t>
  </si>
  <si>
    <t xml:space="preserve">DIAGNOSTICOS CANCERTEC SOCIEDAD DE RESPONSABILIDAD  </t>
  </si>
  <si>
    <t xml:space="preserve">88315278            </t>
  </si>
  <si>
    <t>roy.prendas@gmail.com</t>
  </si>
  <si>
    <t>DIAG. CANCERTEC.</t>
  </si>
  <si>
    <t>205240690</t>
  </si>
  <si>
    <t>DICK ROY  PRENDAS ALVAREZ</t>
  </si>
  <si>
    <t>00065158</t>
  </si>
  <si>
    <t>380 M NORTE DEL BANCO DE COSTA RICA</t>
  </si>
  <si>
    <t>0000000794</t>
  </si>
  <si>
    <t>EDWIN GERARDO  BARQUERO SALAZAR</t>
  </si>
  <si>
    <t xml:space="preserve">88365758            </t>
  </si>
  <si>
    <t xml:space="preserve">24640022            </t>
  </si>
  <si>
    <t>edwinbarquerosalazar@gmail.com</t>
  </si>
  <si>
    <t>0000001384</t>
  </si>
  <si>
    <t>Recaudadora Tilarán #1</t>
  </si>
  <si>
    <t>00252988</t>
  </si>
  <si>
    <t>175 METROS NORTE DE LA CATEDRAL, TILARAN</t>
  </si>
  <si>
    <t>0000001388</t>
  </si>
  <si>
    <t>Recaudadora Tilarán #2</t>
  </si>
  <si>
    <t>0000001389</t>
  </si>
  <si>
    <t>Recaudadora San Luis</t>
  </si>
  <si>
    <t>502630449</t>
  </si>
  <si>
    <t>MELVIN ULISES  ROJAS ARTAVIA</t>
  </si>
  <si>
    <t xml:space="preserve">85049356            </t>
  </si>
  <si>
    <t>melvinpasadita@gmail.com</t>
  </si>
  <si>
    <t>00197569</t>
  </si>
  <si>
    <t>FRENTE ESCUELA DE SAN LUIS  "LA PASADITA",TILARAN.</t>
  </si>
  <si>
    <t>0000001390</t>
  </si>
  <si>
    <t>Recaudadora Tilarán #3</t>
  </si>
  <si>
    <t>01000042858</t>
  </si>
  <si>
    <t xml:space="preserve">ZAMORA LOPEZ ANGIE ENID  </t>
  </si>
  <si>
    <t xml:space="preserve">88133152            </t>
  </si>
  <si>
    <t>azjje@hotmail.com</t>
  </si>
  <si>
    <t>00036889</t>
  </si>
  <si>
    <t>100 M NORTE Y 25 OESTE DE LA CATEDRAL</t>
  </si>
  <si>
    <t>0000001813</t>
  </si>
  <si>
    <t>Recaudadora Río Piedras</t>
  </si>
  <si>
    <t>501520347</t>
  </si>
  <si>
    <t>RONALD  BARRIENTOS VALERIO</t>
  </si>
  <si>
    <t xml:space="preserve">61980160            </t>
  </si>
  <si>
    <t>robarry0160@gmail.com</t>
  </si>
  <si>
    <t>00052838</t>
  </si>
  <si>
    <t>FRENTE AL MINI SUPER EL MANANTIAL, RIO PIEDRAS, TIERRAS MOR</t>
  </si>
  <si>
    <t>0000001958</t>
  </si>
  <si>
    <t>Recaudadora Tilarán 4</t>
  </si>
  <si>
    <t>0000001959</t>
  </si>
  <si>
    <t>GEIDY MARIA  PICADO CASTRO</t>
  </si>
  <si>
    <t xml:space="preserve">86465731            </t>
  </si>
  <si>
    <t>heidypicadocastro@gmail.com</t>
  </si>
  <si>
    <t>DIVERTILANDIA</t>
  </si>
  <si>
    <t>109500298</t>
  </si>
  <si>
    <t>00157600</t>
  </si>
  <si>
    <t>100 SUR  Y 125 ESTE SUPER EL BARRIO EL CARMNE TILARAN !DIVE</t>
  </si>
  <si>
    <t>0000000037</t>
  </si>
  <si>
    <t xml:space="preserve">GESTORIA Y ENCOMIENDAS YUBA LIMITADA  </t>
  </si>
  <si>
    <t>ANGEL ASDRUBAL  CASTILLO MONTOYA</t>
  </si>
  <si>
    <t>602690452</t>
  </si>
  <si>
    <t xml:space="preserve">83563702            </t>
  </si>
  <si>
    <t xml:space="preserve">26958590            </t>
  </si>
  <si>
    <t>GESTORÍA Y ENCOMIENDAS YUBA LTDA</t>
  </si>
  <si>
    <t>3102401005</t>
  </si>
  <si>
    <t>transportesyuba@hotmail.com</t>
  </si>
  <si>
    <t>00205495</t>
  </si>
  <si>
    <t>185 M SUR DEL PALACIO EPISCOPAL</t>
  </si>
  <si>
    <t>0000000787</t>
  </si>
  <si>
    <t>IDELMY  GARCIA ARAYA</t>
  </si>
  <si>
    <t xml:space="preserve">88946012            </t>
  </si>
  <si>
    <t xml:space="preserve">47003804            </t>
  </si>
  <si>
    <t>dochavarria@aeropost.com</t>
  </si>
  <si>
    <t>COMPRAS Y ENVIOS INTERNACIONALES TILARAN</t>
  </si>
  <si>
    <t>00061223</t>
  </si>
  <si>
    <t>30 ESTE DEL CORREO DE TILARAN</t>
  </si>
  <si>
    <t>0000002151</t>
  </si>
  <si>
    <t>KAROLINA  RAMIREZ GUDIEL</t>
  </si>
  <si>
    <t xml:space="preserve">85760757            </t>
  </si>
  <si>
    <t xml:space="preserve">64653707            </t>
  </si>
  <si>
    <t>kreart2001@gmail.com</t>
  </si>
  <si>
    <t>KreART</t>
  </si>
  <si>
    <t>3101784993</t>
  </si>
  <si>
    <t xml:space="preserve">EL CATALA DE TILARAN SOCIEDAD ANONIMA  </t>
  </si>
  <si>
    <t xml:space="preserve">88256880            </t>
  </si>
  <si>
    <t>mingueflaquecr@gmail.com</t>
  </si>
  <si>
    <t>00247959</t>
  </si>
  <si>
    <t>25M SUR DE LA CATEDRAL DE TILARAN</t>
  </si>
  <si>
    <t>0000001797</t>
  </si>
  <si>
    <t xml:space="preserve">LAREC SOCIEDAD ANONIMA  </t>
  </si>
  <si>
    <t xml:space="preserve">85368170            </t>
  </si>
  <si>
    <t>info@lakearenalrealestate.com</t>
  </si>
  <si>
    <t>LAKE ARENAL REAL ESTATE AND CONSTRUCTION</t>
  </si>
  <si>
    <t>503160074</t>
  </si>
  <si>
    <t>MELISSA  MURILLO CASTRO</t>
  </si>
  <si>
    <t xml:space="preserve">50152000            </t>
  </si>
  <si>
    <t>transporteszamu5959@gmail.com</t>
  </si>
  <si>
    <t>00055468</t>
  </si>
  <si>
    <t>COSTADO S IGLESIA CATOLICA ARENAL</t>
  </si>
  <si>
    <t>0000002137</t>
  </si>
  <si>
    <t>RECAUDADORA TILARAN</t>
  </si>
  <si>
    <t>0000000479</t>
  </si>
  <si>
    <t>MARIA JOSE  JIMENEZ MOYA</t>
  </si>
  <si>
    <t xml:space="preserve">87942442            </t>
  </si>
  <si>
    <t>mj0786765@gmail.com</t>
  </si>
  <si>
    <t>Recaudadora San Carlos</t>
  </si>
  <si>
    <t>110270633</t>
  </si>
  <si>
    <t>ANA MILENA  MURILLO CHAVARRIA</t>
  </si>
  <si>
    <t>milmurch@yahoo.com</t>
  </si>
  <si>
    <t>00161196</t>
  </si>
  <si>
    <t>100 M NORTE DE LA IGLESIA CATÓLICA, TILARÁN</t>
  </si>
  <si>
    <t>0000001392</t>
  </si>
  <si>
    <t>NELSON ELI  ORTEGA ARIAS</t>
  </si>
  <si>
    <t xml:space="preserve">88267272            </t>
  </si>
  <si>
    <t xml:space="preserve">26955767            </t>
  </si>
  <si>
    <t>nelorta60@gmail.com</t>
  </si>
  <si>
    <t>CONSTRUCCIONES ORTEGA</t>
  </si>
  <si>
    <t>502180656</t>
  </si>
  <si>
    <t>FLOR MARIA  VARGAS LOPEZ</t>
  </si>
  <si>
    <t xml:space="preserve">83502424            </t>
  </si>
  <si>
    <t>fvargaslcr@gmail.com</t>
  </si>
  <si>
    <t>00121911</t>
  </si>
  <si>
    <t>700M E ESTADIO MUNICIPAL TILARAN BUENOS AIRES</t>
  </si>
  <si>
    <t>0000001288</t>
  </si>
  <si>
    <t>NIDIA MARLENE  VILLEGAS RODRIGUEZ</t>
  </si>
  <si>
    <t xml:space="preserve">83081397            </t>
  </si>
  <si>
    <t>nidia.greencr@gmail.com</t>
  </si>
  <si>
    <t>UNI SEGUROS TILARAN</t>
  </si>
  <si>
    <t>3101618537</t>
  </si>
  <si>
    <t xml:space="preserve">JULIARQUI J Y J SOCIEDAD ANONIMA  </t>
  </si>
  <si>
    <t xml:space="preserve">85840457            </t>
  </si>
  <si>
    <t>eugenioa82@gmail.com</t>
  </si>
  <si>
    <t>00016488</t>
  </si>
  <si>
    <t>100 NORTE Y 90 OESTE DEL MERCADO</t>
  </si>
  <si>
    <t>0000002023</t>
  </si>
  <si>
    <t>NORLIN GERARDO  MURILLO MASIS</t>
  </si>
  <si>
    <t xml:space="preserve">88627239            </t>
  </si>
  <si>
    <t>murillomasisnorlyn@gmail.com</t>
  </si>
  <si>
    <t>PUESTO DE LOTERIA JUANITA</t>
  </si>
  <si>
    <t>0000000231</t>
  </si>
  <si>
    <t>PABLO ALBINO  SALAZAR RUIZ</t>
  </si>
  <si>
    <t xml:space="preserve">60275698            </t>
  </si>
  <si>
    <t>pablosalazar101159@gmail.com</t>
  </si>
  <si>
    <t>MCDE</t>
  </si>
  <si>
    <t>501830552</t>
  </si>
  <si>
    <t>00086384</t>
  </si>
  <si>
    <t>50 MTS OESTE DEL CENTRO PASTORAL</t>
  </si>
  <si>
    <t>0000000998</t>
  </si>
  <si>
    <t xml:space="preserve">RICO REALTY CORP SOCIEDAD DE RESPONSABILIDAD LIMIT  </t>
  </si>
  <si>
    <t xml:space="preserve">83883891            </t>
  </si>
  <si>
    <t xml:space="preserve">26958562            </t>
  </si>
  <si>
    <t>ricorealty@hotmail.com</t>
  </si>
  <si>
    <t>REMAX RICO REALTY</t>
  </si>
  <si>
    <t>3101311631</t>
  </si>
  <si>
    <t xml:space="preserve">MANSION TEODOLINDA SOCIEDAD ANONIMA  </t>
  </si>
  <si>
    <t xml:space="preserve">83888391            </t>
  </si>
  <si>
    <t>00240003</t>
  </si>
  <si>
    <t>300 M SURESTE DE CINCO ESQUINAS</t>
  </si>
  <si>
    <t>0000000693</t>
  </si>
  <si>
    <t>RUTH MAYELA  VARGAS MASIS</t>
  </si>
  <si>
    <t xml:space="preserve">83221213            </t>
  </si>
  <si>
    <t xml:space="preserve">26956325            </t>
  </si>
  <si>
    <t>katiiien_n@hotmail.es</t>
  </si>
  <si>
    <t>LA RECAUDADORA</t>
  </si>
  <si>
    <t>501330484</t>
  </si>
  <si>
    <t>ANTONIA DEL SOCORRO  LACAYO SALAS</t>
  </si>
  <si>
    <t xml:space="preserve">83899858            </t>
  </si>
  <si>
    <t>bertalacayosa@gmail.com</t>
  </si>
  <si>
    <t>00047100</t>
  </si>
  <si>
    <t>200 M SUR Y 12 M ESTE DE LA GUARDIA RURAL, TILARAN</t>
  </si>
  <si>
    <t>0000001344</t>
  </si>
  <si>
    <t xml:space="preserve">SEGURIDAD PRIVADA ARI SOCIEDAD DE RESPONSABILIDAD   </t>
  </si>
  <si>
    <t xml:space="preserve">88433366            </t>
  </si>
  <si>
    <t>roger.rodri.c@hotmail.com</t>
  </si>
  <si>
    <t>SEGURIDAD PRIVADA ARI</t>
  </si>
  <si>
    <t>502650943</t>
  </si>
  <si>
    <t>ROGER ADRIAN  RODRIGUEZ CALVO</t>
  </si>
  <si>
    <t>00072891</t>
  </si>
  <si>
    <t>40 MTS OESTE DEL SALON COMUNAL DE PARCELAS DE MONSE¥OR</t>
  </si>
  <si>
    <t>0000002262</t>
  </si>
  <si>
    <t xml:space="preserve">SINWA TOURS OPERADOR TURISTICO SOCIEDAD ANONIMA  </t>
  </si>
  <si>
    <t xml:space="preserve">85418181            </t>
  </si>
  <si>
    <t>booking@sinwatours.com</t>
  </si>
  <si>
    <t xml:space="preserve">SINWA TOURS DREAMS &amp; MONTEVERDE EXPRESS </t>
  </si>
  <si>
    <t>3101754551</t>
  </si>
  <si>
    <t>00179951</t>
  </si>
  <si>
    <t>900 M AL NORTE DE LA ESCUELA MONTE LOS OLIVOS</t>
  </si>
  <si>
    <t>0000002124</t>
  </si>
  <si>
    <t>A1 ARENAL REAL ESTATE</t>
  </si>
  <si>
    <t>0000001147</t>
  </si>
  <si>
    <t xml:space="preserve">SUNDARI LIMITADA  </t>
  </si>
  <si>
    <t xml:space="preserve">84963447            </t>
  </si>
  <si>
    <t>sundarilimitada@gmail.com</t>
  </si>
  <si>
    <t>SUNDARI LIMITADA</t>
  </si>
  <si>
    <t>0000001105</t>
  </si>
  <si>
    <t xml:space="preserve">INVERSIONES J Y A MURANO SOCIEDAD ANONIMA  </t>
  </si>
  <si>
    <t xml:space="preserve">26955587            </t>
  </si>
  <si>
    <t>opticamuranocr@gmail.com</t>
  </si>
  <si>
    <t>OPTICA</t>
  </si>
  <si>
    <t>OPTICA MURANO</t>
  </si>
  <si>
    <t>0000000072</t>
  </si>
  <si>
    <t xml:space="preserve">MAYORISTAS OPTICOS J Y Z CENTROAMERICANOS SOCIEDAD  </t>
  </si>
  <si>
    <t>ARMANDO  ANTONIO NOVOA</t>
  </si>
  <si>
    <t>184001629517</t>
  </si>
  <si>
    <t xml:space="preserve">85694587            </t>
  </si>
  <si>
    <t>asis.gerencia@opticasjimenez.com</t>
  </si>
  <si>
    <t>ÓPTICAS JIMÉNEZ</t>
  </si>
  <si>
    <t>0000001900</t>
  </si>
  <si>
    <t xml:space="preserve">3-102-899659 SOCIEDAD DE RESPONSABILIDAD LIMITADA  </t>
  </si>
  <si>
    <t xml:space="preserve">86742811            </t>
  </si>
  <si>
    <t>panaderiaversallestilaranfe@gmail.com</t>
  </si>
  <si>
    <t>PANADERIA Y REPOSTERIA</t>
  </si>
  <si>
    <t>VERSALLES</t>
  </si>
  <si>
    <t>0000001946</t>
  </si>
  <si>
    <t>ALEJANDRO  RODRIGUEZ VILLEGAS</t>
  </si>
  <si>
    <t xml:space="preserve">83890317            </t>
  </si>
  <si>
    <t>nuevoarenal@musmanni.com</t>
  </si>
  <si>
    <t>MUSMANNI ARENAL</t>
  </si>
  <si>
    <t>502390568</t>
  </si>
  <si>
    <t>LILLIAM DE GERARDO  VILLEGAS BOZA</t>
  </si>
  <si>
    <t xml:space="preserve">89455401            </t>
  </si>
  <si>
    <t>lilliamvillegas2@gmail.com</t>
  </si>
  <si>
    <t>00055492</t>
  </si>
  <si>
    <t>100 MTS ESTE DE LA C.C.S.S DE ARENAL</t>
  </si>
  <si>
    <t>0000000448</t>
  </si>
  <si>
    <t>ANA EUGENIA  NAVARRO DELGADO</t>
  </si>
  <si>
    <t xml:space="preserve">84486393            </t>
  </si>
  <si>
    <t>anaeugenian180@gmail.com</t>
  </si>
  <si>
    <t>PANADERIA MANÁ</t>
  </si>
  <si>
    <t>504290779</t>
  </si>
  <si>
    <t>LEONARDO PEDRO  VINDAS VILLEGAS</t>
  </si>
  <si>
    <t xml:space="preserve">88728551            </t>
  </si>
  <si>
    <t>leov66@yahoo.com</t>
  </si>
  <si>
    <t>00049533</t>
  </si>
  <si>
    <t>125 ESTE SALON COMUNAL CIUDADELA JUAN XXIII TILARAN</t>
  </si>
  <si>
    <t>0000002179</t>
  </si>
  <si>
    <t>Panadería y cafetería Mas que Pan</t>
  </si>
  <si>
    <t>0000001614</t>
  </si>
  <si>
    <t>CRISTHIAN ANDREY  SOTO RODRIGUEZ</t>
  </si>
  <si>
    <t xml:space="preserve">83034717            </t>
  </si>
  <si>
    <t>cristiansr_1292@hotmail.com</t>
  </si>
  <si>
    <t>TILAPAN</t>
  </si>
  <si>
    <t>00007229</t>
  </si>
  <si>
    <t>0000002251</t>
  </si>
  <si>
    <t>DAINIER ALEXIS  ROJAS ROJAS</t>
  </si>
  <si>
    <t xml:space="preserve">87061917            </t>
  </si>
  <si>
    <t>dainierojas0@gmail.com</t>
  </si>
  <si>
    <t>PIZZERIA Y PANADERIA GUADALUPE</t>
  </si>
  <si>
    <t>801010866</t>
  </si>
  <si>
    <t>PETRONA ARACELI  MARTINEZ ZAMORA</t>
  </si>
  <si>
    <t xml:space="preserve">87473443            </t>
  </si>
  <si>
    <t>aracellymartinez612@gmail.com</t>
  </si>
  <si>
    <t>00249621</t>
  </si>
  <si>
    <t>355 M SUR SALON COMUNAL RIO PIEDRAS, TIERRAS MORENAS</t>
  </si>
  <si>
    <t>0000001397</t>
  </si>
  <si>
    <t>DAMARIS DEL CARMEN  RODRIGUEZ RAMIREZ</t>
  </si>
  <si>
    <t xml:space="preserve">86887252            </t>
  </si>
  <si>
    <t>damaris.rodriguez7422@gmail.com</t>
  </si>
  <si>
    <t>DELEITE REPOSTERIA</t>
  </si>
  <si>
    <t>502500956</t>
  </si>
  <si>
    <t>MARIA GERARDINA DE JESUS  RODRIGUEZ RAMIREZ</t>
  </si>
  <si>
    <t xml:space="preserve">87111372            </t>
  </si>
  <si>
    <t>karoceleste9340@gmail.com</t>
  </si>
  <si>
    <t>00092384</t>
  </si>
  <si>
    <t>1.5 KM NORTE PLAZA CABECERAS</t>
  </si>
  <si>
    <t>0000002160</t>
  </si>
  <si>
    <t xml:space="preserve">E C F EL CHILE RELLENO DE FILADELFIA SOCIEDAD ANON  </t>
  </si>
  <si>
    <t xml:space="preserve">88871525            </t>
  </si>
  <si>
    <t xml:space="preserve">26952042            </t>
  </si>
  <si>
    <t>bertils70@hotmail.com</t>
  </si>
  <si>
    <t>PANADERÍA SANTA CLARA</t>
  </si>
  <si>
    <t>0000001370</t>
  </si>
  <si>
    <t xml:space="preserve">EL FIERRO DE MI TATA SOCIEDAD ANONIMA  </t>
  </si>
  <si>
    <t xml:space="preserve">83103655            </t>
  </si>
  <si>
    <t xml:space="preserve">88052202            </t>
  </si>
  <si>
    <t>cinde62@gmail.com</t>
  </si>
  <si>
    <t>MUSMANNI  TILARAN</t>
  </si>
  <si>
    <t>0000000766</t>
  </si>
  <si>
    <t xml:space="preserve">FLOR CATALEYA DE LA ALTURA F O SOCIEDAD ANONIMA  </t>
  </si>
  <si>
    <t>OSCAR ANDRES  RODRIGUEZ DELGADO</t>
  </si>
  <si>
    <t>503370554</t>
  </si>
  <si>
    <t xml:space="preserve">85710941            </t>
  </si>
  <si>
    <t>ord.rodriguez27@gmail.com</t>
  </si>
  <si>
    <t>Panaderia y Pasteleria Cataleya</t>
  </si>
  <si>
    <t>3101729882</t>
  </si>
  <si>
    <t>florcataleyadelaaltura@gmail.com</t>
  </si>
  <si>
    <t>00153991</t>
  </si>
  <si>
    <t>0000001613</t>
  </si>
  <si>
    <t>GRETTEL VANESSA  BRAVO RAMIREZ</t>
  </si>
  <si>
    <t xml:space="preserve">60015148            </t>
  </si>
  <si>
    <t>brgrettel@gmail.com</t>
  </si>
  <si>
    <t>Antojitos Tilarán</t>
  </si>
  <si>
    <t>503640051</t>
  </si>
  <si>
    <t>YURIBETH  BRAVO RAMIREZ</t>
  </si>
  <si>
    <t xml:space="preserve">87089871            </t>
  </si>
  <si>
    <t>yuribravr82@gmail.com</t>
  </si>
  <si>
    <t>00048762</t>
  </si>
  <si>
    <t>250M SUR DEL SUPER EL BARRIO, BARRIO EL CARMEN</t>
  </si>
  <si>
    <t>0000001821</t>
  </si>
  <si>
    <t>GRISELDA NATALIA  SOLANO RODRIGUEZ</t>
  </si>
  <si>
    <t xml:space="preserve">86383607            </t>
  </si>
  <si>
    <t>grisnati83@gmail.com</t>
  </si>
  <si>
    <t>PANADERIA EL ARTE DE HACER PAN</t>
  </si>
  <si>
    <t>500710977</t>
  </si>
  <si>
    <t>JULIO FRANCISCO DEL SOCORRO  CASTRO PIEDRA</t>
  </si>
  <si>
    <t xml:space="preserve">85506090            </t>
  </si>
  <si>
    <t>castrovirgilio@gmail.com</t>
  </si>
  <si>
    <t>00022226</t>
  </si>
  <si>
    <t>100 MTS SUR DE COOCAFE</t>
  </si>
  <si>
    <t>0000001155</t>
  </si>
  <si>
    <t>JEACQUELINE MARIA  MEJIAS OBREGON</t>
  </si>
  <si>
    <t xml:space="preserve">87920407            </t>
  </si>
  <si>
    <t>jake2002mejias@gmail.com</t>
  </si>
  <si>
    <t xml:space="preserve">HR BISCOCHERIA ANTOJITOS DE MI TIERRA			</t>
  </si>
  <si>
    <t>504450443</t>
  </si>
  <si>
    <t>00238790</t>
  </si>
  <si>
    <t>500 OESTE DE LA ESC.TRONADORA</t>
  </si>
  <si>
    <t>0000002268</t>
  </si>
  <si>
    <t>JORGE EDUARDO  SOLANO ROJAS</t>
  </si>
  <si>
    <t xml:space="preserve">87673144            </t>
  </si>
  <si>
    <t>npanaderiacervantesjs@gmail.com</t>
  </si>
  <si>
    <t>PANADERIA REPOSTERIA CERVANTES</t>
  </si>
  <si>
    <t>107060029</t>
  </si>
  <si>
    <t>ISBERTO JOSE  MARTINEZ LEIVA</t>
  </si>
  <si>
    <t>00006239</t>
  </si>
  <si>
    <t>125 M SUR DEL BANCO DE COSTA RICA, TILARÁN</t>
  </si>
  <si>
    <t>0000002041</t>
  </si>
  <si>
    <t>LIDIETTE DE LOS ANGELES  VASQUEZ MORERA</t>
  </si>
  <si>
    <t xml:space="preserve">83779810            </t>
  </si>
  <si>
    <t>livasmo@gmail.com</t>
  </si>
  <si>
    <t>"EL BUEN GUSTO"</t>
  </si>
  <si>
    <t>502170914</t>
  </si>
  <si>
    <t>GERMAN ENRIQUE  GOMEZ GOMEZ</t>
  </si>
  <si>
    <t xml:space="preserve">83127457            </t>
  </si>
  <si>
    <t xml:space="preserve">26956134            </t>
  </si>
  <si>
    <t>gegomez@ice.go.cr</t>
  </si>
  <si>
    <t>00064085</t>
  </si>
  <si>
    <t>100 M NORTE Y 75 M OESTE DE LA GUARDIA RURAL</t>
  </si>
  <si>
    <t>0000000251</t>
  </si>
  <si>
    <t>MARVIN DEL CARMEN  BARRIENTOS MEJIAS</t>
  </si>
  <si>
    <t xml:space="preserve">83818812            </t>
  </si>
  <si>
    <t xml:space="preserve">26931083            </t>
  </si>
  <si>
    <t>jagubri54@gmail.com</t>
  </si>
  <si>
    <t>PANADERÍA Y MINISUPER EL ALTO</t>
  </si>
  <si>
    <t>501810788</t>
  </si>
  <si>
    <t>00038435</t>
  </si>
  <si>
    <t>FRENTE A LA CENTRAL TELEFONICA DEL ICE, TRONADORA</t>
  </si>
  <si>
    <t>0000000237</t>
  </si>
  <si>
    <t>NURIA CRISTINA  ALVAREZ CORDERO</t>
  </si>
  <si>
    <t xml:space="preserve">83743420            </t>
  </si>
  <si>
    <t>nuriacris-27@hotmail.com</t>
  </si>
  <si>
    <t>REPOSTERIA NURY</t>
  </si>
  <si>
    <t>602570445</t>
  </si>
  <si>
    <t>00050074</t>
  </si>
  <si>
    <t>75M NORESTE DEL SALON DE CABECERAS, CAMINO A LAS NUBES</t>
  </si>
  <si>
    <t>0000000512</t>
  </si>
  <si>
    <t xml:space="preserve">PANADERIA BARON SOCIEDAD ANONIMA  </t>
  </si>
  <si>
    <t xml:space="preserve">85030586            </t>
  </si>
  <si>
    <t xml:space="preserve">26944547            </t>
  </si>
  <si>
    <t>facturaspanaderiana@gmail.com</t>
  </si>
  <si>
    <t>PANADERÍA BARON 26944547</t>
  </si>
  <si>
    <t>127600004136</t>
  </si>
  <si>
    <t xml:space="preserve">THOMAS PFERNER </t>
  </si>
  <si>
    <t xml:space="preserve">88181197            </t>
  </si>
  <si>
    <t>tomspanarenal@yahoo.de</t>
  </si>
  <si>
    <t>00055543</t>
  </si>
  <si>
    <t>300 M SUR DE LA GASOLINERA, NUEVO ARENA</t>
  </si>
  <si>
    <t>0000000662</t>
  </si>
  <si>
    <t>RAMON TOMAS DEL CARMEN  CHAVARRIA VALERIO</t>
  </si>
  <si>
    <t xml:space="preserve">60999778            </t>
  </si>
  <si>
    <t>ramonchavarriapana@gmail.com</t>
  </si>
  <si>
    <t>PANADERÍA PRIS</t>
  </si>
  <si>
    <t>501840794</t>
  </si>
  <si>
    <t>00115740</t>
  </si>
  <si>
    <t>200  AL OESTE 25 SUR DE GAR QDA GRAN</t>
  </si>
  <si>
    <t>0000000243</t>
  </si>
  <si>
    <t>0000002253</t>
  </si>
  <si>
    <t>ANA OLIVIA  ALVAREZ MORENO</t>
  </si>
  <si>
    <t xml:space="preserve">60138423            </t>
  </si>
  <si>
    <t>anaalvarezmoreno04@gmail.com</t>
  </si>
  <si>
    <t>PELUQUERIA Y TRAT. BELLEZA (SPA)</t>
  </si>
  <si>
    <t>BARBERIA ARBI</t>
  </si>
  <si>
    <t>0000002252</t>
  </si>
  <si>
    <t>DORIS STELLA  RODRIGUEZ GARCIA</t>
  </si>
  <si>
    <t xml:space="preserve">87065065            </t>
  </si>
  <si>
    <t>dorisen@hotmail.com</t>
  </si>
  <si>
    <t>STELLA SALON DE BELLEZA &amp; SPA</t>
  </si>
  <si>
    <t>202810837</t>
  </si>
  <si>
    <t>MARIA DE LOS ANGELES  ROJAS CHACON</t>
  </si>
  <si>
    <t xml:space="preserve">88943209            </t>
  </si>
  <si>
    <t>maryrojaschacon@hotmail.com</t>
  </si>
  <si>
    <t>00030846</t>
  </si>
  <si>
    <t>50 MTS NORTE DEL BANCO NACIONAL</t>
  </si>
  <si>
    <t>0000001267</t>
  </si>
  <si>
    <t>KEWIN  VARGAS BEDOYA</t>
  </si>
  <si>
    <t xml:space="preserve">84555475            </t>
  </si>
  <si>
    <t>keganador@gmail.com</t>
  </si>
  <si>
    <t>BARBEROS CLUB</t>
  </si>
  <si>
    <t>3102758532</t>
  </si>
  <si>
    <t xml:space="preserve">3-102-758532 SOCIEDAD DE RESPONSABILIDAD LIMITADA  </t>
  </si>
  <si>
    <t>imatilaran@gmail.com</t>
  </si>
  <si>
    <t>00205133</t>
  </si>
  <si>
    <t>100 M SUR Y 25 ESTE DEL MAG</t>
  </si>
  <si>
    <t>0000001409</t>
  </si>
  <si>
    <t>MARIELA  PORRAS MARTINEZ</t>
  </si>
  <si>
    <t xml:space="preserve">86430602            </t>
  </si>
  <si>
    <t xml:space="preserve">88216222            </t>
  </si>
  <si>
    <t>mrlporrasmartinez2@gmail.com</t>
  </si>
  <si>
    <t>SOS BEATY CENTER TILARÁN</t>
  </si>
  <si>
    <t>503290593</t>
  </si>
  <si>
    <t>ANDRES EDUARDO  RODRIGUEZ ARAYA</t>
  </si>
  <si>
    <t xml:space="preserve">88177188            </t>
  </si>
  <si>
    <t xml:space="preserve">26958101            </t>
  </si>
  <si>
    <t>androdara@gmail.com</t>
  </si>
  <si>
    <t>00243460</t>
  </si>
  <si>
    <t>COSTADO ESTE DEL ESTADIO MUNICIPAL</t>
  </si>
  <si>
    <t>0000001827</t>
  </si>
  <si>
    <t>MARTA MARIA DE JESUS  PORRAS CAMPOS</t>
  </si>
  <si>
    <t xml:space="preserve">88116222            </t>
  </si>
  <si>
    <t>marta.porras.campos@gmail.com</t>
  </si>
  <si>
    <t>CENTRO DE BELLEZA PORRAS</t>
  </si>
  <si>
    <t>401470601</t>
  </si>
  <si>
    <t>00027619</t>
  </si>
  <si>
    <t xml:space="preserve"> 100 M SUR Y  100 M OESTE DEL BANCO NACIONAL DE COSTA RICA, TILARAN.</t>
  </si>
  <si>
    <t>0000001271</t>
  </si>
  <si>
    <t>SALA DE MASAJES LAKE ARENAL BREWERY</t>
  </si>
  <si>
    <t>0000001966</t>
  </si>
  <si>
    <t>STEPHANNY PATRICIA  HERRERA SALAS</t>
  </si>
  <si>
    <t xml:space="preserve">83388754            </t>
  </si>
  <si>
    <t>stepherrera99@gmail.com</t>
  </si>
  <si>
    <t>SH BEAUTY STUDIO</t>
  </si>
  <si>
    <t>501690882</t>
  </si>
  <si>
    <t>FEBRIN CLEMENTINO DEL SOCORRO  MONTERO BRENES</t>
  </si>
  <si>
    <t xml:space="preserve">87148256            </t>
  </si>
  <si>
    <t>febrinmontero@gmail.com</t>
  </si>
  <si>
    <t>00014015</t>
  </si>
  <si>
    <t>COSTADO SUR DE LA CATEDRAL "HOTEL NARALIT, TILARAN.</t>
  </si>
  <si>
    <t>0000002235</t>
  </si>
  <si>
    <t>FRAYMAN RODOLFO  PEREZ RAMIREZ</t>
  </si>
  <si>
    <t xml:space="preserve">88599306            </t>
  </si>
  <si>
    <t>sonidotilaran@hotmail.com</t>
  </si>
  <si>
    <t>PERIFONEO SIMILARES</t>
  </si>
  <si>
    <t>SONIDO TILARÁN</t>
  </si>
  <si>
    <t>0000001889</t>
  </si>
  <si>
    <t>YOLINETH MARIA  HIDALGO MORA</t>
  </si>
  <si>
    <t xml:space="preserve">63739998            </t>
  </si>
  <si>
    <t>yolineth_97@hotmail.com</t>
  </si>
  <si>
    <t>SONIDO POWER TILARAN</t>
  </si>
  <si>
    <t>0000002050</t>
  </si>
  <si>
    <t>BIBIANA DE LOS ANGELES  GONZALEZ ALFARO</t>
  </si>
  <si>
    <t xml:space="preserve">85966259            </t>
  </si>
  <si>
    <t>jorge.jgm@hotmail.com</t>
  </si>
  <si>
    <t>PIZZERIA</t>
  </si>
  <si>
    <t xml:space="preserve">GUTIERREZ FAMILY PIZZERIA										</t>
  </si>
  <si>
    <t>109740509</t>
  </si>
  <si>
    <t>JORGE EDUARDO  GUTIERREZ MARTINEZ</t>
  </si>
  <si>
    <t>00128746</t>
  </si>
  <si>
    <t>25 MTS ESTE DE LA ENTRADA TRONADORA</t>
  </si>
  <si>
    <t>0000002222</t>
  </si>
  <si>
    <t>DIEGO ORLANDO  ACUÑA SALAS</t>
  </si>
  <si>
    <t xml:space="preserve">87421453            </t>
  </si>
  <si>
    <t xml:space="preserve">26954886            </t>
  </si>
  <si>
    <t>dieacu22@gmail.com</t>
  </si>
  <si>
    <t>PIZZERIA TSUNAMI</t>
  </si>
  <si>
    <t>3102125420</t>
  </si>
  <si>
    <t xml:space="preserve">BUENOS AIRES LIMITADA  </t>
  </si>
  <si>
    <t xml:space="preserve">88600260            </t>
  </si>
  <si>
    <t xml:space="preserve">26931037            </t>
  </si>
  <si>
    <t>jotarm.09@gmail.com</t>
  </si>
  <si>
    <t>00013619</t>
  </si>
  <si>
    <t>75M N DE LAS OFICINAS DEL ICE, TILARAN</t>
  </si>
  <si>
    <t>0000000132</t>
  </si>
  <si>
    <t>JESUS ANTONIO  COREA MURILLO</t>
  </si>
  <si>
    <t xml:space="preserve">86558333            </t>
  </si>
  <si>
    <t>jokysprazer@gmail.com</t>
  </si>
  <si>
    <t>Jokys Prazer</t>
  </si>
  <si>
    <t>0000001661</t>
  </si>
  <si>
    <t xml:space="preserve">READY PIZZA RP SOCIEDAD DE RESPONSABILIDAD LIMITAD  </t>
  </si>
  <si>
    <t>JASON ALBERTO  GUEVARA BARAHONA</t>
  </si>
  <si>
    <t>113740851</t>
  </si>
  <si>
    <t xml:space="preserve">83150435            </t>
  </si>
  <si>
    <t>proyectos@readypizzacr.com</t>
  </si>
  <si>
    <t>READY PIZZA</t>
  </si>
  <si>
    <t>0000001972</t>
  </si>
  <si>
    <t>SIMON  BENAVIDES GUILLEN</t>
  </si>
  <si>
    <t xml:space="preserve">61873520            </t>
  </si>
  <si>
    <t>benavidessimon572@gmail.com</t>
  </si>
  <si>
    <t>FINITOS PIZZA</t>
  </si>
  <si>
    <t>0000001328</t>
  </si>
  <si>
    <t>CARLOS ANDRES  CARVAJAL MORA</t>
  </si>
  <si>
    <t xml:space="preserve">85073633            </t>
  </si>
  <si>
    <t>carloscarvajalmora1997@gmail.com</t>
  </si>
  <si>
    <t>PLANIFICADOR DE EVENTOS</t>
  </si>
  <si>
    <t>EVENTOS CALU</t>
  </si>
  <si>
    <t>0000002220</t>
  </si>
  <si>
    <t>0000002258</t>
  </si>
  <si>
    <t>JENNIFER  FLORES SANDOVAL</t>
  </si>
  <si>
    <t xml:space="preserve">84058602            </t>
  </si>
  <si>
    <t>jenniferfloress018@gmail.com</t>
  </si>
  <si>
    <t>POLLO FRITO</t>
  </si>
  <si>
    <t>POLLOLANDIA NUEVO ARENAL</t>
  </si>
  <si>
    <t>0000000058</t>
  </si>
  <si>
    <t>JORGE ANDRES  PALACIOS PICADO</t>
  </si>
  <si>
    <t xml:space="preserve">88875094            </t>
  </si>
  <si>
    <t>jorge.pala@hotmail.com</t>
  </si>
  <si>
    <t>POLLOS CHELALO</t>
  </si>
  <si>
    <t>0000000070</t>
  </si>
  <si>
    <t>JOSE LUIS  PRENDAS FERNANDEZ</t>
  </si>
  <si>
    <t xml:space="preserve">89694788            </t>
  </si>
  <si>
    <t xml:space="preserve">86677871            </t>
  </si>
  <si>
    <t>facturacionlavelita@gmail.com</t>
  </si>
  <si>
    <t>PROCESADORA DE QUESO Y LACTEOS</t>
  </si>
  <si>
    <t>FABRICA LACTEOS LA VALITA</t>
  </si>
  <si>
    <t>500890669</t>
  </si>
  <si>
    <t>DAISY BALBINA DE LAS PIEDADES  ALVARADO SALAS</t>
  </si>
  <si>
    <t xml:space="preserve">87327878            </t>
  </si>
  <si>
    <t xml:space="preserve">86023151            </t>
  </si>
  <si>
    <t>00900305</t>
  </si>
  <si>
    <t>300 M NOROESTE DE LA ESCUELA LA ESPERANZA</t>
  </si>
  <si>
    <t>0000001181</t>
  </si>
  <si>
    <t>0000000916</t>
  </si>
  <si>
    <t>XINIA LIZBETH  ALVARADO SOTO</t>
  </si>
  <si>
    <t xml:space="preserve">83861504            </t>
  </si>
  <si>
    <t>xinia.alvarado.soto@gmail.com</t>
  </si>
  <si>
    <t>EL JARDÍN DE LA BRUJA</t>
  </si>
  <si>
    <t>501940203</t>
  </si>
  <si>
    <t>JOSE ALFREDO  BOLAÑOS MORA</t>
  </si>
  <si>
    <t xml:space="preserve">83868080            </t>
  </si>
  <si>
    <t>jose.bolanos.mora@gmail.com</t>
  </si>
  <si>
    <t>00148245</t>
  </si>
  <si>
    <t>1 KM AL ESTE DE LA ESCUELA DEL SILENCIO, CAMINO A RIO CHIQUITO.</t>
  </si>
  <si>
    <t>0000001935</t>
  </si>
  <si>
    <t xml:space="preserve">AEROENERGIA SOCIEDAD ANONIMA  </t>
  </si>
  <si>
    <t xml:space="preserve">89909808            </t>
  </si>
  <si>
    <t xml:space="preserve">21002052            </t>
  </si>
  <si>
    <t>arojas@aeroenergia.com</t>
  </si>
  <si>
    <t>PRODUCCION DE ENERGIA</t>
  </si>
  <si>
    <t>PLANTA EOLICA AEROENERGIA</t>
  </si>
  <si>
    <t>00103107</t>
  </si>
  <si>
    <t>DEL CENTRO DE TILARÁN, 6 KM CAMINO A NUEVO ARENAL</t>
  </si>
  <si>
    <t>0000000643</t>
  </si>
  <si>
    <t>CONSORCIO EOLICO CHIRIPA</t>
  </si>
  <si>
    <t>00200407</t>
  </si>
  <si>
    <t>PROYECTO EOLICO CHIRIPA, QUEBRADA GRNDE.</t>
  </si>
  <si>
    <t>0000000740</t>
  </si>
  <si>
    <t xml:space="preserve">INVERSIONES EOLICAS CAMPOS AZULES SOCIEDAD ANONIMA  </t>
  </si>
  <si>
    <t>INVERSIONES EÓLICA CAMPOS AZULES, S.A</t>
  </si>
  <si>
    <t>0000000739</t>
  </si>
  <si>
    <t xml:space="preserve">INVERSIONES EOLICAS GUANACASTE SOCIEDAD ANONIMA  </t>
  </si>
  <si>
    <t>INVER.EOLICAS GUANACASTE</t>
  </si>
  <si>
    <t>0000000722</t>
  </si>
  <si>
    <t xml:space="preserve">MOLINOS DE VIENTO DEL ARENAL SOCIEDAD ANONIMA  </t>
  </si>
  <si>
    <t xml:space="preserve">88909808            </t>
  </si>
  <si>
    <t>arojas@gecoenergia.com</t>
  </si>
  <si>
    <t>MOLINOS DE VIENTO DEL ARENAL, S.A</t>
  </si>
  <si>
    <t>3101044579</t>
  </si>
  <si>
    <t xml:space="preserve">YISELANA SOCIEDAD ANONIMA  </t>
  </si>
  <si>
    <t>yiselana.munitilaran.g21y8@simplelogin.com</t>
  </si>
  <si>
    <t>00115352</t>
  </si>
  <si>
    <t>2 KM NOESTE DE LA  IGLESIA CATOLICA, TIERRA MORENAS.</t>
  </si>
  <si>
    <t>0000000640</t>
  </si>
  <si>
    <t xml:space="preserve">PLANTAS EOLICAS LIMITADA  </t>
  </si>
  <si>
    <t>PLANTAS EÓLICAS S.R.L</t>
  </si>
  <si>
    <t>3102140259</t>
  </si>
  <si>
    <t>00092445</t>
  </si>
  <si>
    <t>5KM NORTE DEL CRUCE DE AGUILARES, PARCELAS QUEBRADA AZUL.</t>
  </si>
  <si>
    <t>0000000783</t>
  </si>
  <si>
    <t xml:space="preserve">TILA WIND CORPORATION SOCIEDAD ANONIMA  </t>
  </si>
  <si>
    <t xml:space="preserve">87200050            </t>
  </si>
  <si>
    <t xml:space="preserve">40810100            </t>
  </si>
  <si>
    <t>r.cortes@prinus.com.mx</t>
  </si>
  <si>
    <t>PARQUE EOLICO TILA WIND</t>
  </si>
  <si>
    <t>00208619</t>
  </si>
  <si>
    <t>0000000678</t>
  </si>
  <si>
    <t xml:space="preserve">TERMINALES DEL PACIFICO SOCIEDAD ANONIMA  </t>
  </si>
  <si>
    <t xml:space="preserve">60588105            </t>
  </si>
  <si>
    <t xml:space="preserve">22935493            </t>
  </si>
  <si>
    <t>dmurillo@tilawagroup.com</t>
  </si>
  <si>
    <t>PRODUCCION FERTILIZANTES</t>
  </si>
  <si>
    <t>TILAWA AGRO GROUP</t>
  </si>
  <si>
    <t>3101562673</t>
  </si>
  <si>
    <t xml:space="preserve">BOSQUE DE LIBANO AZUL SOCIEDAD ANONIMA  </t>
  </si>
  <si>
    <t xml:space="preserve">72955560            </t>
  </si>
  <si>
    <t xml:space="preserve">26954500            </t>
  </si>
  <si>
    <t>hmurillo@tilawagroup.com</t>
  </si>
  <si>
    <t>00158037</t>
  </si>
  <si>
    <t>MANDELA</t>
  </si>
  <si>
    <t>0000000691</t>
  </si>
  <si>
    <t>STEPHANY  VARGAS PEREZ</t>
  </si>
  <si>
    <t xml:space="preserve">86935583            </t>
  </si>
  <si>
    <t>stepvp@hotmail.com</t>
  </si>
  <si>
    <t>PUESTO DE LOTERIA</t>
  </si>
  <si>
    <t>PUESTO TITA</t>
  </si>
  <si>
    <t>0000001413</t>
  </si>
  <si>
    <t>PUESTO VENTA DE LOTERIA</t>
  </si>
  <si>
    <t>0000002043</t>
  </si>
  <si>
    <t>LOTERIA MARTILLA</t>
  </si>
  <si>
    <t>0000001366</t>
  </si>
  <si>
    <t>JONATHAN ELIECER  TORRES CASTILLO</t>
  </si>
  <si>
    <t xml:space="preserve">60434871            </t>
  </si>
  <si>
    <t>contapmora@gmail.com</t>
  </si>
  <si>
    <t>PUESTO DE LOTERIA MORA</t>
  </si>
  <si>
    <t>00189470</t>
  </si>
  <si>
    <t xml:space="preserve">COSTADO SUR DEL PARQUE DE TILARÁN </t>
  </si>
  <si>
    <t>0000001847</t>
  </si>
  <si>
    <t>Recaudadora Karol</t>
  </si>
  <si>
    <t>0000001644</t>
  </si>
  <si>
    <t>LUIS EMILIO  OVIEDO CASTRO</t>
  </si>
  <si>
    <t xml:space="preserve">64266578            </t>
  </si>
  <si>
    <t>1738luisoviedo@gmail.com</t>
  </si>
  <si>
    <t>DIAMANTE VERDE</t>
  </si>
  <si>
    <t>503130799</t>
  </si>
  <si>
    <t>YADIXSA ELODIA  CAMPOS HERRERA</t>
  </si>
  <si>
    <t>yacampos79@gmail.com</t>
  </si>
  <si>
    <t>00152773</t>
  </si>
  <si>
    <t>COSTADO OESTE DE IGLESIA CATOLICA</t>
  </si>
  <si>
    <t>0000002239</t>
  </si>
  <si>
    <t>SAN CARLOS STORE</t>
  </si>
  <si>
    <t>0000002039</t>
  </si>
  <si>
    <t>REPARACION DE LLANTAS</t>
  </si>
  <si>
    <t>0000000488</t>
  </si>
  <si>
    <t>ALEXANDER  ALVARADO DURAN</t>
  </si>
  <si>
    <t xml:space="preserve">88648358            </t>
  </si>
  <si>
    <t>alexanderad2509@gmail.com</t>
  </si>
  <si>
    <t>REPARACION EQUIPOS LECHERO</t>
  </si>
  <si>
    <t>REPARACION EQUIPOS DE ORDEÑO A Y B</t>
  </si>
  <si>
    <t>0000001208</t>
  </si>
  <si>
    <t xml:space="preserve">TEM SOCIEDAD ANONIMA  </t>
  </si>
  <si>
    <t>CARLOS LUIS DE JESUS  MONESTEL SANCHO</t>
  </si>
  <si>
    <t>501270268</t>
  </si>
  <si>
    <t xml:space="preserve">88467834            </t>
  </si>
  <si>
    <t xml:space="preserve">26955101            </t>
  </si>
  <si>
    <t>temsa.67@gmail.com</t>
  </si>
  <si>
    <t>TALLER TEM</t>
  </si>
  <si>
    <t>3101127973</t>
  </si>
  <si>
    <t>00077266</t>
  </si>
  <si>
    <t>200 SUR DE PALACIO EPISCOPAL TILARAN "TALLER MONESTEL.</t>
  </si>
  <si>
    <t>0000000622</t>
  </si>
  <si>
    <t>JAIRO ANTONIO  JARQUIN GONZALEZ</t>
  </si>
  <si>
    <t xml:space="preserve">72400992            </t>
  </si>
  <si>
    <t xml:space="preserve">60752797            </t>
  </si>
  <si>
    <t>jairogonzalezkef@gmail.com</t>
  </si>
  <si>
    <t>REPARACIONES A DOMICILIO</t>
  </si>
  <si>
    <t>ELECTRO REPARACIONES JJ</t>
  </si>
  <si>
    <t>0000001309</t>
  </si>
  <si>
    <t xml:space="preserve">3-101-786255 SOCIEDAD ANONIMA  </t>
  </si>
  <si>
    <t>twentystilaran@gmail.com</t>
  </si>
  <si>
    <t>RESTAURANTE</t>
  </si>
  <si>
    <t>TWENYT`S TILARAN</t>
  </si>
  <si>
    <t>0000000904</t>
  </si>
  <si>
    <t xml:space="preserve">3-102-904313 SOCIEDAD DE RESPONSABILIDAD LIMITADA  </t>
  </si>
  <si>
    <t>MARTA DE LOS ANGELES  ABARCA BARAHONA</t>
  </si>
  <si>
    <t>107070614</t>
  </si>
  <si>
    <t xml:space="preserve">86476599            </t>
  </si>
  <si>
    <t>mmagui7@gmail.com</t>
  </si>
  <si>
    <t>MARISQUERIA TILACAM</t>
  </si>
  <si>
    <t>3102904313</t>
  </si>
  <si>
    <t xml:space="preserve">88262190            </t>
  </si>
  <si>
    <t>melyrojas7@hotmail.com</t>
  </si>
  <si>
    <t>00262527</t>
  </si>
  <si>
    <t>100M OESTE Y 50 N SERVIREPUESTOS PICADO</t>
  </si>
  <si>
    <t>0000002194</t>
  </si>
  <si>
    <t>RESTAURANTE MARCO</t>
  </si>
  <si>
    <t>107910116</t>
  </si>
  <si>
    <t>JOSE FABIO  CAMPOS UGALDE</t>
  </si>
  <si>
    <t>jfcamposu@hotmail.com</t>
  </si>
  <si>
    <t>00224051</t>
  </si>
  <si>
    <t>COSTADO NORTE  DEL BANCO DE COSTA RICA, TILARAN.</t>
  </si>
  <si>
    <t>0000002174</t>
  </si>
  <si>
    <t xml:space="preserve">3-102-942001 SOCIEDAD DE RESPONSABILIDAD LIMITADA  </t>
  </si>
  <si>
    <t xml:space="preserve">71119888            </t>
  </si>
  <si>
    <t>lago.factura01@gmail.com</t>
  </si>
  <si>
    <t xml:space="preserve">RESTAURANTE EL LAGO																					</t>
  </si>
  <si>
    <t>801280330</t>
  </si>
  <si>
    <t>BI YING  ZHENG YANG</t>
  </si>
  <si>
    <t xml:space="preserve">88650101            </t>
  </si>
  <si>
    <t>00034804</t>
  </si>
  <si>
    <t>225 MTS ESTE DEL BANCO NACIONAL, TILARAN</t>
  </si>
  <si>
    <t>0000002244</t>
  </si>
  <si>
    <t xml:space="preserve">3-102-944469 SOCIEDAD DE RESPONSABILIDAD LIMITADA  </t>
  </si>
  <si>
    <t>JOAQUIN VILELLA OLIVERAS</t>
  </si>
  <si>
    <t>PAP462505</t>
  </si>
  <si>
    <t xml:space="preserve">85145421            </t>
  </si>
  <si>
    <t>jvilellaoliveras@gmail.com</t>
  </si>
  <si>
    <t>MIRADOR OROPENDULA</t>
  </si>
  <si>
    <t>3102805344</t>
  </si>
  <si>
    <t xml:space="preserve">MADINA ARACARI SOCIEDAD DE RESPONSABILIDAD LIMITAD  </t>
  </si>
  <si>
    <t xml:space="preserve">89785382            </t>
  </si>
  <si>
    <t>madinaaracari@gmail.com</t>
  </si>
  <si>
    <t>00086786</t>
  </si>
  <si>
    <t>HOTEL LA MANSION 150 M SUROESTE LA UNION DE ARENAL</t>
  </si>
  <si>
    <t>0000002246</t>
  </si>
  <si>
    <t>ADILIA  MORA ZAMORA</t>
  </si>
  <si>
    <t xml:space="preserve">87385486            </t>
  </si>
  <si>
    <t xml:space="preserve">85073578            </t>
  </si>
  <si>
    <t>establoarenal@hotmail.com</t>
  </si>
  <si>
    <t>EL ESTABLO</t>
  </si>
  <si>
    <t>3101737103</t>
  </si>
  <si>
    <t xml:space="preserve">A J E A C A SOCIEDAD ANONIMA  </t>
  </si>
  <si>
    <t>estcarvajal84@hotmail.com</t>
  </si>
  <si>
    <t>00121971</t>
  </si>
  <si>
    <t>CONTIGUO URBANIZACION LAS FLORES, ARENAL.</t>
  </si>
  <si>
    <t>0000000308</t>
  </si>
  <si>
    <t>RESTAURANTE WATER FALL</t>
  </si>
  <si>
    <t>0000001041</t>
  </si>
  <si>
    <t>ADRIAN ALEJANDRO  RODRIGUEZ HERRERA</t>
  </si>
  <si>
    <t xml:space="preserve">86061696            </t>
  </si>
  <si>
    <t xml:space="preserve">26944609            </t>
  </si>
  <si>
    <t>rodriguez.herrera.adrian@gmail.com</t>
  </si>
  <si>
    <t>"LA CASA DE DO¥A CELINA"</t>
  </si>
  <si>
    <t>502210168</t>
  </si>
  <si>
    <t>00055523</t>
  </si>
  <si>
    <t>100M S GASOLINERA ARENAL</t>
  </si>
  <si>
    <t>0000000295</t>
  </si>
  <si>
    <t>ALEJANDRA  CHACON HERRERA</t>
  </si>
  <si>
    <t xml:space="preserve">64094878            </t>
  </si>
  <si>
    <t>trackblue86@gmail.com</t>
  </si>
  <si>
    <t>SUBTERRA</t>
  </si>
  <si>
    <t>0000002198</t>
  </si>
  <si>
    <t>ALVARO  ELIZONDO MURILLO</t>
  </si>
  <si>
    <t xml:space="preserve">83418459            </t>
  </si>
  <si>
    <t>elizondoalvaro80@gmail.com</t>
  </si>
  <si>
    <t>RESTAURANTE ROCCO.</t>
  </si>
  <si>
    <t>103900864</t>
  </si>
  <si>
    <t>00176688</t>
  </si>
  <si>
    <t>200 SUR 25 ESTE DE CATEDRAL TILARAN, RESTAURANTE ROCO.</t>
  </si>
  <si>
    <t>0000000004</t>
  </si>
  <si>
    <t>ANDREA NAHOMI  RETANA DELGADO</t>
  </si>
  <si>
    <t xml:space="preserve">72700405            </t>
  </si>
  <si>
    <t>nahomyrd98@gmail.com</t>
  </si>
  <si>
    <t>RANCHO TIA ANAIS</t>
  </si>
  <si>
    <t>501970808</t>
  </si>
  <si>
    <t>ANAIS ISABEL DE JESUS  DELGADO CERDAS</t>
  </si>
  <si>
    <t xml:space="preserve">88254306            </t>
  </si>
  <si>
    <t>anisa.delcer1961@gmail.com</t>
  </si>
  <si>
    <t>00256486</t>
  </si>
  <si>
    <t>COSTADO ESTE DE LA PULPERIA, PARCELAS DE QUEBRADA AZUL</t>
  </si>
  <si>
    <t>0000001853</t>
  </si>
  <si>
    <t>0000001915</t>
  </si>
  <si>
    <t>OFICINA Y RESTAURANTE VIENTO FRESCO</t>
  </si>
  <si>
    <t>0000000201</t>
  </si>
  <si>
    <t>0000000770</t>
  </si>
  <si>
    <t>0000000260</t>
  </si>
  <si>
    <t xml:space="preserve">CAFE &amp; MACADAMIA INTERNACIONAL SOCIEDAD ANONIMA  </t>
  </si>
  <si>
    <t xml:space="preserve">89706046            </t>
  </si>
  <si>
    <t>yanecampos1511@gmail.com</t>
  </si>
  <si>
    <t>REST.CAFE &amp; MACADAMIA</t>
  </si>
  <si>
    <t>00216686</t>
  </si>
  <si>
    <t>2KM ESTE DE SALON COMUNAL RIO PIEDRAS</t>
  </si>
  <si>
    <t>0000001126</t>
  </si>
  <si>
    <t>BAR Y RESTAURANTE CAVI</t>
  </si>
  <si>
    <t>0000001015</t>
  </si>
  <si>
    <t>CARLOS MAURICIO  PICADO ANCHIA</t>
  </si>
  <si>
    <t xml:space="preserve">84540363            </t>
  </si>
  <si>
    <t>cpicadoa15@gmail.com</t>
  </si>
  <si>
    <t>RESTAURANTE EL CATALA</t>
  </si>
  <si>
    <t>0000001257</t>
  </si>
  <si>
    <t>0000002205</t>
  </si>
  <si>
    <t>RESTAURANTE POLLOLANDIA</t>
  </si>
  <si>
    <t>0000001046</t>
  </si>
  <si>
    <t>0000001802</t>
  </si>
  <si>
    <t xml:space="preserve">CSC LA TORTUGA ARENAL SOCIEDAD DE RESPONSABILIDAD   </t>
  </si>
  <si>
    <t>CARMEN  SOLANO CALDERON</t>
  </si>
  <si>
    <t>501890058</t>
  </si>
  <si>
    <t xml:space="preserve">88402182            </t>
  </si>
  <si>
    <t>Restaurante La Tortuga</t>
  </si>
  <si>
    <t>501100767</t>
  </si>
  <si>
    <t>ELIAS  SIBAJA MURILLO</t>
  </si>
  <si>
    <t xml:space="preserve">83308064            </t>
  </si>
  <si>
    <t>silviasibaja@gmail.com</t>
  </si>
  <si>
    <t>00270711</t>
  </si>
  <si>
    <t>5 KM SUR DEL GIMNASIO, ARENAL.</t>
  </si>
  <si>
    <t>0000001642</t>
  </si>
  <si>
    <t>DARLING DE LOS ANGELES  VARGAS LOPEZ</t>
  </si>
  <si>
    <t xml:space="preserve">89239740            </t>
  </si>
  <si>
    <t>dv944211@gmail.com</t>
  </si>
  <si>
    <t>GUSTITOS CRIOLLOS.</t>
  </si>
  <si>
    <t>155811414616</t>
  </si>
  <si>
    <t>00119924</t>
  </si>
  <si>
    <t>250M S GIMNASIO ARENAL</t>
  </si>
  <si>
    <t>0000000575</t>
  </si>
  <si>
    <t>0000002125</t>
  </si>
  <si>
    <t>DOUGLAS DE JESUS  MONTERO VARELA</t>
  </si>
  <si>
    <t xml:space="preserve">87083485            </t>
  </si>
  <si>
    <t>douglascondominios10@gmail.com</t>
  </si>
  <si>
    <t>TILAPIERA DON SABINO</t>
  </si>
  <si>
    <t>3101281886</t>
  </si>
  <si>
    <t xml:space="preserve">COMERCIAL FAMOVA DEL DOS SOCIEDAD ANONIMA  </t>
  </si>
  <si>
    <t xml:space="preserve">86299754            </t>
  </si>
  <si>
    <t xml:space="preserve">26938048            </t>
  </si>
  <si>
    <t>sabinomontero@gmail.com</t>
  </si>
  <si>
    <t>00900225</t>
  </si>
  <si>
    <t>TILAPIA DON SABINO</t>
  </si>
  <si>
    <t>0000001151</t>
  </si>
  <si>
    <t>RESTAURANTE MYSTICA</t>
  </si>
  <si>
    <t>0000000634</t>
  </si>
  <si>
    <t>0000001139</t>
  </si>
  <si>
    <t>0000001593</t>
  </si>
  <si>
    <t>ELIZABETH  CAMPOS MORALES</t>
  </si>
  <si>
    <t xml:space="preserve">62708154            </t>
  </si>
  <si>
    <t xml:space="preserve">26954169            </t>
  </si>
  <si>
    <t>camposelizabeth525@gmail.com</t>
  </si>
  <si>
    <t>RESTAURANTE LA VILLA</t>
  </si>
  <si>
    <t>501360467</t>
  </si>
  <si>
    <t>00024711</t>
  </si>
  <si>
    <t>800 SURESTE DE LA GUARDIA RURAL, QUEBRADA GRANDE</t>
  </si>
  <si>
    <t>0000001264</t>
  </si>
  <si>
    <t>EMMA  ACOSTA ALVAREZ</t>
  </si>
  <si>
    <t xml:space="preserve">85509353            </t>
  </si>
  <si>
    <t>mariovargas_94@hotmail.com</t>
  </si>
  <si>
    <t>CARNIVOROS GRILL HOUSE</t>
  </si>
  <si>
    <t>504110998</t>
  </si>
  <si>
    <t>00038359</t>
  </si>
  <si>
    <t>50M N,60M O DE LA ESCUELA DE TRONADORA</t>
  </si>
  <si>
    <t>0000001427</t>
  </si>
  <si>
    <t>ESMERALDA ISABEL  OLIVAS HERNANDEZ</t>
  </si>
  <si>
    <t xml:space="preserve">72476830            </t>
  </si>
  <si>
    <t>olivasesmeralda79@gmail.com</t>
  </si>
  <si>
    <t>RESTAURANTE SOL Y LUNA</t>
  </si>
  <si>
    <t>204790561</t>
  </si>
  <si>
    <t>IRANIA  PEREZ LOPEZ</t>
  </si>
  <si>
    <t xml:space="preserve">85584459            </t>
  </si>
  <si>
    <t>00169289</t>
  </si>
  <si>
    <t>300 MTS ESTE DEL CRUCE A VENADO CAMINO A FORTUNA</t>
  </si>
  <si>
    <t>0000002282</t>
  </si>
  <si>
    <t>EUNICE  ALVARADO JIMENEZ</t>
  </si>
  <si>
    <t xml:space="preserve">83158078            </t>
  </si>
  <si>
    <t>unialvarado84@gmail.com</t>
  </si>
  <si>
    <t>SUNSET COFFE</t>
  </si>
  <si>
    <t>503420502</t>
  </si>
  <si>
    <t>00900508</t>
  </si>
  <si>
    <t xml:space="preserve"> 400 M OESTE DE LA ESCUELA, LA ESPERANZA, CABECERAS.</t>
  </si>
  <si>
    <t>0000001879</t>
  </si>
  <si>
    <t>RESTAURANTE GINGERBREAD</t>
  </si>
  <si>
    <t>0000001404</t>
  </si>
  <si>
    <t xml:space="preserve">FLE CHAZO DEL LAGO ARENAL SOCIEDAD ANONIMA  </t>
  </si>
  <si>
    <t xml:space="preserve">61078232            </t>
  </si>
  <si>
    <t>flechazo2022@gmail.com</t>
  </si>
  <si>
    <t xml:space="preserve"> The Hive &amp; Café Mariola																</t>
  </si>
  <si>
    <t>3101380848</t>
  </si>
  <si>
    <t xml:space="preserve">BUKEPHALOS SOCIEDAD ANONIMA  </t>
  </si>
  <si>
    <t xml:space="preserve">83881003            </t>
  </si>
  <si>
    <t>david.bowman.wi@gmail.com</t>
  </si>
  <si>
    <t>00140133</t>
  </si>
  <si>
    <t>5 K m ESTE DE LA IGLESIA CATÓLICA, TRONADRA</t>
  </si>
  <si>
    <t>0000002284</t>
  </si>
  <si>
    <t xml:space="preserve">GALLI EMANUELA  </t>
  </si>
  <si>
    <t xml:space="preserve">61291040            </t>
  </si>
  <si>
    <t>ummo66@gmail.com</t>
  </si>
  <si>
    <t>LOS PLATILLOS VOLADORES</t>
  </si>
  <si>
    <t>3101205315</t>
  </si>
  <si>
    <t xml:space="preserve">VALENGO SOCIEDAD ANONIMA  </t>
  </si>
  <si>
    <t xml:space="preserve">87500606            </t>
  </si>
  <si>
    <t>maxv21@gmail.com</t>
  </si>
  <si>
    <t>00055448</t>
  </si>
  <si>
    <t>COSTADO NORTE DEL BANCO NACIONAL, ARENAL</t>
  </si>
  <si>
    <t>0000000568</t>
  </si>
  <si>
    <t xml:space="preserve">GASTRO FREE FLOW CR LIMITADA  </t>
  </si>
  <si>
    <t xml:space="preserve">Dennis Volkstorf </t>
  </si>
  <si>
    <t>C1HYOCKRZ</t>
  </si>
  <si>
    <t xml:space="preserve">85127480            </t>
  </si>
  <si>
    <t>freeflowgastro@gmail.com</t>
  </si>
  <si>
    <t>0000001098</t>
  </si>
  <si>
    <t>GISELLE DE LA TRINIDAD  RODRIGUEZ CASTRO</t>
  </si>
  <si>
    <t xml:space="preserve">88216225            </t>
  </si>
  <si>
    <t xml:space="preserve">26957282            </t>
  </si>
  <si>
    <t>kvane0204@hotmail.com</t>
  </si>
  <si>
    <t>RESTAURANTE PURA VIDA</t>
  </si>
  <si>
    <t>204370243</t>
  </si>
  <si>
    <t>LAURA  ZAMORA CASTILLO</t>
  </si>
  <si>
    <t xml:space="preserve">88205481            </t>
  </si>
  <si>
    <t>lzc0468@gmail.com</t>
  </si>
  <si>
    <t>00012871</t>
  </si>
  <si>
    <t>DEL MERCADO MUNICIPAL 100 M NORTE, TILARÁN</t>
  </si>
  <si>
    <t>0000001930</t>
  </si>
  <si>
    <t>GRAVIN ARTURO  SOLERA MENA</t>
  </si>
  <si>
    <t xml:space="preserve">88260897            </t>
  </si>
  <si>
    <t>moyasolera@outlook.com</t>
  </si>
  <si>
    <t>RESTAURANTE PIZZERIA MOYA¨S PLACE</t>
  </si>
  <si>
    <t>0000000151</t>
  </si>
  <si>
    <t>HENRY  WU WU</t>
  </si>
  <si>
    <t xml:space="preserve">83568238            </t>
  </si>
  <si>
    <t>henry.wu.128.hw@gmail.com</t>
  </si>
  <si>
    <t>RESTAURANTE NUEVA FORTUNA</t>
  </si>
  <si>
    <t>800390095</t>
  </si>
  <si>
    <t>WAI SUI  WONG YEUNG</t>
  </si>
  <si>
    <t xml:space="preserve">88965550            </t>
  </si>
  <si>
    <t xml:space="preserve">26959038            </t>
  </si>
  <si>
    <t>g.rochagamboa@gmail.com</t>
  </si>
  <si>
    <t>00069310</t>
  </si>
  <si>
    <t>50 M NORTE MERCADO MUNICIPAL, TILARAN.</t>
  </si>
  <si>
    <t>0000000805</t>
  </si>
  <si>
    <t xml:space="preserve">JACQUIS GOURMET COFFEE SHOP NUEVO ARENAL SOCIEDAD   </t>
  </si>
  <si>
    <t xml:space="preserve">JACQUELINE RUIZ  </t>
  </si>
  <si>
    <t>663901566</t>
  </si>
  <si>
    <t xml:space="preserve">86896832            </t>
  </si>
  <si>
    <t>ruiz.jacqui@gmail.com</t>
  </si>
  <si>
    <t>Café Con Amor</t>
  </si>
  <si>
    <t xml:space="preserve">72035270            </t>
  </si>
  <si>
    <t>00055524</t>
  </si>
  <si>
    <t>125M S GASOLINERA ARENAL</t>
  </si>
  <si>
    <t>0000001870</t>
  </si>
  <si>
    <t>0000001638</t>
  </si>
  <si>
    <t>BAR RESTAURANTE TILAWA</t>
  </si>
  <si>
    <t>0000000996</t>
  </si>
  <si>
    <t>JORGE GERARDO  ARGUEDAS HERNANDEZ</t>
  </si>
  <si>
    <t xml:space="preserve">83700288            </t>
  </si>
  <si>
    <t xml:space="preserve">85689917            </t>
  </si>
  <si>
    <t>jah051961@gmail.com</t>
  </si>
  <si>
    <t>RESTAURANTE EL TRAPICHE</t>
  </si>
  <si>
    <t>503510992</t>
  </si>
  <si>
    <t>WENDY LETICIA  ARGUEDAS MURILLO</t>
  </si>
  <si>
    <t>wendyarguedasmu@gmail.com</t>
  </si>
  <si>
    <t>00149989</t>
  </si>
  <si>
    <t>COSTADO SUR PLAZA FUTBOL EL DOS DE TILARAN</t>
  </si>
  <si>
    <t>0000001422</t>
  </si>
  <si>
    <t>0000001199</t>
  </si>
  <si>
    <t>JOSELYNE MARIA  RODRIGUEZ ALVAREZ</t>
  </si>
  <si>
    <t xml:space="preserve">87813208            </t>
  </si>
  <si>
    <t>joselynrodriguez1304@hotmail.com</t>
  </si>
  <si>
    <t>Restaurante Donde Jossy</t>
  </si>
  <si>
    <t>503210495</t>
  </si>
  <si>
    <t>SANDRA YANORI  RODRIGUEZ ALVAREZ</t>
  </si>
  <si>
    <t xml:space="preserve">84605739            </t>
  </si>
  <si>
    <t xml:space="preserve">26938081            </t>
  </si>
  <si>
    <t>sandra.rod.alv1981@gmail.com</t>
  </si>
  <si>
    <t>00066996</t>
  </si>
  <si>
    <t>500M.ESTE DE LA ESCUELA DE EL DOS</t>
  </si>
  <si>
    <t>0000001976</t>
  </si>
  <si>
    <t>0000001984</t>
  </si>
  <si>
    <t>JUAN JOSE  VILLALOBOS MURILLO</t>
  </si>
  <si>
    <t xml:space="preserve">84156589            </t>
  </si>
  <si>
    <t>jvillalobosmurillo@gmail.com</t>
  </si>
  <si>
    <t xml:space="preserve">FINCA RANCHO LOS RETOÑOS																</t>
  </si>
  <si>
    <t>603170178</t>
  </si>
  <si>
    <t>00233073</t>
  </si>
  <si>
    <t>800 M SUR DE LA  GASOLINERA ECH, TILARAN.</t>
  </si>
  <si>
    <t>0000002276</t>
  </si>
  <si>
    <t>KAREN VANESSA  SALAS RODRIGUEZ</t>
  </si>
  <si>
    <t xml:space="preserve">85516881            </t>
  </si>
  <si>
    <t>RESTAURANTE FAMILIA PURA VIDA</t>
  </si>
  <si>
    <t>502360981</t>
  </si>
  <si>
    <t>MIGUEL ANGEL  SALAS RODRIGUEZ</t>
  </si>
  <si>
    <t xml:space="preserve">83207385            </t>
  </si>
  <si>
    <t xml:space="preserve">26952129            </t>
  </si>
  <si>
    <t>superciudadela@hotmail.com</t>
  </si>
  <si>
    <t>00010142</t>
  </si>
  <si>
    <t>200 M OESTE DEL BANCO NACIONAL DE  COSTA RICA, TILARAN.</t>
  </si>
  <si>
    <t>0000001768</t>
  </si>
  <si>
    <t>KARLA VANESSA  ZAMORA BERMUDEZ</t>
  </si>
  <si>
    <t xml:space="preserve">86230374            </t>
  </si>
  <si>
    <t>kvanezamora@gmail.com</t>
  </si>
  <si>
    <t>RESTAURANTE EL CORRAL.</t>
  </si>
  <si>
    <t>503660813</t>
  </si>
  <si>
    <t>00187977</t>
  </si>
  <si>
    <t>150 M SUR DE LA ESCUELA, EL AGUACATE, TIERRAS MORENAS.</t>
  </si>
  <si>
    <t>0000000453</t>
  </si>
  <si>
    <t>0000000627</t>
  </si>
  <si>
    <t>LINSAY VANESSA  QUIROS SOLANO</t>
  </si>
  <si>
    <t xml:space="preserve">87428912            </t>
  </si>
  <si>
    <t>linsayvanessaquiros@gmail.com</t>
  </si>
  <si>
    <t>DELICIAS QUISOL</t>
  </si>
  <si>
    <t>0000001978</t>
  </si>
  <si>
    <t>LA CASONA DE LÍBANO</t>
  </si>
  <si>
    <t>0000001373</t>
  </si>
  <si>
    <t>MARCO VINICIO  BONICHE HERRERA</t>
  </si>
  <si>
    <t xml:space="preserve">84144668            </t>
  </si>
  <si>
    <t xml:space="preserve">26955028            </t>
  </si>
  <si>
    <t>impcanassa@hotmail.com</t>
  </si>
  <si>
    <t>MARISQUERIA GUAYO</t>
  </si>
  <si>
    <t>503980938</t>
  </si>
  <si>
    <t>FIORELLA  BONICHE HERRERA</t>
  </si>
  <si>
    <t xml:space="preserve">89346021            </t>
  </si>
  <si>
    <t>bonichefio@hotmail.com</t>
  </si>
  <si>
    <t>00024029</t>
  </si>
  <si>
    <t>200M NOROESTE DE LA GASOLINERA JSM</t>
  </si>
  <si>
    <t>0000000439</t>
  </si>
  <si>
    <t>0000001770</t>
  </si>
  <si>
    <t>Restaurante El Gordo</t>
  </si>
  <si>
    <t>0000001825</t>
  </si>
  <si>
    <t>MARIA EUFEMIA  CENTENO CENTENO</t>
  </si>
  <si>
    <t xml:space="preserve">87606901            </t>
  </si>
  <si>
    <t>mari62567@gmail.com</t>
  </si>
  <si>
    <t>RESTAURANTE LA GOMIBAYA</t>
  </si>
  <si>
    <t>00052804</t>
  </si>
  <si>
    <t>200  M SUR DE AYA TILARAN</t>
  </si>
  <si>
    <t>0000000949</t>
  </si>
  <si>
    <t>MARIA FERNANDA  VARGAS AJUN</t>
  </si>
  <si>
    <t xml:space="preserve">83334792            </t>
  </si>
  <si>
    <t>casaitalianuevoarenal@gmail.com</t>
  </si>
  <si>
    <t>CASA ITALIA</t>
  </si>
  <si>
    <t>3101768308</t>
  </si>
  <si>
    <t xml:space="preserve">FER &amp; CHRIS SOCIEDAD ANONIMA  </t>
  </si>
  <si>
    <t>00143870</t>
  </si>
  <si>
    <t>325M OESTE Y 25M SUR DEL REDONDEL DE NUEVO ARENAL</t>
  </si>
  <si>
    <t>0000000483</t>
  </si>
  <si>
    <t>0000002211</t>
  </si>
  <si>
    <t>MARIA TERESA DE SAN GERARDO  BRAVO RODRIGUEZ</t>
  </si>
  <si>
    <t xml:space="preserve">70115480            </t>
  </si>
  <si>
    <t>mariat_bravo@outlook.com</t>
  </si>
  <si>
    <t>CIELO´S PIZZA</t>
  </si>
  <si>
    <t>502240845</t>
  </si>
  <si>
    <t>00191970</t>
  </si>
  <si>
    <t>200 M SUR Y 100 M OESTE DE LA GAR, QUEBRADA GRANDE</t>
  </si>
  <si>
    <t>0000001313</t>
  </si>
  <si>
    <t>BAR Y RESTAUARNTE EL TIGRE</t>
  </si>
  <si>
    <t>0000001651</t>
  </si>
  <si>
    <t>0000001857</t>
  </si>
  <si>
    <t>MILENA  ROJAS BARRIENTOS</t>
  </si>
  <si>
    <t xml:space="preserve">60950572            </t>
  </si>
  <si>
    <t>melymy@hotmail.es</t>
  </si>
  <si>
    <t>Asere´s Pizza</t>
  </si>
  <si>
    <t>0000002170</t>
  </si>
  <si>
    <t>RESTAURANTE CABALLO NEGRO</t>
  </si>
  <si>
    <t>00119616</t>
  </si>
  <si>
    <t>0000001783</t>
  </si>
  <si>
    <t>NIDIA BENILDA DE LOS ANGELES  VARGAS RIVERA</t>
  </si>
  <si>
    <t xml:space="preserve">83286455            </t>
  </si>
  <si>
    <t>nidiavargasrivera5@gmail.com</t>
  </si>
  <si>
    <t>RESTAURANT Y SOUVENIR EL FOGON DE MINCHO</t>
  </si>
  <si>
    <t>502390173</t>
  </si>
  <si>
    <t>EDGAR MAURICIO  MURILLO FLORES</t>
  </si>
  <si>
    <t xml:space="preserve">86731548            </t>
  </si>
  <si>
    <t>caballitodepalo@gmail.com</t>
  </si>
  <si>
    <t>00220604</t>
  </si>
  <si>
    <t>7500M S.E GIMNACIO ARENAL, FRENTE AL CEMENTERIO DE LA UNIÓN</t>
  </si>
  <si>
    <t>0000001938</t>
  </si>
  <si>
    <t>RESTAURANTE LA MURALLA</t>
  </si>
  <si>
    <t>0000000639</t>
  </si>
  <si>
    <t xml:space="preserve">OCASO CAFE BAR SOCIEDAD DE RESPONSABILIDAD LIMITAD  </t>
  </si>
  <si>
    <t>MARIA FERNANDA  RODRIGUEZ ALVAREZ</t>
  </si>
  <si>
    <t>116910723</t>
  </si>
  <si>
    <t xml:space="preserve">86660130            </t>
  </si>
  <si>
    <t>f3r-97@outlook.es</t>
  </si>
  <si>
    <t>OCASO CAFÉ BAR</t>
  </si>
  <si>
    <t>0000002080</t>
  </si>
  <si>
    <t>PLAYA TILA RESTAURANT</t>
  </si>
  <si>
    <t>0000001005</t>
  </si>
  <si>
    <t>0000001358</t>
  </si>
  <si>
    <t>CENTRO TURISTICO ARGUEDAS</t>
  </si>
  <si>
    <t>501850267</t>
  </si>
  <si>
    <t>00247584</t>
  </si>
  <si>
    <t>350M.NORTE DE LA IGLESIA DE LA FLORIDA</t>
  </si>
  <si>
    <t>0000001809</t>
  </si>
  <si>
    <t>BAR BAMBU</t>
  </si>
  <si>
    <t>00055491</t>
  </si>
  <si>
    <t>120M E CCSS ARENAL</t>
  </si>
  <si>
    <t>0000000509</t>
  </si>
  <si>
    <t>0000000565</t>
  </si>
  <si>
    <t>0000001204</t>
  </si>
  <si>
    <t>ROSA  GUADAMUZ OROZCO</t>
  </si>
  <si>
    <t xml:space="preserve">86252602            </t>
  </si>
  <si>
    <t>guadamuzrosa4@gmail.com</t>
  </si>
  <si>
    <t>RANCHO MAIRENA BAR Y REST.</t>
  </si>
  <si>
    <t>155814125318</t>
  </si>
  <si>
    <t>00260235</t>
  </si>
  <si>
    <t>LA CHIRIPA, 25 MTS ANTES DEL CRUCE</t>
  </si>
  <si>
    <t>0000002152</t>
  </si>
  <si>
    <t>0000001862</t>
  </si>
  <si>
    <t>REST.LAKE ARENAL BREWERY</t>
  </si>
  <si>
    <t>0000000751</t>
  </si>
  <si>
    <t>SHIRLEY  SOLIS QUESADA</t>
  </si>
  <si>
    <t xml:space="preserve">84667070            </t>
  </si>
  <si>
    <t>faelievents@gmail.com</t>
  </si>
  <si>
    <t xml:space="preserve">EL RINCON DEL HUMO Y LA FIESTA										</t>
  </si>
  <si>
    <t>3101849161</t>
  </si>
  <si>
    <t xml:space="preserve">INVERSIONES YERA SOLIS SOCIEDAD ANONIMA  </t>
  </si>
  <si>
    <t xml:space="preserve">62152584            </t>
  </si>
  <si>
    <t>00216323</t>
  </si>
  <si>
    <t>1.5 KM ESTE DE ESCUELA RIO PIEDRAS EL AGUACATE, TIERRAS MORENAS</t>
  </si>
  <si>
    <t>0000002269</t>
  </si>
  <si>
    <t>CASA DONNA ROSA BED &amp; BREAKFAST</t>
  </si>
  <si>
    <t>0000001131</t>
  </si>
  <si>
    <t xml:space="preserve">SOLUCIONES MOVILES INTERNACIONALES SOCIEDAD ANONIM  </t>
  </si>
  <si>
    <t xml:space="preserve">86658665            </t>
  </si>
  <si>
    <t xml:space="preserve">25610659            </t>
  </si>
  <si>
    <t>vivero@brisastilawa.com</t>
  </si>
  <si>
    <t>RESTAURANTE BRISAS DE TILAWA</t>
  </si>
  <si>
    <t>3101880499</t>
  </si>
  <si>
    <t xml:space="preserve">INVERSIONES SANTA LUCIA DE TILAWA SOCIEDAD ANONIMA  </t>
  </si>
  <si>
    <t>ronald@brisastilawa.com</t>
  </si>
  <si>
    <t>00210561</t>
  </si>
  <si>
    <t>300 M NORTE DE LA ESCUELA RANCHITOS, SANTA ROSA</t>
  </si>
  <si>
    <t>0000002227</t>
  </si>
  <si>
    <t>STEPHANY  ALVARADO CRUZ</t>
  </si>
  <si>
    <t xml:space="preserve">85328629            </t>
  </si>
  <si>
    <t>stephanniea@hotmail.es</t>
  </si>
  <si>
    <t>LAKE ARENAL PIZZA &amp; SEAFOOD</t>
  </si>
  <si>
    <t>501530618</t>
  </si>
  <si>
    <t>ROMARIE DEL CARMEN  SOTO MORALES</t>
  </si>
  <si>
    <t xml:space="preserve">89270767            </t>
  </si>
  <si>
    <t xml:space="preserve">26922101            </t>
  </si>
  <si>
    <t>romarie90ro@gmail.com</t>
  </si>
  <si>
    <t>00264044</t>
  </si>
  <si>
    <t>1.2KM DEL SALON COMUNAL DE RIO PIEDRAS</t>
  </si>
  <si>
    <t>0000001168</t>
  </si>
  <si>
    <t xml:space="preserve">VENTO BISTRO LLC SOCIEDAD DE RESPONSABILIDAD LIMIT  </t>
  </si>
  <si>
    <t>ANDREY  CAMPOS SANCHEZ</t>
  </si>
  <si>
    <t>504070843</t>
  </si>
  <si>
    <t xml:space="preserve">72200250            </t>
  </si>
  <si>
    <t xml:space="preserve">88114615            </t>
  </si>
  <si>
    <t>campos.andrey20@gmail.com</t>
  </si>
  <si>
    <t xml:space="preserve">VENTO BISTRO 2																</t>
  </si>
  <si>
    <t>0000002176</t>
  </si>
  <si>
    <t>WENDEL ESTEBAN  GOMEZ ROSALES</t>
  </si>
  <si>
    <t xml:space="preserve">83283362            </t>
  </si>
  <si>
    <t>wgomezr083@gmail.com</t>
  </si>
  <si>
    <t>RESTAURANTE CAMPESTRE LA GRANJA</t>
  </si>
  <si>
    <t>503330757</t>
  </si>
  <si>
    <t>00141123</t>
  </si>
  <si>
    <t>200 M SUR DEL HOTEL LA MANSION, LA UNION, ARENAL.</t>
  </si>
  <si>
    <t>0000002207</t>
  </si>
  <si>
    <t>0000001912</t>
  </si>
  <si>
    <t>Restaurante Las Tinajas</t>
  </si>
  <si>
    <t>0000001679</t>
  </si>
  <si>
    <t>0000002105</t>
  </si>
  <si>
    <t>YENDRI MARIA  SOLANO CRUZ</t>
  </si>
  <si>
    <t xml:space="preserve">85137742            </t>
  </si>
  <si>
    <t>yen_3023@hotmail.com</t>
  </si>
  <si>
    <t>LA CERVECERIA</t>
  </si>
  <si>
    <t>502850036</t>
  </si>
  <si>
    <t>YANEIDY MARIA  CRUZ PANIAGUA</t>
  </si>
  <si>
    <t xml:space="preserve">85142642            </t>
  </si>
  <si>
    <t>yaneidycruz84@hotmail.com</t>
  </si>
  <si>
    <t>00072767</t>
  </si>
  <si>
    <t>125M.NORTE DEL SALON COMUNAL LINDA VISTA</t>
  </si>
  <si>
    <t>0000001777</t>
  </si>
  <si>
    <t>YOSELIN MARIA  SEGURA ROJAS</t>
  </si>
  <si>
    <t xml:space="preserve">83348926            </t>
  </si>
  <si>
    <t>yosy211@gmail.com</t>
  </si>
  <si>
    <t>RANCHO SOLANIA</t>
  </si>
  <si>
    <t>3101746436</t>
  </si>
  <si>
    <t xml:space="preserve">RANCHO SOLANIA SOCIEDAD ANONIMA  </t>
  </si>
  <si>
    <t xml:space="preserve">86768143            </t>
  </si>
  <si>
    <t>00254873</t>
  </si>
  <si>
    <t>800 M  NORTE DEL SALON COMUNAL, SOLANIA, LIBANO</t>
  </si>
  <si>
    <t>0000002051</t>
  </si>
  <si>
    <t>YULEYKA REINOSO BALBIN</t>
  </si>
  <si>
    <t xml:space="preserve">86097303            </t>
  </si>
  <si>
    <t>yuleykareinoso180@gmail.com</t>
  </si>
  <si>
    <t>RESTAURANTE LINDA VISTA</t>
  </si>
  <si>
    <t>503130632</t>
  </si>
  <si>
    <t>VICTOR JULIO  SOLANO ARIAS</t>
  </si>
  <si>
    <t xml:space="preserve">83126720            </t>
  </si>
  <si>
    <t>victorarias.vs@gmail.com</t>
  </si>
  <si>
    <t>00262126</t>
  </si>
  <si>
    <t>1.5 KM ESTE DE LA ESCUELA, TRONADORA</t>
  </si>
  <si>
    <t>0000002189</t>
  </si>
  <si>
    <t>ALEJANDRO  CHACON ARIAS</t>
  </si>
  <si>
    <t xml:space="preserve">83769724            </t>
  </si>
  <si>
    <t>82_ale@hotmail.es</t>
  </si>
  <si>
    <t>SALA AEROBICOS Y EJERCICIOS</t>
  </si>
  <si>
    <t>ENERGY TRAINING CENTER</t>
  </si>
  <si>
    <t>503360219</t>
  </si>
  <si>
    <t>JOHANNA MARIA  RAMIREZ JIMENEZ</t>
  </si>
  <si>
    <t xml:space="preserve">63434923            </t>
  </si>
  <si>
    <t>joharj-26@hotmail.com</t>
  </si>
  <si>
    <t>00040233</t>
  </si>
  <si>
    <t>100 M SUR Y 200 M ESTE DEL SUPER EL BARRIO, BARRIO EL CARME</t>
  </si>
  <si>
    <t>0000001287</t>
  </si>
  <si>
    <t xml:space="preserve">CYNTHIA ANN ROSS  </t>
  </si>
  <si>
    <t xml:space="preserve">84067513            </t>
  </si>
  <si>
    <t>cynderross@me.com</t>
  </si>
  <si>
    <t>YES YOU CAN FITNESS</t>
  </si>
  <si>
    <t>0000002249</t>
  </si>
  <si>
    <t>ERICK ROBERTO  RODRIGUEZ MEJIAS</t>
  </si>
  <si>
    <t xml:space="preserve">87892332            </t>
  </si>
  <si>
    <t>errm95@outlook.com</t>
  </si>
  <si>
    <t>ENERGYM</t>
  </si>
  <si>
    <t>00038367</t>
  </si>
  <si>
    <t>100M N DE LA ESCUELA DE TRONADORA</t>
  </si>
  <si>
    <t>0000001926</t>
  </si>
  <si>
    <t xml:space="preserve">FITNESSS EVOLUTION CW SOCIEDAD DE RESPONSABILIDAD   </t>
  </si>
  <si>
    <t>CARLOS LUIS  RAMIREZ GUTIERREZ</t>
  </si>
  <si>
    <t>503360450</t>
  </si>
  <si>
    <t xml:space="preserve">60082149            </t>
  </si>
  <si>
    <t xml:space="preserve">85534650            </t>
  </si>
  <si>
    <t>fitnesss.evolution.cw@gmail.com</t>
  </si>
  <si>
    <t>FITNESS EVOLUTION</t>
  </si>
  <si>
    <t>3101491196</t>
  </si>
  <si>
    <t xml:space="preserve">ULATE CASCANTE SOCIEDAD ANONIMA  </t>
  </si>
  <si>
    <t xml:space="preserve">84085525            </t>
  </si>
  <si>
    <t>karenulate@hotmail.com</t>
  </si>
  <si>
    <t>00014385</t>
  </si>
  <si>
    <t>50 M ESTE COSTADO SUR DE LA CATEDRAL DE TILARAN</t>
  </si>
  <si>
    <t>0000001955</t>
  </si>
  <si>
    <t>ISAAC  OSES CHACON</t>
  </si>
  <si>
    <t xml:space="preserve">86414268            </t>
  </si>
  <si>
    <t>isaac_oses@hotmail.com</t>
  </si>
  <si>
    <t>OSES FUNCIONAL CENTER.</t>
  </si>
  <si>
    <t>503830907</t>
  </si>
  <si>
    <t>00233099</t>
  </si>
  <si>
    <t>DEL AYA 200 MTS SUR Y 20 MTS OESTE</t>
  </si>
  <si>
    <t>0000000471</t>
  </si>
  <si>
    <t>JUNIOR FRANCISCO  MENDOZA PEREZ</t>
  </si>
  <si>
    <t xml:space="preserve">87086252            </t>
  </si>
  <si>
    <t>juniorfmp17@gmail.com</t>
  </si>
  <si>
    <t>JM Studio de entrenamiento</t>
  </si>
  <si>
    <t>0000001604</t>
  </si>
  <si>
    <t>LUIS DIEGO  BARRIENTOS GUTIERREZ</t>
  </si>
  <si>
    <t xml:space="preserve">85400349            </t>
  </si>
  <si>
    <t>diego90434@gmail.com</t>
  </si>
  <si>
    <t>MONSTER GYM</t>
  </si>
  <si>
    <t>0000000059</t>
  </si>
  <si>
    <t>MARCO ANTONIO  MARTINEZ RODRIGUEZ</t>
  </si>
  <si>
    <t xml:space="preserve">71514851            </t>
  </si>
  <si>
    <t>tecnomar03@yahoo.com</t>
  </si>
  <si>
    <t>EXTREME FITNESS ZONE</t>
  </si>
  <si>
    <t>3101170873</t>
  </si>
  <si>
    <t xml:space="preserve">EDUANDI SOCIEDAD ANONIMA  </t>
  </si>
  <si>
    <t xml:space="preserve">83180392            </t>
  </si>
  <si>
    <t>00055502</t>
  </si>
  <si>
    <t>NUVEO ARENAL, CONTIGUO A SUPER COMPRO</t>
  </si>
  <si>
    <t>0000001432</t>
  </si>
  <si>
    <t>MARIANELLA  VARGAS RODRIGUEZ</t>
  </si>
  <si>
    <t xml:space="preserve">87113112            </t>
  </si>
  <si>
    <t>mavaro1486@gmail.com</t>
  </si>
  <si>
    <t>BALANCE By Lcda Marianella Vargas</t>
  </si>
  <si>
    <t>00239363</t>
  </si>
  <si>
    <t>COSTADO ESTE DEL ESTADIO</t>
  </si>
  <si>
    <t>0000001944</t>
  </si>
  <si>
    <t>ZAHYRA MARIA  MURILLO GARCIA</t>
  </si>
  <si>
    <t xml:space="preserve">83596044            </t>
  </si>
  <si>
    <t>gimnasiotilasport@hotmail.com</t>
  </si>
  <si>
    <t>GIMNASIO TILA SPORT</t>
  </si>
  <si>
    <t>204110156</t>
  </si>
  <si>
    <t>ANA YENSY  OVIEDO ROJAS</t>
  </si>
  <si>
    <t xml:space="preserve">83215916            </t>
  </si>
  <si>
    <t>tejidosmonetti@hotmail.com</t>
  </si>
  <si>
    <t>00007541</t>
  </si>
  <si>
    <t>100 M OESTE DE LA IGLESIA BIBLICA EMMANUEL</t>
  </si>
  <si>
    <t>0000000009</t>
  </si>
  <si>
    <t>SALA DE JUEGOS MORA</t>
  </si>
  <si>
    <t>0000001973</t>
  </si>
  <si>
    <t>JOHANNY GERARDO  ACUÑA RUIZ</t>
  </si>
  <si>
    <t xml:space="preserve">87075670            </t>
  </si>
  <si>
    <t>poolesquekos@gmail.com</t>
  </si>
  <si>
    <t>POOLES QUEKOS</t>
  </si>
  <si>
    <t>0000002263</t>
  </si>
  <si>
    <t>JORGE LUIS  RAMIREZ RODRIGUEZ</t>
  </si>
  <si>
    <t>ramirez.jorge93@hotmail.com</t>
  </si>
  <si>
    <t>POOL EL BEJUCO</t>
  </si>
  <si>
    <t>0000001099</t>
  </si>
  <si>
    <t>SALA DE JUEGOS EL BAMBU</t>
  </si>
  <si>
    <t>0000001086</t>
  </si>
  <si>
    <t xml:space="preserve">TIQUE GLOBAL SOCIEDAD ANONIMA  </t>
  </si>
  <si>
    <t xml:space="preserve">84554920            </t>
  </si>
  <si>
    <t>SALA JUEGO SIN CITY</t>
  </si>
  <si>
    <t>0000000341</t>
  </si>
  <si>
    <t>EMMANUEL  SANCHEZ ROJAS</t>
  </si>
  <si>
    <t xml:space="preserve">83237647            </t>
  </si>
  <si>
    <t>emmanuel.sanchez.cr@gmail.com</t>
  </si>
  <si>
    <t>SALA DE MASAJES (SPA)</t>
  </si>
  <si>
    <t>CERAGEM TILARAN</t>
  </si>
  <si>
    <t>502740640</t>
  </si>
  <si>
    <t>MADAY DEL CARMEN  ROJAS CALVO</t>
  </si>
  <si>
    <t xml:space="preserve">88196109            </t>
  </si>
  <si>
    <t>mdayrc@gmail.com</t>
  </si>
  <si>
    <t>00243793</t>
  </si>
  <si>
    <t>400 M NORTE Y 250 ESTE DEL LICEO MAURILIO</t>
  </si>
  <si>
    <t>0000002236</t>
  </si>
  <si>
    <t>SHERYL DEANNA  PHILLIPS MOULTON</t>
  </si>
  <si>
    <t xml:space="preserve">88887343            </t>
  </si>
  <si>
    <t>lillylajungla@gmail.com</t>
  </si>
  <si>
    <t>MQS</t>
  </si>
  <si>
    <t>0000002086</t>
  </si>
  <si>
    <t>SALA DE REUNIONES Y EVENTO</t>
  </si>
  <si>
    <t>Rancho Cabañas Koi</t>
  </si>
  <si>
    <t>0000001807</t>
  </si>
  <si>
    <t>SALA EVENTOS HOTEL GUADALUPE</t>
  </si>
  <si>
    <t>0000001074</t>
  </si>
  <si>
    <t>SALON DE BAILE</t>
  </si>
  <si>
    <t>CAMPO FERIAL BARRIO ATRA</t>
  </si>
  <si>
    <t>00058856</t>
  </si>
  <si>
    <t>CAMPO FERIAL ATRA</t>
  </si>
  <si>
    <t>0000001161</t>
  </si>
  <si>
    <t>Restaurante El Catalá</t>
  </si>
  <si>
    <t>0000001677</t>
  </si>
  <si>
    <t>0000002181</t>
  </si>
  <si>
    <t>SALON PUERTO SAN LUIS</t>
  </si>
  <si>
    <t>0000001047</t>
  </si>
  <si>
    <t>0000001637</t>
  </si>
  <si>
    <t>SALON LA CASONA DE LIBANO</t>
  </si>
  <si>
    <t>0000001445</t>
  </si>
  <si>
    <t>0000001771</t>
  </si>
  <si>
    <t>SALON LA MURALLA</t>
  </si>
  <si>
    <t>0000000637</t>
  </si>
  <si>
    <t>0000002079</t>
  </si>
  <si>
    <t>SALON LAKE ARENAL BREWERY</t>
  </si>
  <si>
    <t>0000001072</t>
  </si>
  <si>
    <t>0000001921</t>
  </si>
  <si>
    <t>0000001755</t>
  </si>
  <si>
    <t>0000002107</t>
  </si>
  <si>
    <t xml:space="preserve">TRIDENTE SEGURIDAD SOCIEDAD ANONIMA  </t>
  </si>
  <si>
    <t xml:space="preserve">70498828            </t>
  </si>
  <si>
    <t>katherine.murillo.b@gmail.com</t>
  </si>
  <si>
    <t>SEGURIDAD Y PROTECCIÓN</t>
  </si>
  <si>
    <t>TRIDENTE SEGURIDAD</t>
  </si>
  <si>
    <t>0000001353</t>
  </si>
  <si>
    <t>MARCOS JOSUE  ARRIETA GONZALEZ</t>
  </si>
  <si>
    <t xml:space="preserve">85314857            </t>
  </si>
  <si>
    <t>mar.jag.1991@gmail.com</t>
  </si>
  <si>
    <t>SERVICIO DE TATUAJE</t>
  </si>
  <si>
    <t>SAMU TATOO</t>
  </si>
  <si>
    <t>0000001942</t>
  </si>
  <si>
    <t xml:space="preserve">LIBERTY SERVICIOS FIJOS LY SOCIEDAD ANONIMA  </t>
  </si>
  <si>
    <t xml:space="preserve">41009000            </t>
  </si>
  <si>
    <t xml:space="preserve">47017972            </t>
  </si>
  <si>
    <t>SERVICIO TELEVICION POR CABLE</t>
  </si>
  <si>
    <t>LIBERTY</t>
  </si>
  <si>
    <t>3101747406</t>
  </si>
  <si>
    <t>00056813</t>
  </si>
  <si>
    <t>50 MTS SUR DE LA CATEDRAL DE TILARAN</t>
  </si>
  <si>
    <t>0000000765</t>
  </si>
  <si>
    <t>WAYNER GERARDO  JIMENEZ CUBERO</t>
  </si>
  <si>
    <t xml:space="preserve">85550099            </t>
  </si>
  <si>
    <t xml:space="preserve">88484805            </t>
  </si>
  <si>
    <t>jimenezwaynerspc@gmail.com</t>
  </si>
  <si>
    <t>SERVICIO TRANSPORTE PRIVADO</t>
  </si>
  <si>
    <t>TRANSPORTE JIMENEZ CUBERO</t>
  </si>
  <si>
    <t>0000001850</t>
  </si>
  <si>
    <t>WILSON ANTONIO  JIMENEZ CUBERO</t>
  </si>
  <si>
    <t xml:space="preserve">87505735            </t>
  </si>
  <si>
    <t>alfaromariela78@gmail.com</t>
  </si>
  <si>
    <t>TRANSPORTES JIMENEZ ALFARO</t>
  </si>
  <si>
    <t>0000002097</t>
  </si>
  <si>
    <t>YASMIN  RAMIREZ ROJAS</t>
  </si>
  <si>
    <t xml:space="preserve">83098440            </t>
  </si>
  <si>
    <t>jazrarojas@gmail.com</t>
  </si>
  <si>
    <t>SERVICIOS AMBULATORIOS DE ATENCIÓN EN ENFERMERIA</t>
  </si>
  <si>
    <t>LUMOS HEALTH AND BEAUTY CENTER</t>
  </si>
  <si>
    <t>00239364</t>
  </si>
  <si>
    <t>0000002250</t>
  </si>
  <si>
    <t xml:space="preserve">3-102-841358 SOCIEDAD DE RESPONSABILIDAD LIMITADA  </t>
  </si>
  <si>
    <t>eitsolucionesindustriales@gmail.com</t>
  </si>
  <si>
    <t>SERVICIOS DE CONSULTORIA EN MANTENIMIENTO INDUSTRIAL Y MECANICO</t>
  </si>
  <si>
    <t>EIT</t>
  </si>
  <si>
    <t>0000002240</t>
  </si>
  <si>
    <t xml:space="preserve">TECKRONIC JK SOCIEDAD CIVIL SOCIEDAD CIVIL  </t>
  </si>
  <si>
    <t>KENNETH GABRIEL  FLORES FLORES</t>
  </si>
  <si>
    <t>603840326</t>
  </si>
  <si>
    <t xml:space="preserve">71440529            </t>
  </si>
  <si>
    <t>cv.ingenieria.cr@gmail.com</t>
  </si>
  <si>
    <t>CV INGENIERIA</t>
  </si>
  <si>
    <t>0000002242</t>
  </si>
  <si>
    <t xml:space="preserve">TILAPORTE SOCIEDAD ANONIMA  </t>
  </si>
  <si>
    <t>JOSE LUIS  ALVAREZ CHAVES</t>
  </si>
  <si>
    <t>502810284</t>
  </si>
  <si>
    <t xml:space="preserve">85622802            </t>
  </si>
  <si>
    <t>jose_luis271173@hotmail.com</t>
  </si>
  <si>
    <t>SERVICIOS ESPECIALES  ESTABLE TAXI</t>
  </si>
  <si>
    <t>TILAPORTE S.A</t>
  </si>
  <si>
    <t>0000000724</t>
  </si>
  <si>
    <t xml:space="preserve">BANCO DE COSTA RICA  </t>
  </si>
  <si>
    <t>OSVALDO  SOTO HERRERA</t>
  </si>
  <si>
    <t>204860786</t>
  </si>
  <si>
    <t xml:space="preserve">84824656            </t>
  </si>
  <si>
    <t xml:space="preserve">22111111            </t>
  </si>
  <si>
    <t>fideicomisocoopemexbcr@bp.fi.cr</t>
  </si>
  <si>
    <t>SERVICIOS FINANCIEROS</t>
  </si>
  <si>
    <t>BANCO DE COSTA RICA.</t>
  </si>
  <si>
    <t>00006324</t>
  </si>
  <si>
    <t>100M N Y 200M E DEL MERCADO MUNICIPAL. Actual BCR.</t>
  </si>
  <si>
    <t>0000000811</t>
  </si>
  <si>
    <t>JOSE DARIO  SOLANO BADILLA</t>
  </si>
  <si>
    <t>112920691</t>
  </si>
  <si>
    <t>BANCO NACIONAL DE TILARAN</t>
  </si>
  <si>
    <t>00007508</t>
  </si>
  <si>
    <t>100 SUR Y 100 OESTE DE LA IGLESIA CATOLICA</t>
  </si>
  <si>
    <t>0000000812</t>
  </si>
  <si>
    <t>BANCO NACIONAL DE ARENAL</t>
  </si>
  <si>
    <t>00055447</t>
  </si>
  <si>
    <t>COSTADO OESTE DE LA PLAZA, ARENAL</t>
  </si>
  <si>
    <t>0000000813</t>
  </si>
  <si>
    <t xml:space="preserve">BANCO POPULAR Y DE DESARROLLO COMUNAL  </t>
  </si>
  <si>
    <t xml:space="preserve">86356125            </t>
  </si>
  <si>
    <t xml:space="preserve">21047236            </t>
  </si>
  <si>
    <t>impuestos@bp.fi.cr</t>
  </si>
  <si>
    <t>BANCO POPULAR</t>
  </si>
  <si>
    <t>00085606</t>
  </si>
  <si>
    <t>DE LA CRUZ ROJA 25 MTS ESTE, EDIFICIO MANO IZQUIERDA</t>
  </si>
  <si>
    <t>0000000814</t>
  </si>
  <si>
    <t xml:space="preserve">IT UP TECHNOLOGY SOCIEDAD DE RESPONSABILIDAD LIMIT  </t>
  </si>
  <si>
    <t xml:space="preserve">89354510            </t>
  </si>
  <si>
    <t>contabilidad.itup@gmail.com</t>
  </si>
  <si>
    <t>SERVICIOS INFORMATICOS</t>
  </si>
  <si>
    <t>IT UP TECHNOLOGYS</t>
  </si>
  <si>
    <t xml:space="preserve">86221719            </t>
  </si>
  <si>
    <t>0000001284</t>
  </si>
  <si>
    <t>YORHANY  HERRERA ARIAS</t>
  </si>
  <si>
    <t xml:space="preserve">88880404            </t>
  </si>
  <si>
    <t>yorhanyher@yahoo.es</t>
  </si>
  <si>
    <t>SERVICIOS RESIDENCIALES DE ATENCION AL ADULTO MAYOR</t>
  </si>
  <si>
    <t>BLUE HAVEN</t>
  </si>
  <si>
    <t>3102811457</t>
  </si>
  <si>
    <t xml:space="preserve">GOLDEN CLOUDS SOCIEDAD DE RESPONSABILIDAD LIMITADA  </t>
  </si>
  <si>
    <t xml:space="preserve">88999885            </t>
  </si>
  <si>
    <t>lance.mccarthy@live.com</t>
  </si>
  <si>
    <t>00041214</t>
  </si>
  <si>
    <t>1 KM ESTE DEL CRUCE DE GUATUSO TILARAN</t>
  </si>
  <si>
    <t>0000002248</t>
  </si>
  <si>
    <t xml:space="preserve">CLARO CR TELECOMUNICACIONES SOCIEDAD ANONIMA  </t>
  </si>
  <si>
    <t xml:space="preserve">70743221            </t>
  </si>
  <si>
    <t>jeremy.rojas@claro.cr</t>
  </si>
  <si>
    <t>SERVICIOS TELECOMUNICACION</t>
  </si>
  <si>
    <t>CLARO CR TELECOMUNICACIONES S.</t>
  </si>
  <si>
    <t>3101288987</t>
  </si>
  <si>
    <t xml:space="preserve">LOS PELONES DEL CERRO SOCIEDAD ANONIMA  </t>
  </si>
  <si>
    <t xml:space="preserve">83497721            </t>
  </si>
  <si>
    <t xml:space="preserve">369046.34           </t>
  </si>
  <si>
    <t>00121915</t>
  </si>
  <si>
    <t>300M N.O. TORRES DEL ICE CERRO SAN JOSE LIBANO TILARAN GTE</t>
  </si>
  <si>
    <t>0000000711</t>
  </si>
  <si>
    <t>CLARO CR TELECOMUNICACIONES S</t>
  </si>
  <si>
    <t>00039795</t>
  </si>
  <si>
    <t>150M OESTE DE LA IGLESIA CATOLICA DE TRONADORA</t>
  </si>
  <si>
    <t>0000000712</t>
  </si>
  <si>
    <t>3101580027</t>
  </si>
  <si>
    <t xml:space="preserve">INVERSIONES CONSOL DE ARENAL SOCIEDAD ANONIMA  </t>
  </si>
  <si>
    <t>00211898</t>
  </si>
  <si>
    <t>COSTADO S GASOLINERA ARENAL</t>
  </si>
  <si>
    <t>0000000713</t>
  </si>
  <si>
    <t>3101810035</t>
  </si>
  <si>
    <t xml:space="preserve">BRISA FRESCA DE TILARAN SOCIEDAD ANONIMA  </t>
  </si>
  <si>
    <t>00013515</t>
  </si>
  <si>
    <t>100 M NORTE 80 M ESTE DEL MERCADO MUNICIPAL</t>
  </si>
  <si>
    <t>0000000714</t>
  </si>
  <si>
    <t xml:space="preserve">MILLICOM CABLE COSTA RICA SOCIEDAD ANONIMA  </t>
  </si>
  <si>
    <t xml:space="preserve">60669439            </t>
  </si>
  <si>
    <t>notificacionesimpuestos@tigo.co.cr</t>
  </si>
  <si>
    <t>TIGO</t>
  </si>
  <si>
    <t>0000001410</t>
  </si>
  <si>
    <t xml:space="preserve">T R A N S D A T E L E C O M SOCIEDAD ANONIMA  </t>
  </si>
  <si>
    <t xml:space="preserve">60427359            </t>
  </si>
  <si>
    <t>evivese@transdatelecom.com</t>
  </si>
  <si>
    <t>TRANSDATELECOM SUPERCABLE</t>
  </si>
  <si>
    <t>3101788408</t>
  </si>
  <si>
    <t xml:space="preserve">FERRETERIA F Y M ARENAL SOCIEDAD ANONIMA  </t>
  </si>
  <si>
    <t xml:space="preserve">85894469            </t>
  </si>
  <si>
    <t>fchavesc.84@gmail.com</t>
  </si>
  <si>
    <t>00055469</t>
  </si>
  <si>
    <t>COSTADO SUR DE LA IGLESIA CATOLICA</t>
  </si>
  <si>
    <t>0000001218</t>
  </si>
  <si>
    <t>ADIEL ISAAC  PICADO PRENDAS</t>
  </si>
  <si>
    <t xml:space="preserve">88005401            </t>
  </si>
  <si>
    <t>adi.isaac87@gmail.com</t>
  </si>
  <si>
    <t>SODA</t>
  </si>
  <si>
    <t>SUAPI THE BUTTERFLY HOUSE</t>
  </si>
  <si>
    <t>0000000928</t>
  </si>
  <si>
    <t>ANA LISBETH  SOTO MORA</t>
  </si>
  <si>
    <t xml:space="preserve">85671655            </t>
  </si>
  <si>
    <t>lisbsoto@yahoo.com</t>
  </si>
  <si>
    <t>COMIDAS DOND'LIZ</t>
  </si>
  <si>
    <t>00038433</t>
  </si>
  <si>
    <t>COSTADO OESTE DE LA PLAZA DEPORTES DE TRONADORA</t>
  </si>
  <si>
    <t>0000000529</t>
  </si>
  <si>
    <t>SODA DOÑA CHILA</t>
  </si>
  <si>
    <t>0000001928</t>
  </si>
  <si>
    <t>0000000490</t>
  </si>
  <si>
    <t xml:space="preserve">ASOCIACION DE DESARROLLO INTEGRAL DE LOS ANGELES T  </t>
  </si>
  <si>
    <t xml:space="preserve">64290298            </t>
  </si>
  <si>
    <t>adilat.losangeles@gmail.com</t>
  </si>
  <si>
    <t>COCINA COMUNAL LOS ANGELES</t>
  </si>
  <si>
    <t>3002115814</t>
  </si>
  <si>
    <t>00900630</t>
  </si>
  <si>
    <t>COSTADO N IGLESIA CATOLICA LOS ANGELES</t>
  </si>
  <si>
    <t>0000002029</t>
  </si>
  <si>
    <t>SODA ARENAL</t>
  </si>
  <si>
    <t>0000000271</t>
  </si>
  <si>
    <t>CAROLINA CRISTINA  FERNANDEZ HERRERA</t>
  </si>
  <si>
    <t xml:space="preserve">88416019            </t>
  </si>
  <si>
    <t xml:space="preserve">87410152            </t>
  </si>
  <si>
    <t>kahory0671@hotmail.com</t>
  </si>
  <si>
    <t>!LISAN NAZAR.</t>
  </si>
  <si>
    <t>107860961</t>
  </si>
  <si>
    <t>00049312</t>
  </si>
  <si>
    <t>25 MTS OESTE DEL BANCO NACIONAL</t>
  </si>
  <si>
    <t>0000000030</t>
  </si>
  <si>
    <t>CECILIA VICTORIA  MOREIRA BENAVIDES</t>
  </si>
  <si>
    <t xml:space="preserve">26953271            </t>
  </si>
  <si>
    <t>ceciliamorera5@hotmail.com</t>
  </si>
  <si>
    <t>MC LA PASADITA</t>
  </si>
  <si>
    <t>0000001888</t>
  </si>
  <si>
    <t>CHRISTOPHER ANTONIO  RETANA DELGADO</t>
  </si>
  <si>
    <t xml:space="preserve">86064014            </t>
  </si>
  <si>
    <t>christopeherrd1994@gmail.com</t>
  </si>
  <si>
    <t>SODA TIA ANAIS</t>
  </si>
  <si>
    <t>0000000484</t>
  </si>
  <si>
    <t>SODA RIO PIEDRAS</t>
  </si>
  <si>
    <t>0000001026</t>
  </si>
  <si>
    <t>DARLING CONSUELO  CAMAS ARAUZ</t>
  </si>
  <si>
    <t xml:space="preserve">85001438            </t>
  </si>
  <si>
    <t>darlingc1896@gmail.com</t>
  </si>
  <si>
    <t>SODA LA PARADA</t>
  </si>
  <si>
    <t>00055684</t>
  </si>
  <si>
    <t>50M S REDONDEL ARENAL</t>
  </si>
  <si>
    <t>0000000579</t>
  </si>
  <si>
    <t>DIANA PATRICIA  CRUZ ARIAS</t>
  </si>
  <si>
    <t xml:space="preserve">61838451            </t>
  </si>
  <si>
    <t>dibastianto@gmail.com</t>
  </si>
  <si>
    <t>POLLOS CHEKYS</t>
  </si>
  <si>
    <t>207770386</t>
  </si>
  <si>
    <t>0000002169</t>
  </si>
  <si>
    <t>EDEN  MURILLO TORRES</t>
  </si>
  <si>
    <t xml:space="preserve">64733054            </t>
  </si>
  <si>
    <t>edenmurillo2020@gmail.com</t>
  </si>
  <si>
    <t>LAVA LAKE CAFÉ</t>
  </si>
  <si>
    <t>500660764</t>
  </si>
  <si>
    <t>FLORITA DEL CARMEN  MASIS SOLANO</t>
  </si>
  <si>
    <t xml:space="preserve">87087135            </t>
  </si>
  <si>
    <t>00084760</t>
  </si>
  <si>
    <t>75 M OESTE DE LA PLAZA DE DEPORTES TRONADORA</t>
  </si>
  <si>
    <t>0000002229</t>
  </si>
  <si>
    <t>QUEKO´S RESTAURANT</t>
  </si>
  <si>
    <t>00060844</t>
  </si>
  <si>
    <t>COSTADO SUR DE LA CATEDRAL DE TILARAN</t>
  </si>
  <si>
    <t>0000002171</t>
  </si>
  <si>
    <t>ESTRELLA ISABEL  RODRIGUEZ CASTRO</t>
  </si>
  <si>
    <t xml:space="preserve">88145590            </t>
  </si>
  <si>
    <t xml:space="preserve">26956949            </t>
  </si>
  <si>
    <t>estrellitacastro2016@gmail.com</t>
  </si>
  <si>
    <t>SUPER POLLO</t>
  </si>
  <si>
    <t>0000001138</t>
  </si>
  <si>
    <t xml:space="preserve">GRA DOS SETENTA Y CINCO OESTE TILARAN SOCIEDAD DE   </t>
  </si>
  <si>
    <t>JORGE ARTURO  AGUILAR RODRIGUEZ</t>
  </si>
  <si>
    <t>503020702</t>
  </si>
  <si>
    <t xml:space="preserve">87019455            </t>
  </si>
  <si>
    <t xml:space="preserve">26955664            </t>
  </si>
  <si>
    <t>arturoaguilar212121@gmail.com</t>
  </si>
  <si>
    <t>LA CASITA DEL CEVICHE</t>
  </si>
  <si>
    <t>112400333</t>
  </si>
  <si>
    <t>GINNETTE KRISTAL  ACUÑA CRUZ</t>
  </si>
  <si>
    <t xml:space="preserve">88210011            </t>
  </si>
  <si>
    <t>ginnethacuna@gmail.com</t>
  </si>
  <si>
    <t>00068746</t>
  </si>
  <si>
    <t>75 MTS OESTE DEL BANCO NACIONAL</t>
  </si>
  <si>
    <t>0000002098</t>
  </si>
  <si>
    <t>GREIVIN GERARDO  VASQUEZ GONZALEZ</t>
  </si>
  <si>
    <t xml:space="preserve">87628640            </t>
  </si>
  <si>
    <t>greivinvaz@gmail.com</t>
  </si>
  <si>
    <t>SODA LA FLORIDA</t>
  </si>
  <si>
    <t>204380183</t>
  </si>
  <si>
    <t>ELIZABETH DEL CARMEN  GONZALEZ CORDERO</t>
  </si>
  <si>
    <t>berbarza690@gmail.com</t>
  </si>
  <si>
    <t>00169598</t>
  </si>
  <si>
    <t>1KM.NORTE DE LA ESCUELA LOS PATIOS</t>
  </si>
  <si>
    <t>0000002056</t>
  </si>
  <si>
    <t>GUISELLE ANDREA  MORALES CORRALES</t>
  </si>
  <si>
    <t xml:space="preserve">88040515            </t>
  </si>
  <si>
    <t>guismorales83@gmail.com</t>
  </si>
  <si>
    <t>Soda El Ranchito</t>
  </si>
  <si>
    <t>501020476</t>
  </si>
  <si>
    <t>ZEIDY DEL SOCORRO  VARGAS HERRERA</t>
  </si>
  <si>
    <t xml:space="preserve">89439486            </t>
  </si>
  <si>
    <t xml:space="preserve">87861054            </t>
  </si>
  <si>
    <t>tiendazeydi74@gmail.com</t>
  </si>
  <si>
    <t>00055505</t>
  </si>
  <si>
    <t>COSTADO OESTE DE SUPERCOMPRO,ARENAL</t>
  </si>
  <si>
    <t>0000001852</t>
  </si>
  <si>
    <t>HAZEL MARIANA  MEJIAS ALFARO</t>
  </si>
  <si>
    <t xml:space="preserve">85582490            </t>
  </si>
  <si>
    <t xml:space="preserve">88501616            </t>
  </si>
  <si>
    <t>rusticotilarancafeteria@gmail.com</t>
  </si>
  <si>
    <t>RÚSTICO CAFETERÍA</t>
  </si>
  <si>
    <t>3101511523</t>
  </si>
  <si>
    <t xml:space="preserve">INVERSIONES DE DESARROLLO FALOM SOCIEDAD ANONIMA  </t>
  </si>
  <si>
    <t xml:space="preserve">83743606            </t>
  </si>
  <si>
    <t>jmurilloso@gmail.com</t>
  </si>
  <si>
    <t>00012639</t>
  </si>
  <si>
    <t>100 MTS ESTE DEL LICEO MAURILIO ALVARADO VARGAS</t>
  </si>
  <si>
    <t>0000001259</t>
  </si>
  <si>
    <t>HELBERTH JOSE  CORRALES JIMENEZ</t>
  </si>
  <si>
    <t xml:space="preserve">86959592            </t>
  </si>
  <si>
    <t>helberth263@gmail.com</t>
  </si>
  <si>
    <t xml:space="preserve">EL BUEN SUSHI																						</t>
  </si>
  <si>
    <t>0000002230</t>
  </si>
  <si>
    <t>RESTAURANTE GUADALUPE</t>
  </si>
  <si>
    <t>0000000291</t>
  </si>
  <si>
    <t>JIMMY GUSTAVO  BARRIENTOS CAMPOS</t>
  </si>
  <si>
    <t xml:space="preserve">85397395            </t>
  </si>
  <si>
    <t>gustavor2318@gmail.com</t>
  </si>
  <si>
    <t>SODA LA MACHA</t>
  </si>
  <si>
    <t>602690554</t>
  </si>
  <si>
    <t>HAROLD DE JESUS  LOPEZ CARRILLO</t>
  </si>
  <si>
    <t xml:space="preserve">84724438            </t>
  </si>
  <si>
    <t xml:space="preserve">89848632            </t>
  </si>
  <si>
    <t>haroldlopezcarrillo@gmail.com</t>
  </si>
  <si>
    <t>00113873</t>
  </si>
  <si>
    <t>100 MTS AL SUR DEL SALON COMUNAL RIO PIEDRAS</t>
  </si>
  <si>
    <t>0000001882</t>
  </si>
  <si>
    <t>JOHANNA DEL SOCORRO  ZAVALA SALGADO</t>
  </si>
  <si>
    <t xml:space="preserve">89978096            </t>
  </si>
  <si>
    <t>johasalgado74@gmail.com</t>
  </si>
  <si>
    <t>Soda Johanna</t>
  </si>
  <si>
    <t>0000002118</t>
  </si>
  <si>
    <t>JOSE FRANCISCO  MUÑOZ VINDAS</t>
  </si>
  <si>
    <t xml:space="preserve">87093645            </t>
  </si>
  <si>
    <t>jose1996_25@hotmail.com</t>
  </si>
  <si>
    <t xml:space="preserve">SODA KATY																						</t>
  </si>
  <si>
    <t>501990632</t>
  </si>
  <si>
    <t>LUCIA ISABEL DEL CARMEN  GONZALEZ RUIZ</t>
  </si>
  <si>
    <t xml:space="preserve">88266910            </t>
  </si>
  <si>
    <t>lucytila1@hotmail.es</t>
  </si>
  <si>
    <t>00092721</t>
  </si>
  <si>
    <t>COSTADO OESTE DE LA  CLINICA, TILARAN.</t>
  </si>
  <si>
    <t>0000002226</t>
  </si>
  <si>
    <t>KAREN TATIANA  CALDERON QUESADA</t>
  </si>
  <si>
    <t xml:space="preserve">60397959            </t>
  </si>
  <si>
    <t>katcq1987@gmail.com</t>
  </si>
  <si>
    <t xml:space="preserve">LA GALLERA																						</t>
  </si>
  <si>
    <t>111980560</t>
  </si>
  <si>
    <t>HANZEL  ELIZONDO VEGA</t>
  </si>
  <si>
    <t xml:space="preserve">88222218            </t>
  </si>
  <si>
    <t>hanzelelizondo@gmail.com</t>
  </si>
  <si>
    <t>00211583</t>
  </si>
  <si>
    <t>100 M NORESTE DE LA CENTRAL TELEFÓNICA ICE, LOS ANGELES, SANTA ROSA.</t>
  </si>
  <si>
    <t>0000002264</t>
  </si>
  <si>
    <t>LIDIA DE LOS ANGELES  MUÑOZ VILLEGAS</t>
  </si>
  <si>
    <t xml:space="preserve">84938133            </t>
  </si>
  <si>
    <t xml:space="preserve">26958223            </t>
  </si>
  <si>
    <t>84938133lidia@gmail.com</t>
  </si>
  <si>
    <t>SODA LA FAMILIA</t>
  </si>
  <si>
    <t>0000000301</t>
  </si>
  <si>
    <t>LILIANA  HERRERA BLANCO</t>
  </si>
  <si>
    <t xml:space="preserve">61638915            </t>
  </si>
  <si>
    <t>iherrera2310@gmail.com</t>
  </si>
  <si>
    <t>NANI FOOD</t>
  </si>
  <si>
    <t>105630147</t>
  </si>
  <si>
    <t>JORGE ARTURO  SOLANO BUSTOS</t>
  </si>
  <si>
    <t xml:space="preserve">83535200            </t>
  </si>
  <si>
    <t>jorsol1961@gmail.com</t>
  </si>
  <si>
    <t>00071131</t>
  </si>
  <si>
    <t>75 MTS SUR DEL CEMENTERIO</t>
  </si>
  <si>
    <t>0000001750</t>
  </si>
  <si>
    <t>LIZBETH MARIA  MAIRENA GUADAMUZ</t>
  </si>
  <si>
    <t xml:space="preserve">84644154            </t>
  </si>
  <si>
    <t>lisjap.08@gmail.com</t>
  </si>
  <si>
    <t>PANADERÍA Y SODA ANNGIE</t>
  </si>
  <si>
    <t>0000001073</t>
  </si>
  <si>
    <t>0000002238</t>
  </si>
  <si>
    <t>MARGARITA DEL SOCORRO  CASTRO ARTAVIA</t>
  </si>
  <si>
    <t xml:space="preserve">86157912            </t>
  </si>
  <si>
    <t xml:space="preserve">87191438            </t>
  </si>
  <si>
    <t>rodriguezcastroidalia@gmail.com</t>
  </si>
  <si>
    <t>SODA MAGUITA</t>
  </si>
  <si>
    <t>500880375</t>
  </si>
  <si>
    <t>00061686</t>
  </si>
  <si>
    <t>325 M SUR DEL MAG</t>
  </si>
  <si>
    <t>0000000162</t>
  </si>
  <si>
    <t>MARIA ALEJANDRA  MONESTEL MUÑOZ</t>
  </si>
  <si>
    <t xml:space="preserve">62654834            </t>
  </si>
  <si>
    <t xml:space="preserve">87375429            </t>
  </si>
  <si>
    <t>alejandramonestel7@gmail.com</t>
  </si>
  <si>
    <t>FULL HOUSE</t>
  </si>
  <si>
    <t>3101026911</t>
  </si>
  <si>
    <t xml:space="preserve">LOS ARRIEROS SOCIEDAD ANONIMA  </t>
  </si>
  <si>
    <t xml:space="preserve">88195705            </t>
  </si>
  <si>
    <t xml:space="preserve">26955096            </t>
  </si>
  <si>
    <t>aelizondomurillo@gmail.com</t>
  </si>
  <si>
    <t>00036654</t>
  </si>
  <si>
    <t>FRENTE AL LICEO MAURILIO ALVARADO VARGAS</t>
  </si>
  <si>
    <t>0000000926</t>
  </si>
  <si>
    <t>MARIA MARGARITA  CARRANZA PORRAS</t>
  </si>
  <si>
    <t xml:space="preserve">83185059            </t>
  </si>
  <si>
    <t>magalycarranza41@gmail.com</t>
  </si>
  <si>
    <t>SODA EL VIAJERO</t>
  </si>
  <si>
    <t>0000000299</t>
  </si>
  <si>
    <t>0000000016</t>
  </si>
  <si>
    <t>MARILIANA  ULLOA SOLORZANO</t>
  </si>
  <si>
    <t xml:space="preserve">86911221            </t>
  </si>
  <si>
    <t>mariliana_ulloa@yahoo.es</t>
  </si>
  <si>
    <t>SODA EL NILO</t>
  </si>
  <si>
    <t>500690377</t>
  </si>
  <si>
    <t>CARLOS LUIS DE JESUS  SOLORZANO MURILLO</t>
  </si>
  <si>
    <t xml:space="preserve">87606846            </t>
  </si>
  <si>
    <t xml:space="preserve">26958270            </t>
  </si>
  <si>
    <t>00210105</t>
  </si>
  <si>
    <t>DIAGONAL AL BANCO DE COSTA RICA TILARAN</t>
  </si>
  <si>
    <t>0000001091</t>
  </si>
  <si>
    <t>MARIO ENRIQUE  DELGADO SOLORZANO</t>
  </si>
  <si>
    <t xml:space="preserve">83800088            </t>
  </si>
  <si>
    <t>madeso33@hotmail.com</t>
  </si>
  <si>
    <t>SODA TIPICA EL MERCADO</t>
  </si>
  <si>
    <t>0000002048</t>
  </si>
  <si>
    <t>LA PASADITA</t>
  </si>
  <si>
    <t>0000000366</t>
  </si>
  <si>
    <t>MERIZ DEL CARMEN  FONSECA HURTADO</t>
  </si>
  <si>
    <t xml:space="preserve">88969265            </t>
  </si>
  <si>
    <t xml:space="preserve">83022932            </t>
  </si>
  <si>
    <t>dsibajavargas@yahoo.com</t>
  </si>
  <si>
    <t>SODA LOKOS TRUCK</t>
  </si>
  <si>
    <t>501570910</t>
  </si>
  <si>
    <t>MARIA DE LOS ANGELES  VARGAS RIVERA</t>
  </si>
  <si>
    <t>00262059</t>
  </si>
  <si>
    <t>350 M OESTE DE LA  ESCUELA, ARENAL</t>
  </si>
  <si>
    <t>0000002141</t>
  </si>
  <si>
    <t>NATALIA  HERRERA RODRIGUEZ</t>
  </si>
  <si>
    <t xml:space="preserve">87795921            </t>
  </si>
  <si>
    <t>soda.lmav@gmail.com</t>
  </si>
  <si>
    <t>SODA EL COLE</t>
  </si>
  <si>
    <t>3008051090</t>
  </si>
  <si>
    <t xml:space="preserve">JUNTA ADMINISTRATIVA LICEO MAURILIO ALVARADO VARGA  </t>
  </si>
  <si>
    <t xml:space="preserve">83205935            </t>
  </si>
  <si>
    <t xml:space="preserve">26956091            </t>
  </si>
  <si>
    <t>3008051090@junta.mep.go.cr</t>
  </si>
  <si>
    <t>00200143</t>
  </si>
  <si>
    <t>175 mts al Este de la Gasolinera Tilarán. Liceo Maurilio Alvarado</t>
  </si>
  <si>
    <t>0000001662</t>
  </si>
  <si>
    <t>PANADERÍA BARON</t>
  </si>
  <si>
    <t>0000000663</t>
  </si>
  <si>
    <t>0000001681</t>
  </si>
  <si>
    <t>RAFAELA MARIXA  ESQUIVEL VILLEGAS</t>
  </si>
  <si>
    <t xml:space="preserve">61113461            </t>
  </si>
  <si>
    <t>maritzaesquivelvillegas@gmail.com</t>
  </si>
  <si>
    <t>DELICIAS DEL PELADO</t>
  </si>
  <si>
    <t>502740235</t>
  </si>
  <si>
    <t>INGRID DE LOS ANGELES  BARRANTES SALAZAR</t>
  </si>
  <si>
    <t xml:space="preserve">22371003            </t>
  </si>
  <si>
    <t>barrantesingrid1@gmail.com</t>
  </si>
  <si>
    <t>00195571</t>
  </si>
  <si>
    <t>CONTIGUO A ENTRADA AL CERRO PELADO</t>
  </si>
  <si>
    <t>0000001283</t>
  </si>
  <si>
    <t>RENE IVAN GARCIA DE  LA CRUZ</t>
  </si>
  <si>
    <t xml:space="preserve">64245301            </t>
  </si>
  <si>
    <t>tecnostoretilaran@gmail.com</t>
  </si>
  <si>
    <t>TILATACOS</t>
  </si>
  <si>
    <t>0000001993</t>
  </si>
  <si>
    <t>ROSALIA GERARDINA  ARIAS GONZALEZ</t>
  </si>
  <si>
    <t xml:space="preserve">87439094            </t>
  </si>
  <si>
    <t>rosalia.g.arias@gmail.com</t>
  </si>
  <si>
    <t>CASITA DEL CEVICHE</t>
  </si>
  <si>
    <t>0000002233</t>
  </si>
  <si>
    <t>SERGIO YAMIL  TRIGUEROS GARCIA</t>
  </si>
  <si>
    <t xml:space="preserve">86236511            </t>
  </si>
  <si>
    <t>yamil34@gmail.com</t>
  </si>
  <si>
    <t>COFFE SHOP</t>
  </si>
  <si>
    <t>106490147</t>
  </si>
  <si>
    <t>JUAN JOSE JENKINS HERRERA</t>
  </si>
  <si>
    <t xml:space="preserve">84248473            </t>
  </si>
  <si>
    <t>jenkinsjj@hotmail.com</t>
  </si>
  <si>
    <t>00900821</t>
  </si>
  <si>
    <t>300 M NORTE DEL HOTEL LA MANSION, ARENAL</t>
  </si>
  <si>
    <t>0000001734</t>
  </si>
  <si>
    <t>SILVIA ISABEL  ALEMAN VARGAS</t>
  </si>
  <si>
    <t xml:space="preserve">88125988            </t>
  </si>
  <si>
    <t>silvialeman22@gmail.com</t>
  </si>
  <si>
    <t>ENTRE SABORES RESTAURANTE RS</t>
  </si>
  <si>
    <t>00012444</t>
  </si>
  <si>
    <t>0000001347</t>
  </si>
  <si>
    <t>STEVEN ARTURO  VARGAS CHACON</t>
  </si>
  <si>
    <t xml:space="preserve">62824653            </t>
  </si>
  <si>
    <t>svch62@gmail.com</t>
  </si>
  <si>
    <t>JAGUAR URBAN GRILL</t>
  </si>
  <si>
    <t>303810483</t>
  </si>
  <si>
    <t>00137274</t>
  </si>
  <si>
    <t>300 M SUR DE CATEDRAL, "GUARDERIA QUERUBIN" COSITAS Y MAS, TILARAN.</t>
  </si>
  <si>
    <t>0000002112</t>
  </si>
  <si>
    <t xml:space="preserve">SUMEI WU </t>
  </si>
  <si>
    <t xml:space="preserve">87557636            </t>
  </si>
  <si>
    <t>641040435@qq.com</t>
  </si>
  <si>
    <t>SODA MIKA</t>
  </si>
  <si>
    <t>0000002131</t>
  </si>
  <si>
    <t>TYRONE ROBER  RODRIGUEZ VANEGAS</t>
  </si>
  <si>
    <t xml:space="preserve">89981234            </t>
  </si>
  <si>
    <t>chefftay@gmail.com</t>
  </si>
  <si>
    <t>"BRISAS DEL LAGO"</t>
  </si>
  <si>
    <t>155800045026</t>
  </si>
  <si>
    <t>00121738</t>
  </si>
  <si>
    <t>FRENTE ABAST.LA HOJA SAN LUIS TILARAN "BRISAS DEL LAGO"</t>
  </si>
  <si>
    <t>0000000569</t>
  </si>
  <si>
    <t>VIANNEY DE LOS ANGELES  VILLALOBOS RIVERA</t>
  </si>
  <si>
    <t xml:space="preserve">85889234            </t>
  </si>
  <si>
    <t>vianeyrivera1966@gmail.com</t>
  </si>
  <si>
    <t>SODA LA PLAZA</t>
  </si>
  <si>
    <t>00055679</t>
  </si>
  <si>
    <t>PLAZA DEPORTES ARENAL</t>
  </si>
  <si>
    <t>0000001191</t>
  </si>
  <si>
    <t>WALTER SEBASTIAN  RAMIREZ NUÑEZ</t>
  </si>
  <si>
    <t xml:space="preserve">85015414            </t>
  </si>
  <si>
    <t xml:space="preserve">85048018            </t>
  </si>
  <si>
    <t>lachozadelsabor25@gmail.com</t>
  </si>
  <si>
    <t>La Choza del Sabor</t>
  </si>
  <si>
    <t>503520593</t>
  </si>
  <si>
    <t>GAUDY DAYANE  LOPEZ MARTINEZ</t>
  </si>
  <si>
    <t xml:space="preserve">88533694            </t>
  </si>
  <si>
    <t>lopezmartinezgaudy@gmail.com</t>
  </si>
  <si>
    <t>00031295</t>
  </si>
  <si>
    <t>80 SUR GUARDIA DE ASISTENCIA RURAL, TILARAN, CENTRO</t>
  </si>
  <si>
    <t>0000002116</t>
  </si>
  <si>
    <t>YAJAIRA AUXILIADORA  ROJAS GARCIA</t>
  </si>
  <si>
    <t xml:space="preserve">86149852            </t>
  </si>
  <si>
    <t>yajaroga74@gmail.com</t>
  </si>
  <si>
    <t>SODA NACHO</t>
  </si>
  <si>
    <t>0000000946</t>
  </si>
  <si>
    <t>YIRIMAY  CHAVES DELGADO</t>
  </si>
  <si>
    <t xml:space="preserve">63713477            </t>
  </si>
  <si>
    <t>sergiomurillo1795@gmail.com</t>
  </si>
  <si>
    <t>SODA MANA</t>
  </si>
  <si>
    <t>0000002183</t>
  </si>
  <si>
    <t>SOUVENIR</t>
  </si>
  <si>
    <t>0000000596</t>
  </si>
  <si>
    <t>MARIA LUZMILA DE LA  TORRE MORALES</t>
  </si>
  <si>
    <t xml:space="preserve">63836905            </t>
  </si>
  <si>
    <t>milacr20101@hotmail.com</t>
  </si>
  <si>
    <t>SUMAG INCA</t>
  </si>
  <si>
    <t>106890660</t>
  </si>
  <si>
    <t>FAUSTO ALBERTO  MARIN JENKINS</t>
  </si>
  <si>
    <t xml:space="preserve">83831746            </t>
  </si>
  <si>
    <t>fmarini@gmail.com</t>
  </si>
  <si>
    <t>00055539</t>
  </si>
  <si>
    <t>300 M SUR DEL GIMNASIO, ARENAL.</t>
  </si>
  <si>
    <t>0000001941</t>
  </si>
  <si>
    <t>MAYNOR RAFAEL  RODRIGUEZ RAMIREZ</t>
  </si>
  <si>
    <t xml:space="preserve">85561642            </t>
  </si>
  <si>
    <t>minorodramirez@gmail.com</t>
  </si>
  <si>
    <t>MAYNOR ART</t>
  </si>
  <si>
    <t>501110143</t>
  </si>
  <si>
    <t>ANGELA DEL SOCORRO  RAMIREZ VINDAS</t>
  </si>
  <si>
    <t>notiene@tilaran.go.cr</t>
  </si>
  <si>
    <t>00023316</t>
  </si>
  <si>
    <t>50M NORTE DE LA ESCUELA LAS BRISAS, CABECERAS</t>
  </si>
  <si>
    <t>0000001991</t>
  </si>
  <si>
    <t>MONICA  TRIGUEROS WOLMERS</t>
  </si>
  <si>
    <t xml:space="preserve">84097920            </t>
  </si>
  <si>
    <t>triwolmoni09@gmail.com</t>
  </si>
  <si>
    <t>Ayanti GiftShop</t>
  </si>
  <si>
    <t>501590519</t>
  </si>
  <si>
    <t>JUAN ALVARO  MENDEZ CASTRO</t>
  </si>
  <si>
    <t xml:space="preserve">83143903            </t>
  </si>
  <si>
    <t>amcmicit@gmail.com</t>
  </si>
  <si>
    <t>00055542</t>
  </si>
  <si>
    <t>475 M S GIMNASIO, ARENAL</t>
  </si>
  <si>
    <t>0000001740</t>
  </si>
  <si>
    <t>SOUVENIR CABALLO NEGRO</t>
  </si>
  <si>
    <t>0000001785</t>
  </si>
  <si>
    <t>0000001939</t>
  </si>
  <si>
    <t>SOUVENIR EL TIGRE</t>
  </si>
  <si>
    <t>0000001710</t>
  </si>
  <si>
    <t>0000001731</t>
  </si>
  <si>
    <t>YERLYN YANELLA  CAMPOS SILVA</t>
  </si>
  <si>
    <t>SOUVENIR MACADAMIA</t>
  </si>
  <si>
    <t>0000001128</t>
  </si>
  <si>
    <t>SUBASTA DE GANADO</t>
  </si>
  <si>
    <t>SUBASTA GANADERA</t>
  </si>
  <si>
    <t>0000001206</t>
  </si>
  <si>
    <t xml:space="preserve">CASAVARIEDADES SOCIEDAD ANONIMA  </t>
  </si>
  <si>
    <t xml:space="preserve">84282957            </t>
  </si>
  <si>
    <t xml:space="preserve">26456714            </t>
  </si>
  <si>
    <t>info@casavariedades.com</t>
  </si>
  <si>
    <t>SUPERMERCADO</t>
  </si>
  <si>
    <t>SUPER PORTICO</t>
  </si>
  <si>
    <t>0000000935</t>
  </si>
  <si>
    <t xml:space="preserve">CORPORACION DE SUPERMERCADOS UNIDOS SOCIEDAD DE RE  </t>
  </si>
  <si>
    <t>impuestoscr@walmart.com</t>
  </si>
  <si>
    <t>PALI TILARAN 3124</t>
  </si>
  <si>
    <t>3102007223</t>
  </si>
  <si>
    <t>00144746</t>
  </si>
  <si>
    <t>100 M OESTE DE LA CRUZ ROJA, TILARAN</t>
  </si>
  <si>
    <t>0000000781</t>
  </si>
  <si>
    <t xml:space="preserve">CORPORACION MEGASUPER SOCIEDAD ANONIMA  </t>
  </si>
  <si>
    <t xml:space="preserve">70206803            </t>
  </si>
  <si>
    <t xml:space="preserve">83072882            </t>
  </si>
  <si>
    <t>torozco@megasuper.com</t>
  </si>
  <si>
    <t>MEGASUPER TILARAN</t>
  </si>
  <si>
    <t>00037988</t>
  </si>
  <si>
    <t>50M SUR DE LA CRUZ ROJA, MEGA SUPER</t>
  </si>
  <si>
    <t>0000000607</t>
  </si>
  <si>
    <t xml:space="preserve">GRUPO EMPRESARIAL DE SUPERMERCADOS SOCIEDAD DE RES  </t>
  </si>
  <si>
    <t>ALEJANDRO  HERRERO PALOMO</t>
  </si>
  <si>
    <t>801580514</t>
  </si>
  <si>
    <t xml:space="preserve">60013827            </t>
  </si>
  <si>
    <t>JMUNOZ@GESSACR.COM</t>
  </si>
  <si>
    <t>SUPERCOMPRO TILARAN</t>
  </si>
  <si>
    <t>0000000674</t>
  </si>
  <si>
    <t>SUPERCOMPRO ARENAL</t>
  </si>
  <si>
    <t>00055503</t>
  </si>
  <si>
    <t>FERRETERIA EL CONSTRUCTOR ARENAL TILARAN</t>
  </si>
  <si>
    <t>0000000675</t>
  </si>
  <si>
    <t>JEFFRY GERARDO  SABALLOS MENDEZ</t>
  </si>
  <si>
    <t xml:space="preserve">84479736            </t>
  </si>
  <si>
    <t>jeffrey.saballos@hotmail.com</t>
  </si>
  <si>
    <t>S y Z SUPERMERCADO</t>
  </si>
  <si>
    <t>0000002103</t>
  </si>
  <si>
    <t>SYZ TIERRAS MORENAS</t>
  </si>
  <si>
    <t>109770243</t>
  </si>
  <si>
    <t>00181861</t>
  </si>
  <si>
    <t>75M ESTE DE PULPERIA FENIX</t>
  </si>
  <si>
    <t>0000002120</t>
  </si>
  <si>
    <t>JONATHAN ANDRES  ROJAS ZAMORA</t>
  </si>
  <si>
    <t xml:space="preserve">86504787            </t>
  </si>
  <si>
    <t>verduleriatatan@gmail.com</t>
  </si>
  <si>
    <t>MINISUPER TATAN JYP</t>
  </si>
  <si>
    <t>0000000973</t>
  </si>
  <si>
    <t>LEMUEL DAVID  CONEJO AZOFEIFA</t>
  </si>
  <si>
    <t xml:space="preserve">87182667            </t>
  </si>
  <si>
    <t>superarenalfe18@gmail.com</t>
  </si>
  <si>
    <t>!SUPER ARENAL.</t>
  </si>
  <si>
    <t>0000000139</t>
  </si>
  <si>
    <t>LUZ MARINA  CAMPOS BARRANTES</t>
  </si>
  <si>
    <t xml:space="preserve">88917288            </t>
  </si>
  <si>
    <t>lumacamp711@hotmail.com</t>
  </si>
  <si>
    <t>SUPER LOS ANGELES</t>
  </si>
  <si>
    <t>0000000481</t>
  </si>
  <si>
    <t xml:space="preserve">MARIO WU DOS MIL VEINTICINCO SOCIEDAD DE RESPONSAB  </t>
  </si>
  <si>
    <t xml:space="preserve">RUIHONG WU </t>
  </si>
  <si>
    <t>115600163011</t>
  </si>
  <si>
    <t xml:space="preserve">87022888            </t>
  </si>
  <si>
    <t>mario87022888@gmail.com</t>
  </si>
  <si>
    <t>SUPER RINDE</t>
  </si>
  <si>
    <t>3102730216</t>
  </si>
  <si>
    <t xml:space="preserve">FAMILIA RIU HUA SOCIEDAD DE RESPONSABILIDAD LIMITA  </t>
  </si>
  <si>
    <t>00020573</t>
  </si>
  <si>
    <t>100 MTS SUR DEL BANCO DE COSTA RICA, TILARÁN</t>
  </si>
  <si>
    <t>0000002161</t>
  </si>
  <si>
    <t>PANADERÍA Y MINISUPERO EL ALTO</t>
  </si>
  <si>
    <t>0000000238</t>
  </si>
  <si>
    <t>SUPER CIUDADELA</t>
  </si>
  <si>
    <t>00039049</t>
  </si>
  <si>
    <t>CONTIGUO AL SUPER CIUDADELA,CIUDADELA JUAN XXIII, TILARAN.</t>
  </si>
  <si>
    <t>0000000535</t>
  </si>
  <si>
    <t xml:space="preserve">MORPHO TRAVEL EXPERIENCE CR SOCIEDAD ANONIMA  </t>
  </si>
  <si>
    <t xml:space="preserve">85848101            </t>
  </si>
  <si>
    <t>contabilidadbscr@britt.com</t>
  </si>
  <si>
    <t>BRITTSHOP SKY MONTEVERDE</t>
  </si>
  <si>
    <t>0000000947</t>
  </si>
  <si>
    <t>ODALIS DEL CARMEN  BARRANTES NUÑEZ</t>
  </si>
  <si>
    <t xml:space="preserve">86042020            </t>
  </si>
  <si>
    <t>obarrantesnunez@gmail.com</t>
  </si>
  <si>
    <t>MINISUPER EL FÉNIX</t>
  </si>
  <si>
    <t>500930385</t>
  </si>
  <si>
    <t>ENUE NORA EMMA DEL CARMEN  NUÑEZ GONZALEZ</t>
  </si>
  <si>
    <t xml:space="preserve">86087210            </t>
  </si>
  <si>
    <t>00062615</t>
  </si>
  <si>
    <t>200M.NORTE 200M.ESTE DE LA IGLESIA TIERRAS MORENAS TILARAN</t>
  </si>
  <si>
    <t>0000001008</t>
  </si>
  <si>
    <t>OLGER  ARTAVIA VARGAS</t>
  </si>
  <si>
    <t xml:space="preserve">89636567            </t>
  </si>
  <si>
    <t xml:space="preserve">26958535            </t>
  </si>
  <si>
    <t>olarva@hotmail.com</t>
  </si>
  <si>
    <t>ABASTECEDOR CACHI</t>
  </si>
  <si>
    <t>203290468</t>
  </si>
  <si>
    <t>00113781</t>
  </si>
  <si>
    <t>FRENTE A LA IGLESIA CATOLICA, SAN LUIS, TILARAN</t>
  </si>
  <si>
    <t>0000000086</t>
  </si>
  <si>
    <t>RAFAEL ALEXIS DE JESUS  RODRIGUEZ ARIAS</t>
  </si>
  <si>
    <t xml:space="preserve">64355984            </t>
  </si>
  <si>
    <t>comercialelsol.cr@gmail.com</t>
  </si>
  <si>
    <t>COMERCIAL EL SOL</t>
  </si>
  <si>
    <t>501790277</t>
  </si>
  <si>
    <t>ZAIDA VIRGINIA  ARIAS ROJAS</t>
  </si>
  <si>
    <t xml:space="preserve">6956247             </t>
  </si>
  <si>
    <t>00037485</t>
  </si>
  <si>
    <t>50 SUR DE G.A.R QUEBRADA GRANDE</t>
  </si>
  <si>
    <t>0000001100</t>
  </si>
  <si>
    <t xml:space="preserve">RUIJING WU  </t>
  </si>
  <si>
    <t xml:space="preserve">62387777            </t>
  </si>
  <si>
    <t xml:space="preserve">26945050            </t>
  </si>
  <si>
    <t>ruijingwuspc@gmail.com</t>
  </si>
  <si>
    <t>SUPER MAS NUEVO</t>
  </si>
  <si>
    <t>00055490</t>
  </si>
  <si>
    <t>COSTADO OESTE DEL SERVICENTRO, ARENAL</t>
  </si>
  <si>
    <t>0000000562</t>
  </si>
  <si>
    <t>SARA DEL CARMEN  ARIAS CHAVARRIA</t>
  </si>
  <si>
    <t xml:space="preserve">86766333            </t>
  </si>
  <si>
    <t xml:space="preserve">26944106            </t>
  </si>
  <si>
    <t>ariasesteban111@gmail.com</t>
  </si>
  <si>
    <t>SUPER LA CUESTA.</t>
  </si>
  <si>
    <t>206290976</t>
  </si>
  <si>
    <t>ESTEBAN  ARIAS CHAVARRIA</t>
  </si>
  <si>
    <t>ariassteban111@gmail.com</t>
  </si>
  <si>
    <t>00055672</t>
  </si>
  <si>
    <t>100M S 25M E DEL GIMNACIO ARENAL</t>
  </si>
  <si>
    <t>0000000556</t>
  </si>
  <si>
    <t>MINISUPER SOFIA</t>
  </si>
  <si>
    <t>502260194</t>
  </si>
  <si>
    <t>FLORIBERTO DEL CARMEN  SALAS CONEJO</t>
  </si>
  <si>
    <t xml:space="preserve">83817200            </t>
  </si>
  <si>
    <t xml:space="preserve">70222339            </t>
  </si>
  <si>
    <t>salasconejofloriberto@gmail.com</t>
  </si>
  <si>
    <t>00135233</t>
  </si>
  <si>
    <t>LA UNION DE NUEVO ARENAL, DEL HOTEL LA MANSION INN 200 MTS AL SUROESTE, CAMINO A FORTUNA</t>
  </si>
  <si>
    <t>0000000423</t>
  </si>
  <si>
    <t>MINISUPER SOFIA 2</t>
  </si>
  <si>
    <t>204380723</t>
  </si>
  <si>
    <t>FREEDY  SOLANO SILVA</t>
  </si>
  <si>
    <t xml:space="preserve">88462660            </t>
  </si>
  <si>
    <t>00187038</t>
  </si>
  <si>
    <t>MATA DE CA;A, DE LA PLAZA DE DEPORTE 50M ESTE</t>
  </si>
  <si>
    <t>0000001083</t>
  </si>
  <si>
    <t xml:space="preserve">WU YOURONG  </t>
  </si>
  <si>
    <t>MINI SUPER MAX</t>
  </si>
  <si>
    <t>115600376529</t>
  </si>
  <si>
    <t xml:space="preserve">84349196            </t>
  </si>
  <si>
    <t>00036741</t>
  </si>
  <si>
    <t>COSTADO OESTE DEL ESTADIO MUNICIPAL</t>
  </si>
  <si>
    <t>0000000941</t>
  </si>
  <si>
    <t xml:space="preserve">Xiaohua Li </t>
  </si>
  <si>
    <t xml:space="preserve">73828106            </t>
  </si>
  <si>
    <t>liva85066888@gmail.com</t>
  </si>
  <si>
    <t>SUPERMERCADO 18</t>
  </si>
  <si>
    <t>00121455</t>
  </si>
  <si>
    <t>140 NORTE ESCUELA JOSE MARIA CALDERON M</t>
  </si>
  <si>
    <t>0000001633</t>
  </si>
  <si>
    <t xml:space="preserve">ZHIRONG FENG  </t>
  </si>
  <si>
    <t xml:space="preserve">87050888            </t>
  </si>
  <si>
    <t xml:space="preserve">26931389            </t>
  </si>
  <si>
    <t>superelpueblo01@gmail.com</t>
  </si>
  <si>
    <t>!SUPER EL PUEBLO.</t>
  </si>
  <si>
    <t>115600217826</t>
  </si>
  <si>
    <t>00200292</t>
  </si>
  <si>
    <t>COSTADO ESTE DE LA PLAZA DE DEPORTES, TRONADORA</t>
  </si>
  <si>
    <t>0000000560</t>
  </si>
  <si>
    <t>JESUS ALEJANDRO  VILLALOBOS MURILLO</t>
  </si>
  <si>
    <t xml:space="preserve">87065689            </t>
  </si>
  <si>
    <t>jesusvillamuri@hotmail.com</t>
  </si>
  <si>
    <t>TALLER AIRE ACONDICIONADO AUTOMOTRZ</t>
  </si>
  <si>
    <t>JVM SERVICIOS TECNICOS</t>
  </si>
  <si>
    <t>104900661</t>
  </si>
  <si>
    <t>AMAYANSI  MURILLO MARTINEZ</t>
  </si>
  <si>
    <t xml:space="preserve">86532906            </t>
  </si>
  <si>
    <t xml:space="preserve">26955626            </t>
  </si>
  <si>
    <t>amayansiymigue2007@hotmail.com</t>
  </si>
  <si>
    <t>00070147</t>
  </si>
  <si>
    <t>400M E DE LA CASA EPISCOPAL</t>
  </si>
  <si>
    <t>0000001143</t>
  </si>
  <si>
    <t>MIKEL  ALPIZAR RIVERA</t>
  </si>
  <si>
    <t xml:space="preserve">88200435            </t>
  </si>
  <si>
    <t>maikel9981@gmail.com</t>
  </si>
  <si>
    <t>TALLER DE EBANISTERIA</t>
  </si>
  <si>
    <t>MUEBLES.ALPIZAR ARROYO</t>
  </si>
  <si>
    <t>503310904</t>
  </si>
  <si>
    <t>HAYNE LISSETH  ARROYO VILLALOBOS</t>
  </si>
  <si>
    <t xml:space="preserve">85542806            </t>
  </si>
  <si>
    <t>hainyarroyo@gmail.com</t>
  </si>
  <si>
    <t>00135990</t>
  </si>
  <si>
    <t>400 M OESTE DE LA ESCUELA , BARRIO EL CARMEN, TILARAN</t>
  </si>
  <si>
    <t>0000000409</t>
  </si>
  <si>
    <t>CARLOS MIGUEL  SALAS MURILLO</t>
  </si>
  <si>
    <t xml:space="preserve">88137406            </t>
  </si>
  <si>
    <t xml:space="preserve">26956183            </t>
  </si>
  <si>
    <t>tallersalass.a@hotmail.com</t>
  </si>
  <si>
    <t>TALLER DE HOJALATERIA</t>
  </si>
  <si>
    <t>TALLER SALAS</t>
  </si>
  <si>
    <t>3101372539</t>
  </si>
  <si>
    <t xml:space="preserve">GANADERA EL CRISTOBAL TILARAN SOCIEDAD ANONIMA  </t>
  </si>
  <si>
    <t>00097448</t>
  </si>
  <si>
    <t>235 M ESTE DEL ESTADIO MUNICIPAL, TILARAN.</t>
  </si>
  <si>
    <t>0000000374</t>
  </si>
  <si>
    <t>TALLER VARELA</t>
  </si>
  <si>
    <t>00122170</t>
  </si>
  <si>
    <t>75  M NORTE DE LA CATEDRAL, TILARAN</t>
  </si>
  <si>
    <t>0000002071</t>
  </si>
  <si>
    <t>ADRIANA DE LOS ANGELES  BADILLA CHACON</t>
  </si>
  <si>
    <t xml:space="preserve">85840888            </t>
  </si>
  <si>
    <t>adrianabch02@hotmail.com</t>
  </si>
  <si>
    <t>TALLER DE SOLDADURA</t>
  </si>
  <si>
    <t>TALLER BONILLA</t>
  </si>
  <si>
    <t>00108828</t>
  </si>
  <si>
    <t>50 M NORTE Y 25 OESTE DE LA CAMARA DE GANADEROS</t>
  </si>
  <si>
    <t>0000001209</t>
  </si>
  <si>
    <t>CAMILA  CASTILLO CARVAJAL</t>
  </si>
  <si>
    <t xml:space="preserve">86843185            </t>
  </si>
  <si>
    <t xml:space="preserve">88680590            </t>
  </si>
  <si>
    <t>castilloelispc@gmail.com</t>
  </si>
  <si>
    <t>TALLER ELI CASTILLO</t>
  </si>
  <si>
    <t>501960538</t>
  </si>
  <si>
    <t>ELI  CASTILLO CHAVES</t>
  </si>
  <si>
    <t>yamicarvajal09@gmail.com</t>
  </si>
  <si>
    <t>00020412</t>
  </si>
  <si>
    <t>350 metros noroeste de la agencia ICE</t>
  </si>
  <si>
    <t>0000000264</t>
  </si>
  <si>
    <t>CIRILA MARIA JOSEFA  ANGULO CHAVARRIA</t>
  </si>
  <si>
    <t xml:space="preserve">85960832            </t>
  </si>
  <si>
    <t>cirilaangulo18@gmail.com</t>
  </si>
  <si>
    <t>TALLER ARIAS ANGULO</t>
  </si>
  <si>
    <t>501490267</t>
  </si>
  <si>
    <t>00225004</t>
  </si>
  <si>
    <t>100 METROS NORTE DEL LICEO MAURILIO ALVARADO VARGAS</t>
  </si>
  <si>
    <t>0000001211</t>
  </si>
  <si>
    <t>JOSE ANTONIO  ALVARADO DURAN</t>
  </si>
  <si>
    <t xml:space="preserve">89496311            </t>
  </si>
  <si>
    <t xml:space="preserve">26955490            </t>
  </si>
  <si>
    <t>alvaradojosespc@gmail.com</t>
  </si>
  <si>
    <t>TALLER DE SOLDADURA ACUÑA</t>
  </si>
  <si>
    <t>0000000230</t>
  </si>
  <si>
    <t>JOSE MIGUEL  RAMIREZ ZUÑIGA</t>
  </si>
  <si>
    <t xml:space="preserve">84735517            </t>
  </si>
  <si>
    <t>ramirezjosespc@gmail.com</t>
  </si>
  <si>
    <t>TALLER RAMZU</t>
  </si>
  <si>
    <t>503460489</t>
  </si>
  <si>
    <t>00224765</t>
  </si>
  <si>
    <t>0000000432</t>
  </si>
  <si>
    <t>LUIS ARTURO  ALVAREZ SOLANO</t>
  </si>
  <si>
    <t xml:space="preserve">86632430            </t>
  </si>
  <si>
    <t>patosolano719@gmail.com</t>
  </si>
  <si>
    <t>MULTISERVICIOS ALVAREZ SOLANO</t>
  </si>
  <si>
    <t>701310148</t>
  </si>
  <si>
    <t>ROSEMARY  MURILLO FERNANDEZ</t>
  </si>
  <si>
    <t xml:space="preserve">87170218            </t>
  </si>
  <si>
    <t>00011684</t>
  </si>
  <si>
    <t>165 M NORTE DE LA G.A.R</t>
  </si>
  <si>
    <t>0000000430</t>
  </si>
  <si>
    <t>LUIS RAFAEL  ROJAS ALVAREZ</t>
  </si>
  <si>
    <t xml:space="preserve">88669340            </t>
  </si>
  <si>
    <t>rojasluisspc@gmail.com</t>
  </si>
  <si>
    <t>Servicios Rojas Alvarez</t>
  </si>
  <si>
    <t>0000001635</t>
  </si>
  <si>
    <t xml:space="preserve">TALLER VINICIO MURILLO SOCIEDAD ANONIMA  </t>
  </si>
  <si>
    <t xml:space="preserve">83753131            </t>
  </si>
  <si>
    <t xml:space="preserve">26955915            </t>
  </si>
  <si>
    <t>tallerviniciomurillo@hotmail.com</t>
  </si>
  <si>
    <t>TALLER DE TORNO METAL</t>
  </si>
  <si>
    <t>TALLER VINICIO MURILLO S.A</t>
  </si>
  <si>
    <t>501840397</t>
  </si>
  <si>
    <t>ELMER VINICIO  MURILLO SALAZAR</t>
  </si>
  <si>
    <t>00027145</t>
  </si>
  <si>
    <t>75 MTS SUR DEL LICEO MAURILIO ALVARADO VARGAS</t>
  </si>
  <si>
    <t>0000001401</t>
  </si>
  <si>
    <t>ORLANDO GILBERTO  MENA ESPINOZA</t>
  </si>
  <si>
    <t xml:space="preserve">61460453            </t>
  </si>
  <si>
    <t>sauma1960@gmail.com</t>
  </si>
  <si>
    <t>TALLER ELECTRODOMESTICOS</t>
  </si>
  <si>
    <t>SERVICIOS ELECTRONICOS SAUMA</t>
  </si>
  <si>
    <t>0000001296</t>
  </si>
  <si>
    <t>WILBER MARTIN DEL CARMEN  RAMIREZ MENDEZ</t>
  </si>
  <si>
    <t xml:space="preserve">85015141            </t>
  </si>
  <si>
    <t xml:space="preserve">26956114            </t>
  </si>
  <si>
    <t>wilberth.ramirez.mendez@gmail.com</t>
  </si>
  <si>
    <t>TALLER ELECTRODOMESTICOS RAMIREZ</t>
  </si>
  <si>
    <t>501590403</t>
  </si>
  <si>
    <t>FLORY  MEJIAS VALVERDE</t>
  </si>
  <si>
    <t>00048046</t>
  </si>
  <si>
    <t>175 MTS SUR DE AYA TILARAN</t>
  </si>
  <si>
    <t>0000000286</t>
  </si>
  <si>
    <t>CARLOS ALBERTO  MENDEZ SANDOVAL</t>
  </si>
  <si>
    <t xml:space="preserve">86117335            </t>
  </si>
  <si>
    <t xml:space="preserve">26955424            </t>
  </si>
  <si>
    <t>tallermendezsandoval@gmail.com</t>
  </si>
  <si>
    <t>TALLER ELECTROMECANICO</t>
  </si>
  <si>
    <t>TALLER ELECTROMECANICO MENDEZ</t>
  </si>
  <si>
    <t>3101206021</t>
  </si>
  <si>
    <t xml:space="preserve">TALLER BERCALI SOCIEDAD ANONIMA  </t>
  </si>
  <si>
    <t>mendezsandoval47@gmail.com</t>
  </si>
  <si>
    <t>00102283</t>
  </si>
  <si>
    <t>100 MTS ESTE DE LA SEGUNDA ENTRADA BARRIO SAN ANTONIO</t>
  </si>
  <si>
    <t>0000001210</t>
  </si>
  <si>
    <t>GERARDA MARIA  VASQUEZ MORAGA</t>
  </si>
  <si>
    <t xml:space="preserve">86093298            </t>
  </si>
  <si>
    <t xml:space="preserve">26956746            </t>
  </si>
  <si>
    <t>TALLER ELECTROMECÁNICO VALERIO</t>
  </si>
  <si>
    <t>503540540</t>
  </si>
  <si>
    <t>CHRISTIAN JOSUE  VALERIO VASQUEZ</t>
  </si>
  <si>
    <t xml:space="preserve">88700736            </t>
  </si>
  <si>
    <t>valerioc10@gmail.com</t>
  </si>
  <si>
    <t>00056888</t>
  </si>
  <si>
    <t>125 M SUR DEL PALACIO EPISCOPAL, TILARAN</t>
  </si>
  <si>
    <t>0000001826</t>
  </si>
  <si>
    <t>HELMUTH JESUS DE LA CRUZ  RUIZ SALAZAR</t>
  </si>
  <si>
    <t xml:space="preserve">83568169            </t>
  </si>
  <si>
    <t>helmuthruizs62@gmail.com</t>
  </si>
  <si>
    <t>TALLER MECÁNICO HERMUTH RUIZ</t>
  </si>
  <si>
    <t>502000909</t>
  </si>
  <si>
    <t>00113431</t>
  </si>
  <si>
    <t>50 MTS NORTE Y 15 ESTE DE LA IGLESIA CATOLICA CIUDADELA JUAN XXIII</t>
  </si>
  <si>
    <t>0000000273</t>
  </si>
  <si>
    <t>KEVIN  CONEJO HERRERA</t>
  </si>
  <si>
    <t xml:space="preserve">83215782            </t>
  </si>
  <si>
    <t>conejoherrerakevin@gmail.com</t>
  </si>
  <si>
    <t>TALLER MECANICO PUCA</t>
  </si>
  <si>
    <t>0000001137</t>
  </si>
  <si>
    <t>TALLER ELECTROMECANICO PYM</t>
  </si>
  <si>
    <t>0000000026</t>
  </si>
  <si>
    <t>TALLER ENDEREZADO.PINTURA</t>
  </si>
  <si>
    <t>TALLER ENDEREZADO PYM</t>
  </si>
  <si>
    <t>3101756144</t>
  </si>
  <si>
    <t xml:space="preserve">ENTRE LAZOS Y MASOS G Y H SOCIEDAD ANONIMA  </t>
  </si>
  <si>
    <t>00026425</t>
  </si>
  <si>
    <t>400 M NOROESTE DE LA GASOLINERA JSM, TILARÁN</t>
  </si>
  <si>
    <t>0000000025</t>
  </si>
  <si>
    <t>RONALD  VARGAS VARGAS</t>
  </si>
  <si>
    <t xml:space="preserve">89824539            </t>
  </si>
  <si>
    <t xml:space="preserve">26955846            </t>
  </si>
  <si>
    <t>tallerronaldvargas@gmail.com</t>
  </si>
  <si>
    <t>TALLER RONALD VARGAS</t>
  </si>
  <si>
    <t>503350689</t>
  </si>
  <si>
    <t>RONALD DAVID  VARGAS GARCIA</t>
  </si>
  <si>
    <t xml:space="preserve">+1(908)4239217      </t>
  </si>
  <si>
    <t>cmronaldvargas@gmail.com</t>
  </si>
  <si>
    <t>00057305</t>
  </si>
  <si>
    <t>100 MTS SUR DE LA PRIMERA ENTRADA BARRIO SAN ANTONIO</t>
  </si>
  <si>
    <t>0000000233</t>
  </si>
  <si>
    <t xml:space="preserve">TALLER ARCE DE TILARAN SOCIEDAD ANONIMA  </t>
  </si>
  <si>
    <t xml:space="preserve">88279233            </t>
  </si>
  <si>
    <t xml:space="preserve">26956630            </t>
  </si>
  <si>
    <t>fufiarce@gmail.com</t>
  </si>
  <si>
    <t>"TALLER ARCE"</t>
  </si>
  <si>
    <t>3101558188</t>
  </si>
  <si>
    <t xml:space="preserve">JORDAN DE TILARAN SOCIEDAD ANONIMA  </t>
  </si>
  <si>
    <t>00005043</t>
  </si>
  <si>
    <t>100M NORTE DE GASOLINERA JSM, TALLER ARCE</t>
  </si>
  <si>
    <t>0000000728</t>
  </si>
  <si>
    <t>TALLER MECANICO</t>
  </si>
  <si>
    <t>TALLER MECANICO ELI</t>
  </si>
  <si>
    <t>0000001172</t>
  </si>
  <si>
    <t>CARLOS JULIO  BADILLA HERRERA</t>
  </si>
  <si>
    <t xml:space="preserve">83511043            </t>
  </si>
  <si>
    <t>c7badilla@gmail.com</t>
  </si>
  <si>
    <t>TALLER MECANICO SERVIFULL</t>
  </si>
  <si>
    <t>107860124</t>
  </si>
  <si>
    <t>00169336</t>
  </si>
  <si>
    <t>0000000029</t>
  </si>
  <si>
    <t>DIMAS ANTONIO  SOLANO GONZALEZ</t>
  </si>
  <si>
    <t xml:space="preserve">88309501            </t>
  </si>
  <si>
    <t xml:space="preserve">26956701            </t>
  </si>
  <si>
    <t>dasgot@hotmail.com</t>
  </si>
  <si>
    <t>TALLER AUTOMOTRIZ DASGO</t>
  </si>
  <si>
    <t>111010404</t>
  </si>
  <si>
    <t>00039110</t>
  </si>
  <si>
    <t>200 M NORTE DEL LMAV</t>
  </si>
  <si>
    <t>0000000055</t>
  </si>
  <si>
    <t>ELI ALFREDO  ALVARADO CASTRO</t>
  </si>
  <si>
    <t xml:space="preserve">70473090            </t>
  </si>
  <si>
    <t>elialvarez55@gmail.com</t>
  </si>
  <si>
    <t>TALLER ELI</t>
  </si>
  <si>
    <t>501370602</t>
  </si>
  <si>
    <t>JORGE ARTURO  MURILLO BONICHE</t>
  </si>
  <si>
    <t xml:space="preserve">88246387            </t>
  </si>
  <si>
    <t>gmurillobo@gmail.com</t>
  </si>
  <si>
    <t>00079882</t>
  </si>
  <si>
    <t>COSTADO SUR DEL CAMPO FERIAL ATRA, TALLER ELI ALVARADO</t>
  </si>
  <si>
    <t>0000000094</t>
  </si>
  <si>
    <t>TALLER CHAVITO</t>
  </si>
  <si>
    <t>00090387</t>
  </si>
  <si>
    <t>125 M ESTE Y 75 M SUR DEL PALACIO EPISCOPAL,TILARAN.</t>
  </si>
  <si>
    <t>0000000526</t>
  </si>
  <si>
    <t>FRANCISCO JAVIER  BADILLA CASTRO</t>
  </si>
  <si>
    <t xml:space="preserve">89514209            </t>
  </si>
  <si>
    <t>badillajavier521@gmail.com</t>
  </si>
  <si>
    <t>FACAR AUTOMOTRIZ.</t>
  </si>
  <si>
    <t>3101214849</t>
  </si>
  <si>
    <t xml:space="preserve">AUTOTRANSPORTES ZAMI SOCIEDAD ANONIMA  </t>
  </si>
  <si>
    <t>00058102</t>
  </si>
  <si>
    <t>150M ESTE DE SERVIREPUESTOS PICADO</t>
  </si>
  <si>
    <t>0000000044</t>
  </si>
  <si>
    <t>GERMAN GERARDO  MASIS ARCE</t>
  </si>
  <si>
    <t xml:space="preserve">84419592            </t>
  </si>
  <si>
    <t>masisgermanspc@gmail.com</t>
  </si>
  <si>
    <t>TALLER GERMAN MASIS</t>
  </si>
  <si>
    <t>501760549</t>
  </si>
  <si>
    <t>EUSTAQUIA DE LOS ANGELES  ESPINOZA CERDAS</t>
  </si>
  <si>
    <t xml:space="preserve">89667863            </t>
  </si>
  <si>
    <t>edwinfec@hotmail.com</t>
  </si>
  <si>
    <t>00076881</t>
  </si>
  <si>
    <t>200 M SUR DE LA CASA EPISCOPAL, TILARÁN</t>
  </si>
  <si>
    <t>0000002067</t>
  </si>
  <si>
    <t>0000001872</t>
  </si>
  <si>
    <t>HERMAN JESUS TRINIDAD  RAMIREZ MENDEZ</t>
  </si>
  <si>
    <t xml:space="preserve">86246137            </t>
  </si>
  <si>
    <t>germanrami5264@gmail.com</t>
  </si>
  <si>
    <t>ROBLE TRONADORA T."TALLER RAMIREZ"</t>
  </si>
  <si>
    <t>502460370</t>
  </si>
  <si>
    <t>LIDIETTE DEL CARMEN  CASTRO FERNANDEZ</t>
  </si>
  <si>
    <t xml:space="preserve">86837576            </t>
  </si>
  <si>
    <t>licasfer10@gmail.com</t>
  </si>
  <si>
    <t>00066031</t>
  </si>
  <si>
    <t>700 SUR DE LA ENTRADA DEL ROBLE TRONADORA TILARAN GTE</t>
  </si>
  <si>
    <t>0000000367</t>
  </si>
  <si>
    <t>JOSE FRANCISCO  BRAVO LEITON</t>
  </si>
  <si>
    <t xml:space="preserve">84208406            </t>
  </si>
  <si>
    <t>bravofranciscospc@gmail.com</t>
  </si>
  <si>
    <t>TALLER SAN MARTÍN</t>
  </si>
  <si>
    <t>111880288</t>
  </si>
  <si>
    <t>JOSE DAVID  MURILLO HERRERA</t>
  </si>
  <si>
    <t xml:space="preserve">88504624            </t>
  </si>
  <si>
    <t>jdmhchomo@hotmail.com</t>
  </si>
  <si>
    <t>00009820</t>
  </si>
  <si>
    <t>100 M NORTE DE LA G.A.R</t>
  </si>
  <si>
    <t>0000000371</t>
  </si>
  <si>
    <t>0000000433</t>
  </si>
  <si>
    <t>LUIS  HERNANDEZ BARRANTES</t>
  </si>
  <si>
    <t xml:space="preserve">88912410            </t>
  </si>
  <si>
    <t xml:space="preserve">88992263            </t>
  </si>
  <si>
    <t>tallerpoli08@gmail.com</t>
  </si>
  <si>
    <t>TALLER LUIS HERNANDEZ</t>
  </si>
  <si>
    <t>502390339</t>
  </si>
  <si>
    <t>DAISY MARIA  BARRANTES RUIZ</t>
  </si>
  <si>
    <t xml:space="preserve">26955861            </t>
  </si>
  <si>
    <t>dmariabr@hotmail.com</t>
  </si>
  <si>
    <t>00008230</t>
  </si>
  <si>
    <t>50 MTS SUR DEL HOTEL GUADALUPE TILARAN</t>
  </si>
  <si>
    <t>0000000246</t>
  </si>
  <si>
    <t>LUIS ENRIQUE  SALAZAR ALVAREZ</t>
  </si>
  <si>
    <t xml:space="preserve">84232967            </t>
  </si>
  <si>
    <t>huatilatab@gmail.com</t>
  </si>
  <si>
    <t>TALLER L.SALAZAR</t>
  </si>
  <si>
    <t>0000000370</t>
  </si>
  <si>
    <t>TALLER TATO</t>
  </si>
  <si>
    <t>0000000459</t>
  </si>
  <si>
    <t>MULTISERVICIO AUTOMOTRIZ</t>
  </si>
  <si>
    <t>00049349</t>
  </si>
  <si>
    <t>COSTADO SUR DEL POLIDEPORTIVO, BARRIO EL CARMEN</t>
  </si>
  <si>
    <t>0000000554</t>
  </si>
  <si>
    <t>SERVIREPUESTOS V ESQUINAS</t>
  </si>
  <si>
    <t>0000001304</t>
  </si>
  <si>
    <t>RICARDITO GERARDO  RODRIGUEZ MURILLO</t>
  </si>
  <si>
    <t xml:space="preserve">87037755            </t>
  </si>
  <si>
    <t xml:space="preserve">26955990            </t>
  </si>
  <si>
    <t>tallerodriguezmurillo@gmail.com</t>
  </si>
  <si>
    <t>TALLER RODRIGUEZ MURILLO</t>
  </si>
  <si>
    <t>204460060</t>
  </si>
  <si>
    <t>00019829</t>
  </si>
  <si>
    <t>300 OESTE DE AUTOS EL LAGO TILARAN</t>
  </si>
  <si>
    <t>0000000107</t>
  </si>
  <si>
    <t>RONNY  MURILLO CORDERO</t>
  </si>
  <si>
    <t xml:space="preserve">83680282            </t>
  </si>
  <si>
    <t>taller.ra.tilaran@gmail.com</t>
  </si>
  <si>
    <t>TALLER R.A.</t>
  </si>
  <si>
    <t>503190188</t>
  </si>
  <si>
    <t>00041567</t>
  </si>
  <si>
    <t>400 M NORTE DEL CAMPO FERIAL ATRA, URB. QUEBRADA AZUL, TILARÁN</t>
  </si>
  <si>
    <t>0000000195</t>
  </si>
  <si>
    <t>GUSTAVO ADOLFO  HERNANDEZ BARRANTES</t>
  </si>
  <si>
    <t xml:space="preserve">89638299            </t>
  </si>
  <si>
    <t>tavotowing@hotmail.com</t>
  </si>
  <si>
    <t>TALLER MECANICO MOVIL</t>
  </si>
  <si>
    <t>TILARAN  GUANACASTE.</t>
  </si>
  <si>
    <t>0000000226</t>
  </si>
  <si>
    <t>BERNY  MEJIAS DUARTE</t>
  </si>
  <si>
    <t xml:space="preserve">64140659            </t>
  </si>
  <si>
    <t>bernymejias1989@gmail.com</t>
  </si>
  <si>
    <t>TALLER Y ZAPATERIA</t>
  </si>
  <si>
    <t>REPARACION DE CALZADO DONDE BERNY</t>
  </si>
  <si>
    <t>501600048</t>
  </si>
  <si>
    <t>ALEXIS EMILIO DE SOCORRO  ARGUEDAS SANCHEZ</t>
  </si>
  <si>
    <t xml:space="preserve">86736321            </t>
  </si>
  <si>
    <t>arguedasalexis642@gmail.com</t>
  </si>
  <si>
    <t>00012612</t>
  </si>
  <si>
    <t>125 M OESTE DEL  BANCO NACIONAL DE COSTA RICA,TILARAN.</t>
  </si>
  <si>
    <t>0000002068</t>
  </si>
  <si>
    <t>GILBERT DE LA TRINIDAD  MEJIAS CARVAJAL</t>
  </si>
  <si>
    <t xml:space="preserve">88305418            </t>
  </si>
  <si>
    <t>gilberthmejias@gmail.com</t>
  </si>
  <si>
    <t>TAPICERIA DE MUEBLES</t>
  </si>
  <si>
    <t>MUEBLES MEJIAS</t>
  </si>
  <si>
    <t>602860727</t>
  </si>
  <si>
    <t>00145364</t>
  </si>
  <si>
    <t>400 ESTE Y 400 NORTE DEL GIMNASIO ARENAL</t>
  </si>
  <si>
    <t>0000000523</t>
  </si>
  <si>
    <t xml:space="preserve">3-102-938759 SOCIEDAD DE RESPONSABILIDAD LIMITADA  </t>
  </si>
  <si>
    <t xml:space="preserve">87641217            </t>
  </si>
  <si>
    <t>comprasyire@gmail.com</t>
  </si>
  <si>
    <t>TIENDA DE CALZADO</t>
  </si>
  <si>
    <t>Velezza</t>
  </si>
  <si>
    <t>108420113</t>
  </si>
  <si>
    <t>KATHIA PATRICIA  ORTEGA DELGADO</t>
  </si>
  <si>
    <t xml:space="preserve">86098042            </t>
  </si>
  <si>
    <t>kapaorde28@hotmail.com</t>
  </si>
  <si>
    <t>00006257</t>
  </si>
  <si>
    <t>50 M SUR DEL BANCO NACIONAL</t>
  </si>
  <si>
    <t>0000002188</t>
  </si>
  <si>
    <t>EDGAR ANTONIO  HERRERA ROJAS</t>
  </si>
  <si>
    <t xml:space="preserve">89775852            </t>
  </si>
  <si>
    <t>edgarherreraalfa@hotmail.com</t>
  </si>
  <si>
    <t>VANNY´S SKATE AND SURF</t>
  </si>
  <si>
    <t>0000001897</t>
  </si>
  <si>
    <t>0000002280</t>
  </si>
  <si>
    <t>ZAPATERIA ZAMORA</t>
  </si>
  <si>
    <t>0000001112</t>
  </si>
  <si>
    <t xml:space="preserve">INVERSIONISTAS DR SHALOM ADONAI SOCIEDAD ANONIMA  </t>
  </si>
  <si>
    <t>RUTH MERIBET  MARENCO TRIGUEROS</t>
  </si>
  <si>
    <t>503200716</t>
  </si>
  <si>
    <t xml:space="preserve">88712234            </t>
  </si>
  <si>
    <t>TIENDA ELEGANCE STORE</t>
  </si>
  <si>
    <t>00053915</t>
  </si>
  <si>
    <t>COSTADO SUR DE LA CATEDRAL, TILARÁN</t>
  </si>
  <si>
    <t>0000000761</t>
  </si>
  <si>
    <t>MARY PAZ  ULATE SANCHEZ</t>
  </si>
  <si>
    <t xml:space="preserve">26954933            </t>
  </si>
  <si>
    <t>boutiquetanita@gmail.com</t>
  </si>
  <si>
    <t>ZAPATERIA SULATES</t>
  </si>
  <si>
    <t>3101662375</t>
  </si>
  <si>
    <t xml:space="preserve">SULATES DE TILARAN SOCIEDAD ANONIMA  </t>
  </si>
  <si>
    <t>00011850</t>
  </si>
  <si>
    <t xml:space="preserve">100M SUR DE DELEGACION FUERZA PUBLICA TILARAN </t>
  </si>
  <si>
    <t>0000000076</t>
  </si>
  <si>
    <t>ROXANA MAYELA  SANCHEZ SOLANO</t>
  </si>
  <si>
    <t>BOUTIQUE TANITA</t>
  </si>
  <si>
    <t>604420236</t>
  </si>
  <si>
    <t>RAQUEL DE LOS ANGELES  ULATE SANCHEZ</t>
  </si>
  <si>
    <t xml:space="preserve">84331458            </t>
  </si>
  <si>
    <t>raquelulsa07@gmail.com</t>
  </si>
  <si>
    <t>00011437</t>
  </si>
  <si>
    <t>200 M SUR Y 25 M ESTE DEL BANCO NACIONAL</t>
  </si>
  <si>
    <t>0000000351</t>
  </si>
  <si>
    <t>ANA YANCY  SALAS ARIAS</t>
  </si>
  <si>
    <t xml:space="preserve">88897565            </t>
  </si>
  <si>
    <t>greenpawna@gmail.com</t>
  </si>
  <si>
    <t>TIENDA DE IMPLEMENTOS PARA MASCOTA</t>
  </si>
  <si>
    <t>Green Paw</t>
  </si>
  <si>
    <t>107680253</t>
  </si>
  <si>
    <t>00055520</t>
  </si>
  <si>
    <t>60M S GASOLINERA ARENAL</t>
  </si>
  <si>
    <t>0000002259</t>
  </si>
  <si>
    <t>MARIO ALBERTO  CRUZ BARRANTES</t>
  </si>
  <si>
    <t xml:space="preserve">88684029            </t>
  </si>
  <si>
    <t>dr.mario.veterinario@gmail.com</t>
  </si>
  <si>
    <t>Pet Shop V Cruz</t>
  </si>
  <si>
    <t>502230200</t>
  </si>
  <si>
    <t>ALEXANDRI MARTIN  RAMIREZ MIRANDA</t>
  </si>
  <si>
    <t xml:space="preserve">88861104            </t>
  </si>
  <si>
    <t>alexandriramirez@gmail.com</t>
  </si>
  <si>
    <t>00256364</t>
  </si>
  <si>
    <t>COSTADO OESTE DE LA PLAZA DEPORTES, ARENAL.</t>
  </si>
  <si>
    <t>0000002114</t>
  </si>
  <si>
    <t>TIENDA DE ROPA</t>
  </si>
  <si>
    <t>0000002042</t>
  </si>
  <si>
    <t>ANA GABRIELA  LIZANO RODRIGUEZ</t>
  </si>
  <si>
    <t xml:space="preserve">83198923            </t>
  </si>
  <si>
    <t>gabylizanor98@gmail.com</t>
  </si>
  <si>
    <t>LEBLON BOUTIQUE</t>
  </si>
  <si>
    <t>0000000492</t>
  </si>
  <si>
    <t>ANGELA DEL CARMEN  MOJICA GONZALEZ</t>
  </si>
  <si>
    <t xml:space="preserve">88861150            </t>
  </si>
  <si>
    <t>angelitamojica123@gmail.com</t>
  </si>
  <si>
    <t>TIENDA AMERICANA EXCLUSIVA</t>
  </si>
  <si>
    <t>500780922</t>
  </si>
  <si>
    <t>VIRGINIA RAMONA DEL CARMEN  PEREZ LARA</t>
  </si>
  <si>
    <t xml:space="preserve">88454707            </t>
  </si>
  <si>
    <t>arpagua.057@gmail.com</t>
  </si>
  <si>
    <t>00008803</t>
  </si>
  <si>
    <t>0000000141</t>
  </si>
  <si>
    <t>ARELYS ZENEIDA  SALAS ARIAS</t>
  </si>
  <si>
    <t xml:space="preserve">84296837            </t>
  </si>
  <si>
    <t>arelyssalas871@gmail.com</t>
  </si>
  <si>
    <t>LIVE FASHION</t>
  </si>
  <si>
    <t>0000000398</t>
  </si>
  <si>
    <t xml:space="preserve">COMERCIALIZADORA TEXTIL LOS PALMARES LIMITADA  </t>
  </si>
  <si>
    <t>ALVARO ALONSO  VIQUEZ SALGADO</t>
  </si>
  <si>
    <t>503050437</t>
  </si>
  <si>
    <t xml:space="preserve">88813434            </t>
  </si>
  <si>
    <t>alonso.viquez.salgado@gmail.com</t>
  </si>
  <si>
    <t>TIENDA JOSE PAOLO</t>
  </si>
  <si>
    <t>109870283</t>
  </si>
  <si>
    <t>MARIANELA  SANCHEZ SALAS</t>
  </si>
  <si>
    <t xml:space="preserve">88880402            </t>
  </si>
  <si>
    <t>marysanchezsalas@hotmail.com</t>
  </si>
  <si>
    <t>00032922</t>
  </si>
  <si>
    <t>60 ESTE DEL JUZGADO CONTRAVENCIONAL</t>
  </si>
  <si>
    <t>0000002144</t>
  </si>
  <si>
    <t>CRISTINA  UREÑA JIMENEZ</t>
  </si>
  <si>
    <t xml:space="preserve">87266325            </t>
  </si>
  <si>
    <t>cristinaur@gmail.com</t>
  </si>
  <si>
    <t>TIENDA MENTA</t>
  </si>
  <si>
    <t>0000001312</t>
  </si>
  <si>
    <t>DANIELA  BARRIENTOS VARGAS</t>
  </si>
  <si>
    <t xml:space="preserve">83104266            </t>
  </si>
  <si>
    <t>dani.bvlq@gmail.com</t>
  </si>
  <si>
    <t>PASATELAS TILARAN</t>
  </si>
  <si>
    <t>501770348</t>
  </si>
  <si>
    <t>GILBERT ASDRUBAL  SALAS PIEDRA</t>
  </si>
  <si>
    <t xml:space="preserve">83719278            </t>
  </si>
  <si>
    <t>yankee92.castro@gmail.com</t>
  </si>
  <si>
    <t>00034126</t>
  </si>
  <si>
    <t>100 M SUR DEL BANCO NACIONAL DE COSTA RICA, TILARAN</t>
  </si>
  <si>
    <t>0000001368</t>
  </si>
  <si>
    <t>DANIELA  ULLOA ROJAS</t>
  </si>
  <si>
    <t xml:space="preserve">83325042            </t>
  </si>
  <si>
    <t>danielaulloarojas123@gmail.com</t>
  </si>
  <si>
    <t>NOVEDADES FRAN</t>
  </si>
  <si>
    <t>801220288</t>
  </si>
  <si>
    <t>ANASTACIO JOSE  ROBELO FLETES</t>
  </si>
  <si>
    <t xml:space="preserve">83268738            </t>
  </si>
  <si>
    <t>anastaciorobelo@hotmail.com</t>
  </si>
  <si>
    <t>00006251</t>
  </si>
  <si>
    <t>70 M OESTE DEL BANCO NACIONAL</t>
  </si>
  <si>
    <t>0000002178</t>
  </si>
  <si>
    <t>DANNY  ACUÑA BARRIENTOS</t>
  </si>
  <si>
    <t xml:space="preserve">71849116            </t>
  </si>
  <si>
    <t>dannyacunacr@yahoo.com</t>
  </si>
  <si>
    <t>BOUTIQUE AMERICANA YES</t>
  </si>
  <si>
    <t>501010540</t>
  </si>
  <si>
    <t>THELMA DEL SOCORRO  BLANCO GARCIA</t>
  </si>
  <si>
    <t xml:space="preserve">89180079            </t>
  </si>
  <si>
    <t xml:space="preserve">26952107            </t>
  </si>
  <si>
    <t>roinelcr@hotmail.com</t>
  </si>
  <si>
    <t>00087254</t>
  </si>
  <si>
    <t>125 MTS NORTE DEL BANCO DE COSTA RICA</t>
  </si>
  <si>
    <t>0000001999</t>
  </si>
  <si>
    <t xml:space="preserve">DISTRIBUIDORA SOTO NAVARRO SOCIEDAD ANONIMA  </t>
  </si>
  <si>
    <t xml:space="preserve">83099528            </t>
  </si>
  <si>
    <t>tiendassotonavarro@gmail.com</t>
  </si>
  <si>
    <t>TIENDA EL REGALON</t>
  </si>
  <si>
    <t>0000001379</t>
  </si>
  <si>
    <t>0000001896</t>
  </si>
  <si>
    <t xml:space="preserve">JOEMII																						</t>
  </si>
  <si>
    <t>0000002278</t>
  </si>
  <si>
    <t>EMILCE ANITA  SEQUEIRA CHAVES</t>
  </si>
  <si>
    <t xml:space="preserve">88868244            </t>
  </si>
  <si>
    <t>sequeiraemilcepc@gmail.com</t>
  </si>
  <si>
    <t>TIENDA ANITAS BOUTIQUE</t>
  </si>
  <si>
    <t>0000000220</t>
  </si>
  <si>
    <t>ERNESTO JOSE  CORREA HERRERA</t>
  </si>
  <si>
    <t xml:space="preserve">89402431            </t>
  </si>
  <si>
    <t>ecorreac58@gmail.com</t>
  </si>
  <si>
    <t>AMAIAS´S SHOP</t>
  </si>
  <si>
    <t>0000001094</t>
  </si>
  <si>
    <t>0000001965</t>
  </si>
  <si>
    <t>FRANCINIE DE LOS ANGELES  MENDEZ MENDEZ</t>
  </si>
  <si>
    <t xml:space="preserve">63149158            </t>
  </si>
  <si>
    <t>francinielulu28@gmail.com</t>
  </si>
  <si>
    <t>QUE PINTA</t>
  </si>
  <si>
    <t>501390104</t>
  </si>
  <si>
    <t>ALICE DINORAH DEL CARMEN  SIBAJA MURILLO</t>
  </si>
  <si>
    <t>alicesibajamurillo@gmail.com</t>
  </si>
  <si>
    <t>00055553</t>
  </si>
  <si>
    <t>200 MTS SUR DEL GIMNASIO DE ARENAL</t>
  </si>
  <si>
    <t>0000002000</t>
  </si>
  <si>
    <t>GLORIA EMILIA  RODRIGUEZ PEREZ</t>
  </si>
  <si>
    <t xml:space="preserve">89701941            </t>
  </si>
  <si>
    <t>gloriarp2@gmail.com</t>
  </si>
  <si>
    <t>COCO Y LIMON</t>
  </si>
  <si>
    <t>0000002063</t>
  </si>
  <si>
    <t>GRETTEL ADICSA  QUIROS NUÑEZ</t>
  </si>
  <si>
    <t xml:space="preserve">83090954            </t>
  </si>
  <si>
    <t>quirosgrethel@gmail.com</t>
  </si>
  <si>
    <t>VEQUI KIDS (AMERICANA NIÑOS)</t>
  </si>
  <si>
    <t>0000002031</t>
  </si>
  <si>
    <t>0000002192</t>
  </si>
  <si>
    <t>HEILYN VANESSA  AVELLANEDA ARTAVIA</t>
  </si>
  <si>
    <t xml:space="preserve">88442801            </t>
  </si>
  <si>
    <t>helyn1979@gmail.com</t>
  </si>
  <si>
    <t>TICOS BOUTIQUE</t>
  </si>
  <si>
    <t>0000000528</t>
  </si>
  <si>
    <t>JEFFERSON  PEREZ LORIA</t>
  </si>
  <si>
    <t xml:space="preserve">87401978            </t>
  </si>
  <si>
    <t>jloria330@gmail.com</t>
  </si>
  <si>
    <t>YUSTY STORE</t>
  </si>
  <si>
    <t>0000002243</t>
  </si>
  <si>
    <t>JOHANNA ELENA  LARA CAMPOS</t>
  </si>
  <si>
    <t xml:space="preserve">87674470            </t>
  </si>
  <si>
    <t>johalara1986@gmail.com</t>
  </si>
  <si>
    <t>SU BOUTIQUE ROPA AMERICANA Y USADA</t>
  </si>
  <si>
    <t>0000001145</t>
  </si>
  <si>
    <t>JOSE FABIAN  GOMEZ MATAMOROS</t>
  </si>
  <si>
    <t xml:space="preserve">89618466	           </t>
  </si>
  <si>
    <t>josefabian94@gmail.com</t>
  </si>
  <si>
    <t>FABITO STORE</t>
  </si>
  <si>
    <t>0000001017</t>
  </si>
  <si>
    <t>JUANITO GERARDO DE LA TRINIDAD  RAMIREZ MENDEZ</t>
  </si>
  <si>
    <t xml:space="preserve">85928789            </t>
  </si>
  <si>
    <t>ramirezjuanito40@gmail.com</t>
  </si>
  <si>
    <t>TIENDA 3B</t>
  </si>
  <si>
    <t>00029918</t>
  </si>
  <si>
    <t>130 MTS NORTE DEL MERCADO MUNICIPAL</t>
  </si>
  <si>
    <t>0000000340</t>
  </si>
  <si>
    <t>KELLY  MELENDEZ PANIAGUA</t>
  </si>
  <si>
    <t xml:space="preserve">85611955            </t>
  </si>
  <si>
    <t>kellymepa96@gmail.com</t>
  </si>
  <si>
    <t>Enigma Boutique Americana</t>
  </si>
  <si>
    <t>0000001621</t>
  </si>
  <si>
    <t>LIDIETH  DURAN HERRERA</t>
  </si>
  <si>
    <t xml:space="preserve">83121897            </t>
  </si>
  <si>
    <t xml:space="preserve">26956726            </t>
  </si>
  <si>
    <t>lidiethdh09@gmail.com</t>
  </si>
  <si>
    <t>TIENDA SHADDAY</t>
  </si>
  <si>
    <t>502690664</t>
  </si>
  <si>
    <t>NERY VANESSA  CALDERON CASTRO</t>
  </si>
  <si>
    <t xml:space="preserve">85362125            </t>
  </si>
  <si>
    <t xml:space="preserve">26955216            </t>
  </si>
  <si>
    <t>neryvcc@yahoo.com</t>
  </si>
  <si>
    <t>00007478</t>
  </si>
  <si>
    <t>100 MTS NORTE EL MERCADO</t>
  </si>
  <si>
    <t>0000000558</t>
  </si>
  <si>
    <t xml:space="preserve">LOS MADEROS DE MORACIA SOCIEDAD ANONIMA  </t>
  </si>
  <si>
    <t xml:space="preserve">87182883            </t>
  </si>
  <si>
    <t>spdcontabilidad@gmail.com</t>
  </si>
  <si>
    <t>NINZU BOUTIQUE</t>
  </si>
  <si>
    <t>0000000997</t>
  </si>
  <si>
    <t>TIENDA NOAK</t>
  </si>
  <si>
    <t>0000001249</t>
  </si>
  <si>
    <t>MARIO ENRIQUE  QUESADA SALAS</t>
  </si>
  <si>
    <t xml:space="preserve">86508386            </t>
  </si>
  <si>
    <t xml:space="preserve">84468450            </t>
  </si>
  <si>
    <t>facturasmarioquesada@gmail.com</t>
  </si>
  <si>
    <t>DISTRIBUIDORA MARILY</t>
  </si>
  <si>
    <t>402170725</t>
  </si>
  <si>
    <t>LUIS DIEGO  QUESADA ZARATE</t>
  </si>
  <si>
    <t xml:space="preserve">86383928            </t>
  </si>
  <si>
    <t>diegoquesadazarate@gmail.com</t>
  </si>
  <si>
    <t>00178777</t>
  </si>
  <si>
    <t>800 M SUR DEL MAG, TILARAN.</t>
  </si>
  <si>
    <t>0000001964</t>
  </si>
  <si>
    <t>TIENDA Y ZAPATERIA SULATES</t>
  </si>
  <si>
    <t>0000002117</t>
  </si>
  <si>
    <t>MILADYS DE LOS ANGELES  SOLANO CANTILLANO</t>
  </si>
  <si>
    <t>miladyss1945@gmail.com</t>
  </si>
  <si>
    <t>TIENDA EL PUEBLO.</t>
  </si>
  <si>
    <t>0000000235</t>
  </si>
  <si>
    <t xml:space="preserve">PROYECTOS AUROZA SOCIEDAD DE RESPONSABILIDAD LIMIT  </t>
  </si>
  <si>
    <t>JIMENA  CAMPOS MONTERO</t>
  </si>
  <si>
    <t>504430430</t>
  </si>
  <si>
    <t xml:space="preserve">84284432            </t>
  </si>
  <si>
    <t>jimenacamposmontero@gmail.com</t>
  </si>
  <si>
    <t>TIENDA FLOYZA</t>
  </si>
  <si>
    <t>0000000520</t>
  </si>
  <si>
    <t>RICARDO ALBERTO DE L  VARGAS HIDALGO</t>
  </si>
  <si>
    <t xml:space="preserve">86088749            </t>
  </si>
  <si>
    <t xml:space="preserve">26952031            </t>
  </si>
  <si>
    <t>tiendamariajose@hotmail.com</t>
  </si>
  <si>
    <t>DISTRIBUIDORA MARIA JOSE</t>
  </si>
  <si>
    <t>0000000106</t>
  </si>
  <si>
    <t>0000000352</t>
  </si>
  <si>
    <t xml:space="preserve">USA G &amp; G SOCIEDAD ANONIMA  </t>
  </si>
  <si>
    <t>sociedadlgycg@gmail.com</t>
  </si>
  <si>
    <t>TIENDA ECOMODA</t>
  </si>
  <si>
    <t>3102679839</t>
  </si>
  <si>
    <t xml:space="preserve">BOCUFA SOCIEDAD DE RESPONSABILIDAD LIMITADA  </t>
  </si>
  <si>
    <t>rcuberobog@ice.co.cr</t>
  </si>
  <si>
    <t>00010004</t>
  </si>
  <si>
    <t>25 M NORTE DEL BANCO NACIONAL</t>
  </si>
  <si>
    <t>0000001219</t>
  </si>
  <si>
    <t>YEUDY BAUDILIO  RAMIREZ VINDAS</t>
  </si>
  <si>
    <t xml:space="preserve">83156340            </t>
  </si>
  <si>
    <t>yeuram_79@hotmail.com</t>
  </si>
  <si>
    <t>TENDENCIAS TILA</t>
  </si>
  <si>
    <t>0000002232</t>
  </si>
  <si>
    <t xml:space="preserve">DUAL SERVICIOS CR SOCIEDAD ANONIMA  </t>
  </si>
  <si>
    <t>PEDRO JOSE  DURAN MADRIGAL</t>
  </si>
  <si>
    <t>113350339</t>
  </si>
  <si>
    <t xml:space="preserve">72456602            </t>
  </si>
  <si>
    <t>pedro@dualservicioscr.com</t>
  </si>
  <si>
    <t>TRANSPORTE DE CARGA POR CARRETERA</t>
  </si>
  <si>
    <t>DUAL SERVICIOS CR</t>
  </si>
  <si>
    <t>401040629</t>
  </si>
  <si>
    <t>XINIA MARIA  MUÑOZ AGUILAR</t>
  </si>
  <si>
    <t xml:space="preserve">89668027            </t>
  </si>
  <si>
    <t xml:space="preserve">26958178            </t>
  </si>
  <si>
    <t>ximunozag@gmail.com</t>
  </si>
  <si>
    <t>00012777</t>
  </si>
  <si>
    <t>100 MTS SUR Y 75 OESTE DEL BANCO NACIONAL</t>
  </si>
  <si>
    <t>0000002087</t>
  </si>
  <si>
    <t xml:space="preserve">SERVICIOS DE ENCOMIENDAS EL MACHO SOCIEDAD DE RESP  </t>
  </si>
  <si>
    <t xml:space="preserve">84256786            </t>
  </si>
  <si>
    <t>jennifer.delgado@transporteelmacho.net</t>
  </si>
  <si>
    <t>TRANSPORTES EL MACHO</t>
  </si>
  <si>
    <t>111850304</t>
  </si>
  <si>
    <t>JENIFER ANDREA  DELGADO MURILLO</t>
  </si>
  <si>
    <t>jennifer.delgado@transporteselmacho.net</t>
  </si>
  <si>
    <t>00245130</t>
  </si>
  <si>
    <t>200 M OESTE DEL CEMENTERIO, TILARAN</t>
  </si>
  <si>
    <t>0000001400</t>
  </si>
  <si>
    <t>ASDRUBAL  MARTINEZ CORRALES</t>
  </si>
  <si>
    <t xml:space="preserve">83591615            </t>
  </si>
  <si>
    <t xml:space="preserve">26944484            </t>
  </si>
  <si>
    <t>asdrubalmartinezcorrales@hotmail.com</t>
  </si>
  <si>
    <t>TRANSPORTE TURISTICO</t>
  </si>
  <si>
    <t>TRASPORTE DE TURISMO ASDRUBAL MARTINEZ</t>
  </si>
  <si>
    <t>0000002060</t>
  </si>
  <si>
    <t>BEINER ANDRES  VILLALOBOS OBANDO</t>
  </si>
  <si>
    <t xml:space="preserve">89246026            </t>
  </si>
  <si>
    <t>b_andres30@hotmail.com</t>
  </si>
  <si>
    <t>TRANSPORTE CHONCA</t>
  </si>
  <si>
    <t>0000001722</t>
  </si>
  <si>
    <t>DANILO ANTONIO  RAMIREZ SANDI</t>
  </si>
  <si>
    <t xml:space="preserve">88137927            </t>
  </si>
  <si>
    <t>daniloa.ramirez@gmail.com</t>
  </si>
  <si>
    <t>TRANSESSENCIAL</t>
  </si>
  <si>
    <t>0000001950</t>
  </si>
  <si>
    <t>JOSE MIGUEL  GONZALEZ GONZALEZ</t>
  </si>
  <si>
    <t xml:space="preserve">83300187            </t>
  </si>
  <si>
    <t>chacalotour@hotmail.com</t>
  </si>
  <si>
    <t>Chaca´s tour</t>
  </si>
  <si>
    <t>0000001673</t>
  </si>
  <si>
    <t>KAREN ELIZABETH  MORA QUESADA</t>
  </si>
  <si>
    <t xml:space="preserve">89063619            </t>
  </si>
  <si>
    <t xml:space="preserve">86115009            </t>
  </si>
  <si>
    <t>karenmq28@hotmail.com</t>
  </si>
  <si>
    <t>TRANSPORTES TURISMO ORTIZ</t>
  </si>
  <si>
    <t xml:space="preserve">88250734            </t>
  </si>
  <si>
    <t>0000001262</t>
  </si>
  <si>
    <t>KARLA MARIA  CASTRO RODRIGUEZ</t>
  </si>
  <si>
    <t xml:space="preserve">87643811            </t>
  </si>
  <si>
    <t>karla.maria.castro.rodriguez@gmail.com</t>
  </si>
  <si>
    <t>TRANSPORTE LAS JIMENNA´S</t>
  </si>
  <si>
    <t>0000002145</t>
  </si>
  <si>
    <t>RONALD  VILLALOBOS MORALES</t>
  </si>
  <si>
    <t xml:space="preserve">83800823            </t>
  </si>
  <si>
    <t xml:space="preserve">26953136            </t>
  </si>
  <si>
    <t>luisalvalfa@hotmail.es</t>
  </si>
  <si>
    <t>0000000348</t>
  </si>
  <si>
    <t>0000001403</t>
  </si>
  <si>
    <t xml:space="preserve">TRANSPORTES UGALDE Y ARAYA LIMITADA  </t>
  </si>
  <si>
    <t>LAURA ELENA  UGALDE ARAYA</t>
  </si>
  <si>
    <t>113330373</t>
  </si>
  <si>
    <t xml:space="preserve">83111966            </t>
  </si>
  <si>
    <t>transportesugalde@gmail.com</t>
  </si>
  <si>
    <t>TRANSPORTE UGALDE Y ARAYA</t>
  </si>
  <si>
    <t>0000001781</t>
  </si>
  <si>
    <t>CRISTOPHER CESAR  GUZMAN CAMPOS</t>
  </si>
  <si>
    <t xml:space="preserve">86147997            </t>
  </si>
  <si>
    <t>electroguzman08@hotmail.com</t>
  </si>
  <si>
    <t>VENTA ACCESORIOS DECORACION AUTOS</t>
  </si>
  <si>
    <t>G Y C MULTISERVICIOS</t>
  </si>
  <si>
    <t>502140884</t>
  </si>
  <si>
    <t>MARTA CECILIA  BOLAÑOS MORA</t>
  </si>
  <si>
    <t xml:space="preserve">83763244            </t>
  </si>
  <si>
    <t>martha.bmora@gmail.com</t>
  </si>
  <si>
    <t>00105026</t>
  </si>
  <si>
    <t>FRENTE A LA GASOLINERA JSM, TILARAN.</t>
  </si>
  <si>
    <t>0000000543</t>
  </si>
  <si>
    <t>JOSE MIGUEL  JIMENEZ VASQUEZ</t>
  </si>
  <si>
    <t xml:space="preserve">83124475            </t>
  </si>
  <si>
    <t xml:space="preserve">26958070            </t>
  </si>
  <si>
    <t>jomijiva@gmail.com</t>
  </si>
  <si>
    <t>DECORAUTO TILARAN</t>
  </si>
  <si>
    <t>202811059</t>
  </si>
  <si>
    <t>00164296</t>
  </si>
  <si>
    <t>50 OESTE DE SERVI REPUESTOS PICADO BARRIO SAN ANTONIO</t>
  </si>
  <si>
    <t>0000001258</t>
  </si>
  <si>
    <t xml:space="preserve">INNOVACORP DE CENTROAMERICA SOCIEDAD ANONIMA  </t>
  </si>
  <si>
    <t>VENTA ALIMENTOS EMPACADOS</t>
  </si>
  <si>
    <t>INNOVACORP DE CENTROAMERICA S.A</t>
  </si>
  <si>
    <t>0000000933</t>
  </si>
  <si>
    <t>XINIA MARIA GERARDINA  RODRIGUEZ ARGUEDAS</t>
  </si>
  <si>
    <t xml:space="preserve">83589135            </t>
  </si>
  <si>
    <t>dulceticocr@gmail.com</t>
  </si>
  <si>
    <t>DULCE TICO</t>
  </si>
  <si>
    <t>3101250117</t>
  </si>
  <si>
    <t xml:space="preserve">INDUSTRIAS DULCENATURAL SOCIEDAD ANONIMA  </t>
  </si>
  <si>
    <t>xiniarodriguezmv@gmail.com</t>
  </si>
  <si>
    <t>00095622</t>
  </si>
  <si>
    <t>1 Km  NORTE de la Escuela, Cabeceras.</t>
  </si>
  <si>
    <t>0000001433</t>
  </si>
  <si>
    <t>VENTA ALIMENTOS Y CONCENTRADOS</t>
  </si>
  <si>
    <t>ALMACEN CAMARA DE GANADEROS</t>
  </si>
  <si>
    <t>0000001970</t>
  </si>
  <si>
    <t>GEORGINA DEL CARMEN  ARIAS ZUÑIGA</t>
  </si>
  <si>
    <t xml:space="preserve">88353982            </t>
  </si>
  <si>
    <t xml:space="preserve">26944621            </t>
  </si>
  <si>
    <t>georginaariaszu;iga@gmail.com</t>
  </si>
  <si>
    <t>CONCENTRADOS GINO</t>
  </si>
  <si>
    <t>0000000205</t>
  </si>
  <si>
    <t>AGROVET BONICHE</t>
  </si>
  <si>
    <t>0000001911</t>
  </si>
  <si>
    <t>JEAN CARLOS  MONESTEL RODRIGUEZ</t>
  </si>
  <si>
    <t xml:space="preserve">64210070            </t>
  </si>
  <si>
    <t>monesteljeancarlosspc@gmail.com</t>
  </si>
  <si>
    <t>ALIMENTOS JMR</t>
  </si>
  <si>
    <t>502630863</t>
  </si>
  <si>
    <t>FREDDY ENRIQUE  MONESTEL GARCIA</t>
  </si>
  <si>
    <t xml:space="preserve">83805330            </t>
  </si>
  <si>
    <t>sap-123@hotmail.es</t>
  </si>
  <si>
    <t>00065082</t>
  </si>
  <si>
    <t xml:space="preserve">300M ESTE DE PLAZA DE FUTBOL </t>
  </si>
  <si>
    <t>0000002274</t>
  </si>
  <si>
    <t>LUZ ELIZABETH  GONZALEZ GONZALEZ</t>
  </si>
  <si>
    <t xml:space="preserve">84815397            </t>
  </si>
  <si>
    <t>eduardojimena0714@gmail.com</t>
  </si>
  <si>
    <t>Alimentos para mascotas J y L</t>
  </si>
  <si>
    <t>3002145149</t>
  </si>
  <si>
    <t xml:space="preserve">ASOCIACION TILAWA VEINTE TREINTA  </t>
  </si>
  <si>
    <t xml:space="preserve">26956980            </t>
  </si>
  <si>
    <t>activo2030tilaran@gmail.com</t>
  </si>
  <si>
    <t>00116557</t>
  </si>
  <si>
    <t>125M E ESCUELA TILARAN</t>
  </si>
  <si>
    <t>0000000795</t>
  </si>
  <si>
    <t>MANFRED ENRIQUE  CORDERO GARAY</t>
  </si>
  <si>
    <t xml:space="preserve">88500718            </t>
  </si>
  <si>
    <t xml:space="preserve">26944300            </t>
  </si>
  <si>
    <t>1-1056-0694@fe.finanzapro.com</t>
  </si>
  <si>
    <t>Almacén Agropecuario Dr. Cordero</t>
  </si>
  <si>
    <t>501710086</t>
  </si>
  <si>
    <t>00051492</t>
  </si>
  <si>
    <t>DIAGONAL A LA ESCUELA DE EL DOS, CABECERAS</t>
  </si>
  <si>
    <t>0000001741</t>
  </si>
  <si>
    <t>ALIMENTOS DR. CORDERO QUEBRADA GRANDE</t>
  </si>
  <si>
    <t>502980435</t>
  </si>
  <si>
    <t>DALLILY  SEGURA BRAVO</t>
  </si>
  <si>
    <t xml:space="preserve">83576308            </t>
  </si>
  <si>
    <t xml:space="preserve">26953143            </t>
  </si>
  <si>
    <t>lorenasb04@yahoo.es</t>
  </si>
  <si>
    <t>00217399</t>
  </si>
  <si>
    <t>100MTS AL OESTE DE LA IGLESIA, QDA GRANDE CENTRO</t>
  </si>
  <si>
    <t>0000001980</t>
  </si>
  <si>
    <t>0000002115</t>
  </si>
  <si>
    <t>NOILYN GINETTE  CALVO NOVO</t>
  </si>
  <si>
    <t xml:space="preserve">72965707            </t>
  </si>
  <si>
    <t>noylincalvo8@gmail.com</t>
  </si>
  <si>
    <t>CONCENTRADOS CHANGO</t>
  </si>
  <si>
    <t>602920547</t>
  </si>
  <si>
    <t>00113965</t>
  </si>
  <si>
    <t>300M E IGLESIA CATOLICA QDA GDE</t>
  </si>
  <si>
    <t>0000000525</t>
  </si>
  <si>
    <t>CONCENTRADOS TRONADORA</t>
  </si>
  <si>
    <t>0000001591</t>
  </si>
  <si>
    <t>RODNEY JUAN  SOLANO ESPINOZA</t>
  </si>
  <si>
    <t xml:space="preserve">88235349            </t>
  </si>
  <si>
    <t xml:space="preserve">26952053            </t>
  </si>
  <si>
    <t>almacenelcampesinoagro@hotmail.com</t>
  </si>
  <si>
    <t>ALMACEN EL CAMPESINO</t>
  </si>
  <si>
    <t>00103269</t>
  </si>
  <si>
    <t>0000000327</t>
  </si>
  <si>
    <t>YORLENY  VARGAS BLANCO</t>
  </si>
  <si>
    <t xml:space="preserve">83300999            </t>
  </si>
  <si>
    <t xml:space="preserve">88454131            </t>
  </si>
  <si>
    <t>yorlevb@hotmail.com</t>
  </si>
  <si>
    <t>VENTA BATIDOS FRUTAS HELADOS</t>
  </si>
  <si>
    <t>"FRUTAS DEL TROPICO"</t>
  </si>
  <si>
    <t>0000000375</t>
  </si>
  <si>
    <t xml:space="preserve">3-102-941788 SOCIEDAD DE RESPONSABILIDAD LIMITADA  </t>
  </si>
  <si>
    <t>HEYLIN MARIA  FERNANDEZ PORRAS</t>
  </si>
  <si>
    <t>205930746</t>
  </si>
  <si>
    <t xml:space="preserve">86040012            </t>
  </si>
  <si>
    <t>polloschecotilaran@gmail.com</t>
  </si>
  <si>
    <t>VENTA COMIDAS RAPIDAS</t>
  </si>
  <si>
    <t>COMIDAS RAPIDAS CHECO</t>
  </si>
  <si>
    <t>0000002217</t>
  </si>
  <si>
    <t>ALEXANDER  CAMPOS QUESADA</t>
  </si>
  <si>
    <t xml:space="preserve">87020205            </t>
  </si>
  <si>
    <t>alexanderc249@hotmail.com</t>
  </si>
  <si>
    <t xml:space="preserve">VENTANITA EXPRESS																						</t>
  </si>
  <si>
    <t>500880927</t>
  </si>
  <si>
    <t>PATRICIA ANTONIA DEL CARMEN  QUESADA GUZMAN</t>
  </si>
  <si>
    <t xml:space="preserve">83803490            </t>
  </si>
  <si>
    <t xml:space="preserve">26953146            </t>
  </si>
  <si>
    <t>rosita.herrera68@gmail.com</t>
  </si>
  <si>
    <t>00146014</t>
  </si>
  <si>
    <t>PASEO SAN ANTONIO, CONTIGUO TALLER PICADO, TILARÁN</t>
  </si>
  <si>
    <t>0000002196</t>
  </si>
  <si>
    <t>DANIELA DE LOS ANGELES  DELGADO BARAHONA</t>
  </si>
  <si>
    <t xml:space="preserve">87459499            </t>
  </si>
  <si>
    <t>danieladb99@gmail.com</t>
  </si>
  <si>
    <t>Ventanita Famii</t>
  </si>
  <si>
    <t>503350080</t>
  </si>
  <si>
    <t>JENNY GABRIELA  DELGADO BARAHONA</t>
  </si>
  <si>
    <t>00129847</t>
  </si>
  <si>
    <t>75 MTS NORTE DE LA IGLESIA CATOLICA, PARCELAS DE QUEBRADA AZUL</t>
  </si>
  <si>
    <t>0000002163</t>
  </si>
  <si>
    <t>DANIELA MELISSA  JARA SANCHEZ</t>
  </si>
  <si>
    <t xml:space="preserve">85538532            </t>
  </si>
  <si>
    <t>dani.jara0499@gmail.com</t>
  </si>
  <si>
    <t>VENTANA LAS CULEBRAS</t>
  </si>
  <si>
    <t>502100416</t>
  </si>
  <si>
    <t>RITSSIE DE LA TRINIDAD  ALFARO ARAYA</t>
  </si>
  <si>
    <t xml:space="preserve">60272999            </t>
  </si>
  <si>
    <t>sodalasculebras@gmail.com</t>
  </si>
  <si>
    <t>00187854</t>
  </si>
  <si>
    <t>100M NORTE MINISUPER EL FENIX TIERRAS MORENAS TILARAN</t>
  </si>
  <si>
    <t>0000002148</t>
  </si>
  <si>
    <t>DARWING  PULIDO OREJUELA</t>
  </si>
  <si>
    <t xml:space="preserve">88828778            </t>
  </si>
  <si>
    <t>darwingpulido23@gmail.com</t>
  </si>
  <si>
    <t>TEQUE PALITOS CR</t>
  </si>
  <si>
    <t>0000002154</t>
  </si>
  <si>
    <t>ERIKA  GUERRERO VEGA</t>
  </si>
  <si>
    <t xml:space="preserve">88587977            </t>
  </si>
  <si>
    <t>guerrerovegaerika22@gmail.com</t>
  </si>
  <si>
    <t>Central Pizza</t>
  </si>
  <si>
    <t>0000001629</t>
  </si>
  <si>
    <t>CEVICHERA GUAYO</t>
  </si>
  <si>
    <t>0000001810</t>
  </si>
  <si>
    <t>JULIANA  RAMIREZ ARIAS</t>
  </si>
  <si>
    <t xml:space="preserve">61457870            </t>
  </si>
  <si>
    <t>julianaramirez33@icloud.com</t>
  </si>
  <si>
    <t>FOOD TRUCK</t>
  </si>
  <si>
    <t>0000002095</t>
  </si>
  <si>
    <t>RESERVA BOSQUE NUBOSO SANTA ELENA TURISMO Y AVENT.</t>
  </si>
  <si>
    <t>0000000595</t>
  </si>
  <si>
    <t>KATHY LILENA  MARTINEZ VARGAS</t>
  </si>
  <si>
    <t xml:space="preserve">84467766            </t>
  </si>
  <si>
    <t>facturasconta0940@gmail.com</t>
  </si>
  <si>
    <t>La Ventanita de Kathy</t>
  </si>
  <si>
    <t>503190940</t>
  </si>
  <si>
    <t>00229593</t>
  </si>
  <si>
    <t>100 MTS ESTE DEL GIMNASIO ARENAL</t>
  </si>
  <si>
    <t>0000002021</t>
  </si>
  <si>
    <t>KATYA MARIA  FERNANDEZ JIMENEZ</t>
  </si>
  <si>
    <t xml:space="preserve">63291945            </t>
  </si>
  <si>
    <t>kathiaferndz@gmail.com</t>
  </si>
  <si>
    <t>Ventanita Las Palmas</t>
  </si>
  <si>
    <t>602010021</t>
  </si>
  <si>
    <t>EFRAIN DONATO RAMON  ELIZONDO ELIZONDO</t>
  </si>
  <si>
    <t>francinielizondo14@gmail.com</t>
  </si>
  <si>
    <t>00103920</t>
  </si>
  <si>
    <t>300M O DE LA CANCHA DE FUTBOL DE TRONADORA</t>
  </si>
  <si>
    <t>0000001929</t>
  </si>
  <si>
    <t>Cevichera Guayo Arenal</t>
  </si>
  <si>
    <t>0000002026</t>
  </si>
  <si>
    <t>LUIS RONALD  RUIZ NUÑEZ</t>
  </si>
  <si>
    <t xml:space="preserve">87221889            </t>
  </si>
  <si>
    <t>purrus.express@gmail.com</t>
  </si>
  <si>
    <t>PURRU'S EXPRESS</t>
  </si>
  <si>
    <t>503380664</t>
  </si>
  <si>
    <t>00214720</t>
  </si>
  <si>
    <t>ETAPA 2 B.LAS BRISAS CASA J-17</t>
  </si>
  <si>
    <t>0000000986</t>
  </si>
  <si>
    <t>MAILYN SOFIA  MURILLO VEGA</t>
  </si>
  <si>
    <t xml:space="preserve">71148003            </t>
  </si>
  <si>
    <t>sofiamurillo1505@gmail.com</t>
  </si>
  <si>
    <t>BARUJ</t>
  </si>
  <si>
    <t>503800452</t>
  </si>
  <si>
    <t>00230438</t>
  </si>
  <si>
    <t>75 M NORTE DEL CAMPO FERIA, ATRA, TILARÁN</t>
  </si>
  <si>
    <t>0000002221</t>
  </si>
  <si>
    <t>MARGARITA  FERNANDEZ LOPEZ</t>
  </si>
  <si>
    <t xml:space="preserve">89110234            </t>
  </si>
  <si>
    <t>mfernadezltila2016@gmail.com</t>
  </si>
  <si>
    <t>Delicias Las Margaritas</t>
  </si>
  <si>
    <t>502140174</t>
  </si>
  <si>
    <t>00100128</t>
  </si>
  <si>
    <t>50 M SUR DEL TANQUE DE AGUA, PARCELAS QUEBRADA AZUL, SANTA ROSA.</t>
  </si>
  <si>
    <t>0000001608</t>
  </si>
  <si>
    <t>MARIA CUSTODIA DEL CARMEN  PICADO FERNANDEZ</t>
  </si>
  <si>
    <t xml:space="preserve">83514499            </t>
  </si>
  <si>
    <t xml:space="preserve">26955847            </t>
  </si>
  <si>
    <t>mpicadof09@gmail.com</t>
  </si>
  <si>
    <t xml:space="preserve">CAFÉ MARÍA </t>
  </si>
  <si>
    <t>111500163</t>
  </si>
  <si>
    <t>VERONICA  PICADO BONICHE</t>
  </si>
  <si>
    <t xml:space="preserve">89127630            </t>
  </si>
  <si>
    <t>pboniche@gmail.com</t>
  </si>
  <si>
    <t>00009778</t>
  </si>
  <si>
    <t>175 M OESTE DEL BANCO DE COSTA RICA , TILARAN.</t>
  </si>
  <si>
    <t>0000000249</t>
  </si>
  <si>
    <t>MARIA FERNANDA  LOPEZ CORDERO</t>
  </si>
  <si>
    <t xml:space="preserve">85261320            </t>
  </si>
  <si>
    <t>corderofernanda275@gmail.com</t>
  </si>
  <si>
    <t>THE ONLY CHARLIE GRILL</t>
  </si>
  <si>
    <t>0000002138</t>
  </si>
  <si>
    <t>MARIA MYRIAM  SOLANO MEJIAS</t>
  </si>
  <si>
    <t xml:space="preserve">84672291            </t>
  </si>
  <si>
    <t>alonsotv03@gmail.com</t>
  </si>
  <si>
    <t>Comidas Rápidas el Buen Sabor</t>
  </si>
  <si>
    <t>0000002237</t>
  </si>
  <si>
    <t xml:space="preserve">NO DAY LIKE TODAY LIMITADA  </t>
  </si>
  <si>
    <t xml:space="preserve">62536778            </t>
  </si>
  <si>
    <t>nicholas.oday@gmail.com</t>
  </si>
  <si>
    <t>JUPA DE PAN</t>
  </si>
  <si>
    <t>505859327</t>
  </si>
  <si>
    <t xml:space="preserve">NICHOLAS MATTHEW O DAY  </t>
  </si>
  <si>
    <t xml:space="preserve">62946335            </t>
  </si>
  <si>
    <t>00153144</t>
  </si>
  <si>
    <t>400 MTS OE Y 200 MTS SUR BNCR,ARENAL</t>
  </si>
  <si>
    <t>0000001443</t>
  </si>
  <si>
    <t>SEBASTIAN  QUESADA ROSALES</t>
  </si>
  <si>
    <t xml:space="preserve">85631632            </t>
  </si>
  <si>
    <t>eurekagrill23@gmail.com</t>
  </si>
  <si>
    <t>506 SNACKS</t>
  </si>
  <si>
    <t>0000001315</t>
  </si>
  <si>
    <t>SOMAIE  ALVARADO ESQUIVEL</t>
  </si>
  <si>
    <t xml:space="preserve">83093217            </t>
  </si>
  <si>
    <t>casterjavi@hotmail.com</t>
  </si>
  <si>
    <t>PIZZA MUNDI</t>
  </si>
  <si>
    <t>501760238</t>
  </si>
  <si>
    <t>VILMA VIRGINIA  HERRERA ACUÑA</t>
  </si>
  <si>
    <t xml:space="preserve">87490050            </t>
  </si>
  <si>
    <t>00080021</t>
  </si>
  <si>
    <t>325 MTS SUR DEL GIMNASIO NUEVO ARENAL</t>
  </si>
  <si>
    <t>0000001340</t>
  </si>
  <si>
    <t>LA PARRILLA DE SOFIA</t>
  </si>
  <si>
    <t>0000001947</t>
  </si>
  <si>
    <t>WENDY  SALAS CONEJO</t>
  </si>
  <si>
    <t xml:space="preserve">84805330            </t>
  </si>
  <si>
    <t>salasw245@gmail.com</t>
  </si>
  <si>
    <t>Taco´Adiccion!</t>
  </si>
  <si>
    <t>0000002035</t>
  </si>
  <si>
    <t>WILFRED  SOLIS QUESADA</t>
  </si>
  <si>
    <t>solisquesadawilfred@gmail.com</t>
  </si>
  <si>
    <t xml:space="preserve">CALIENTE &amp; FRIO TRUCK COFFE													</t>
  </si>
  <si>
    <t>0000002214</t>
  </si>
  <si>
    <t>VENTA DE ACCESOR PARA COMPUTADORAS</t>
  </si>
  <si>
    <t>CIRCULO HIPERION S.A</t>
  </si>
  <si>
    <t>0000000666</t>
  </si>
  <si>
    <t xml:space="preserve">COMPUSOTEC SISTEMAS SOCIEDAD ANONIMA  </t>
  </si>
  <si>
    <t xml:space="preserve">88833871            </t>
  </si>
  <si>
    <t>mario5soto@hotmail.com</t>
  </si>
  <si>
    <t>COMPUSOTEC SISTEMAS</t>
  </si>
  <si>
    <t>0000001582</t>
  </si>
  <si>
    <t>VENTA DE ACCESORIOS PARA CELULARES</t>
  </si>
  <si>
    <t>0000001908</t>
  </si>
  <si>
    <t>VENTA DE LINEA BLANCA</t>
  </si>
  <si>
    <t>"IMPORTADORA MONGE</t>
  </si>
  <si>
    <t>0000000727</t>
  </si>
  <si>
    <t xml:space="preserve">UNION COMERCIAL DE COSTA RICA UNICOMER SOCIEDAD AN  </t>
  </si>
  <si>
    <t xml:space="preserve">86265014            </t>
  </si>
  <si>
    <t xml:space="preserve">24374808            </t>
  </si>
  <si>
    <t>contabilidad_cr@unicomer.com</t>
  </si>
  <si>
    <t>Almacén Gollo Tilarán</t>
  </si>
  <si>
    <t>3101486031</t>
  </si>
  <si>
    <t xml:space="preserve">CASOVA INVERSIONES DE TILARAN SOCIEDAD ANONIMA  </t>
  </si>
  <si>
    <t xml:space="preserve">26957777            </t>
  </si>
  <si>
    <t>00251910</t>
  </si>
  <si>
    <t>100 M NORTE DE LA CATEDRAL, TILARAN</t>
  </si>
  <si>
    <t>0000000608</t>
  </si>
  <si>
    <t>CURACAO</t>
  </si>
  <si>
    <t>00025003</t>
  </si>
  <si>
    <t>COSTADO SUR DE LA IGLESIA CATOLICA DE TILARAN</t>
  </si>
  <si>
    <t>0000000609</t>
  </si>
  <si>
    <t>VENTA DE LLANTAS Y AROS</t>
  </si>
  <si>
    <t>0000000544</t>
  </si>
  <si>
    <t>MINOR  GUZMAN VINDAS</t>
  </si>
  <si>
    <t>mipaguvi@hotmail.com</t>
  </si>
  <si>
    <t>"LLANTAS GUZMAN"</t>
  </si>
  <si>
    <t>203290806</t>
  </si>
  <si>
    <t>00011685</t>
  </si>
  <si>
    <t>130 MTS NORTE DE LA GAR</t>
  </si>
  <si>
    <t>0000000464</t>
  </si>
  <si>
    <t>VENTA DE LOTERIA ELECTRONICA</t>
  </si>
  <si>
    <t>LOTERIA FARMACIA DON GERARDO</t>
  </si>
  <si>
    <t>0000001380</t>
  </si>
  <si>
    <t>0000001609</t>
  </si>
  <si>
    <t>ARMANDO JOSE  ROJAS LIZANO</t>
  </si>
  <si>
    <t xml:space="preserve">60238744            </t>
  </si>
  <si>
    <t>armandorojas98@gmail.com</t>
  </si>
  <si>
    <t>VENTA DE REPUESTOS Y REPARACION DE LINEA BLANCA</t>
  </si>
  <si>
    <t>Rojas Lizano Servicios Técnicos</t>
  </si>
  <si>
    <t>502800882</t>
  </si>
  <si>
    <t>PATRICIA  VEGA RODRIGUEZ</t>
  </si>
  <si>
    <t xml:space="preserve">89359512            </t>
  </si>
  <si>
    <t>vegarp13@hotmail.com</t>
  </si>
  <si>
    <t>00139940</t>
  </si>
  <si>
    <t>DEL BANCO NACIONAL 100 MTS SUR Y 125 MTS OESTE TILARAN</t>
  </si>
  <si>
    <t>0000001914</t>
  </si>
  <si>
    <t>JOSE LUIS  SALAS MIRANDA</t>
  </si>
  <si>
    <t xml:space="preserve">89983976            </t>
  </si>
  <si>
    <t xml:space="preserve">26956720            </t>
  </si>
  <si>
    <t>salasjosespc@gmai.com</t>
  </si>
  <si>
    <t>VENTA DE VIDRIOS.</t>
  </si>
  <si>
    <t>VIDRIOS Y CELOSÍAS SALAS Y SALAS</t>
  </si>
  <si>
    <t>502570616</t>
  </si>
  <si>
    <t>00239912</t>
  </si>
  <si>
    <t>COSTADO OESTE DE LA GUARDIA</t>
  </si>
  <si>
    <t>0000000360</t>
  </si>
  <si>
    <t>JOSE STEVEN  MURILLO ARAYA</t>
  </si>
  <si>
    <t xml:space="preserve">71446148            </t>
  </si>
  <si>
    <t>VIDRIOS Y ESTRUCTURAS MURILLO</t>
  </si>
  <si>
    <t>0000001748</t>
  </si>
  <si>
    <t>VENTA ELECTRODOMESTICOS</t>
  </si>
  <si>
    <t>GMG COMERCIAL COSTA RICA</t>
  </si>
  <si>
    <t>0000001081</t>
  </si>
  <si>
    <t>JUAN JOSE  CANTILLANO LOPEZ</t>
  </si>
  <si>
    <t xml:space="preserve">86257617            </t>
  </si>
  <si>
    <t>juanjo88asd@gmail.com</t>
  </si>
  <si>
    <t>MUEBLES TILARAN</t>
  </si>
  <si>
    <t>702390086</t>
  </si>
  <si>
    <t>00007026</t>
  </si>
  <si>
    <t>75 MTS SUR DE LA GUARDIA RURAL</t>
  </si>
  <si>
    <t>0000000435</t>
  </si>
  <si>
    <t>0000000323</t>
  </si>
  <si>
    <t>VENTA GOLOSINAS Y REFRESCOS</t>
  </si>
  <si>
    <t>0000000508</t>
  </si>
  <si>
    <t>MARIA ANGELA DE LOS ANGELES  ALVAREZ CASTRO</t>
  </si>
  <si>
    <t xml:space="preserve">86318535            </t>
  </si>
  <si>
    <t xml:space="preserve">26955613            </t>
  </si>
  <si>
    <t>jorgemurilloalvarez@gmail.com</t>
  </si>
  <si>
    <t>VENTA INSTR.MUNSICALES Y ACCESORIOS</t>
  </si>
  <si>
    <t>ESTUDIO SUPER ESTRELLA S.A</t>
  </si>
  <si>
    <t>3101196741</t>
  </si>
  <si>
    <t xml:space="preserve">ESTUDIO SUPER ESTRELLA SOCIEDAD ANONIMA  </t>
  </si>
  <si>
    <t>00014124</t>
  </si>
  <si>
    <t>25 M NORTE DEL MERCADO MUNICIPAL</t>
  </si>
  <si>
    <t>0000001279</t>
  </si>
  <si>
    <t>ANDREA  ULLOA CHACON</t>
  </si>
  <si>
    <t xml:space="preserve">89050205            </t>
  </si>
  <si>
    <t>sndktg09@gmail.com</t>
  </si>
  <si>
    <t>VENTA PRODUCTOS DE BELLEZA</t>
  </si>
  <si>
    <t xml:space="preserve">ACADEMIA Y SUPLIDORA ANDREA ULLOA NAILS </t>
  </si>
  <si>
    <t>0000001931</t>
  </si>
  <si>
    <t>GENESIS SOFIA  BONICHE MOLINA</t>
  </si>
  <si>
    <t xml:space="preserve">89722841            </t>
  </si>
  <si>
    <t>gemolina1203@gmail.com</t>
  </si>
  <si>
    <t>GEBON</t>
  </si>
  <si>
    <t>0000001605</t>
  </si>
  <si>
    <t>LIDIETTE DEL CARMEN  VARGAS RAMIREZ</t>
  </si>
  <si>
    <t xml:space="preserve">89184983            </t>
  </si>
  <si>
    <t xml:space="preserve">26957111            </t>
  </si>
  <si>
    <t>lidiethvargascontador@gmail.com</t>
  </si>
  <si>
    <t>SALA BELLEZA SOFIA.</t>
  </si>
  <si>
    <t>0000000293</t>
  </si>
  <si>
    <t>YOLANDA  SANDOVAL GUTIERREZ</t>
  </si>
  <si>
    <t xml:space="preserve">88048879            </t>
  </si>
  <si>
    <t>yolitila1818@gmail.com</t>
  </si>
  <si>
    <t>SALA DE BELLEZA YOLI</t>
  </si>
  <si>
    <t>500731001</t>
  </si>
  <si>
    <t>BERTALIA AMABLE TRINIDAD  BARRANTES ALVAREZ</t>
  </si>
  <si>
    <t xml:space="preserve">84887064            </t>
  </si>
  <si>
    <t>xeniaalfa18@gmail.com</t>
  </si>
  <si>
    <t>00085076</t>
  </si>
  <si>
    <t>100 SUR 75 OESTE DE L IGLESIA CATOLICA</t>
  </si>
  <si>
    <t>0000000313</t>
  </si>
  <si>
    <t>KARLA PAMELA  ELIZONDO ARRIETA</t>
  </si>
  <si>
    <t xml:space="preserve">88057499            </t>
  </si>
  <si>
    <t>macrobioticarenacer3@gmail.com</t>
  </si>
  <si>
    <t>VENTA PRODUCTOS NATURALES</t>
  </si>
  <si>
    <t>MACROBIÓTICA RENACER</t>
  </si>
  <si>
    <t>0000000478</t>
  </si>
  <si>
    <t>STEPHANIE  SALAS ROJAS</t>
  </si>
  <si>
    <t xml:space="preserve">86883317            </t>
  </si>
  <si>
    <t>salassstephanie@gmail.com</t>
  </si>
  <si>
    <t>Macrobiótica Salas</t>
  </si>
  <si>
    <t>204340826</t>
  </si>
  <si>
    <t>GEOVANNI GERARDO  FERRETO HIDALGO</t>
  </si>
  <si>
    <t xml:space="preserve">88856718            </t>
  </si>
  <si>
    <t>ferreto1968@gmail.com</t>
  </si>
  <si>
    <t>00045158</t>
  </si>
  <si>
    <t>0000001834</t>
  </si>
  <si>
    <t>DOUGLAS ESTEBAN  ROBLES OBANDO</t>
  </si>
  <si>
    <t xml:space="preserve">86144231            </t>
  </si>
  <si>
    <t>duglasrobles19@gmail.com</t>
  </si>
  <si>
    <t>VENTA REPARACION CELULARES</t>
  </si>
  <si>
    <t>TILA ESTUCHES STORE</t>
  </si>
  <si>
    <t>0000002018</t>
  </si>
  <si>
    <t>CELULARES JOYCA</t>
  </si>
  <si>
    <t>0000000136</t>
  </si>
  <si>
    <t>VENTA REPARACION COMPUTADORAS</t>
  </si>
  <si>
    <t>STEP UP TECH</t>
  </si>
  <si>
    <t>0000001909</t>
  </si>
  <si>
    <t>JUAN DIEGO  AGUILAR SOLANO</t>
  </si>
  <si>
    <t xml:space="preserve">83106955            </t>
  </si>
  <si>
    <t>cybertom.cr@gmail.com</t>
  </si>
  <si>
    <t>CYBERTOM</t>
  </si>
  <si>
    <t>0000001052</t>
  </si>
  <si>
    <t>MINOR BOLIVAR  NUÑEZ PADILLA</t>
  </si>
  <si>
    <t xml:space="preserve">83097866            </t>
  </si>
  <si>
    <t>minornp@gmail.com</t>
  </si>
  <si>
    <t>SERVICIOS TECNICOS NUÑEZ</t>
  </si>
  <si>
    <t>0000001423</t>
  </si>
  <si>
    <t>WILLIAM DEL CARMEN  ARGUEDAS VENEGAS</t>
  </si>
  <si>
    <t xml:space="preserve">88131528            </t>
  </si>
  <si>
    <t>wiarve@yahoo.com</t>
  </si>
  <si>
    <t>TECNOLOGIA SIGLO XXI</t>
  </si>
  <si>
    <t>502190389</t>
  </si>
  <si>
    <t>00031452</t>
  </si>
  <si>
    <t>75 M SUR DE LA GUARDIA RURAL, TILARAN.</t>
  </si>
  <si>
    <t>0000002234</t>
  </si>
  <si>
    <t>VENTA SUMINISTROS AGRICOLA</t>
  </si>
  <si>
    <t>0000002275</t>
  </si>
  <si>
    <t>0000000328</t>
  </si>
  <si>
    <t xml:space="preserve">TILAMEDICA SOCIEDAD ANONIMA  </t>
  </si>
  <si>
    <t>VENTA SUMINISTROS EQUIPOS MEDICOS</t>
  </si>
  <si>
    <t>TILAMEDICA</t>
  </si>
  <si>
    <t>3101779140</t>
  </si>
  <si>
    <t xml:space="preserve">40703234            </t>
  </si>
  <si>
    <t>mfo@tilamedicacr.com</t>
  </si>
  <si>
    <t>00034282</t>
  </si>
  <si>
    <t>100 MTS NORTE DEL LICEO MAURILIO ALVARADO VARGAS</t>
  </si>
  <si>
    <t>0000000777</t>
  </si>
  <si>
    <t xml:space="preserve">VEDIMED VENTA DE INSTRUMENTACION MEDICA SOCIEDAD D  </t>
  </si>
  <si>
    <t>CARLA MARIA  ALVAREZ ZAMORA</t>
  </si>
  <si>
    <t>207450614</t>
  </si>
  <si>
    <t xml:space="preserve">83788962            </t>
  </si>
  <si>
    <t>kzamora349@gmail.com</t>
  </si>
  <si>
    <t>VEDIMED SUMINISTROS MEDICOS</t>
  </si>
  <si>
    <t>110670738</t>
  </si>
  <si>
    <t>LAURA  MURILLO ALVAREZ</t>
  </si>
  <si>
    <t xml:space="preserve">88615760            </t>
  </si>
  <si>
    <t>00141873</t>
  </si>
  <si>
    <t>150 MTS OESTE DEL BANCO DE COSTA RICA</t>
  </si>
  <si>
    <t>0000002006</t>
  </si>
  <si>
    <t>VENTA Y REPARACION BUCHING</t>
  </si>
  <si>
    <t>MULTISERVICIOS LUIGI</t>
  </si>
  <si>
    <t>0000000379</t>
  </si>
  <si>
    <t>VERDULERIA</t>
  </si>
  <si>
    <t>0000001765</t>
  </si>
  <si>
    <t xml:space="preserve">HORTIFRES HERMANOS JIMENEZ SOCIEDAD ANONIMA  </t>
  </si>
  <si>
    <t xml:space="preserve">60692412            </t>
  </si>
  <si>
    <t>VERDULERIA HORTIFRES</t>
  </si>
  <si>
    <t>00053860</t>
  </si>
  <si>
    <t>80 M NORTE DE LA CATEDRAL</t>
  </si>
  <si>
    <t>0000000519</t>
  </si>
  <si>
    <t>LUIS DIEGO  MURILLO ALONSO</t>
  </si>
  <si>
    <t xml:space="preserve">64900550            </t>
  </si>
  <si>
    <t>alonsimurld@gmail.com</t>
  </si>
  <si>
    <t>Frutas y verduras Rio Piedras</t>
  </si>
  <si>
    <t>3002078013</t>
  </si>
  <si>
    <t xml:space="preserve">ASOCIACION DE DESARROLLO INTEGRAL DE RIO PIEDRAS Y  </t>
  </si>
  <si>
    <t>adiriopiedras@gmail.com</t>
  </si>
  <si>
    <t>00900791</t>
  </si>
  <si>
    <t>SALON COMUNAL DE RIO PIEDRAS</t>
  </si>
  <si>
    <t>0000001691</t>
  </si>
  <si>
    <t>STEPHANNY MARIA  MEJIAS SOLANO</t>
  </si>
  <si>
    <t xml:space="preserve">70845201            </t>
  </si>
  <si>
    <t>steph.ms97@gmail.com</t>
  </si>
  <si>
    <t>MINI VERDULERIA LAS PALMAS</t>
  </si>
  <si>
    <t>501660958</t>
  </si>
  <si>
    <t>XENIA MARIA  SOLANO CANTILLANO</t>
  </si>
  <si>
    <t xml:space="preserve">86503250            </t>
  </si>
  <si>
    <t>xsolanocantillano@gmail.com</t>
  </si>
  <si>
    <t>00085421</t>
  </si>
  <si>
    <t>500 OESTE IGLESIA CATOLICA TRONADORA</t>
  </si>
  <si>
    <t>0000000976</t>
  </si>
  <si>
    <t>ANA CRISTINA  ROJAS CHAVARRIA</t>
  </si>
  <si>
    <t xml:space="preserve">89143232            </t>
  </si>
  <si>
    <t xml:space="preserve">83746044            </t>
  </si>
  <si>
    <t>socateli@hotmail.com</t>
  </si>
  <si>
    <t>VETERINARIA</t>
  </si>
  <si>
    <t>TILAVET</t>
  </si>
  <si>
    <t>110800286</t>
  </si>
  <si>
    <t>0012349-</t>
  </si>
  <si>
    <t>-</t>
  </si>
  <si>
    <t xml:space="preserve">125M SUR DEL BANCO NACIONAL </t>
  </si>
  <si>
    <t>0000000053</t>
  </si>
  <si>
    <t>0000000589</t>
  </si>
  <si>
    <t xml:space="preserve">CVITAL J &amp; A SOCIEDAD DE RESPONSABILIDAD LIMITADA  </t>
  </si>
  <si>
    <t xml:space="preserve">62089508            </t>
  </si>
  <si>
    <t>arelysariasvet@gmail.com</t>
  </si>
  <si>
    <t>CLUB VITAL VET CENTER</t>
  </si>
  <si>
    <t>0000002167</t>
  </si>
  <si>
    <t xml:space="preserve">DR CORDERO VETERINARIA Y ALIMENTOS SOCIEDAD ANONIM  </t>
  </si>
  <si>
    <t xml:space="preserve">83185427            </t>
  </si>
  <si>
    <t>admin@veterinariasdrcordero.com</t>
  </si>
  <si>
    <t>VETERINARIA DR.CORDERO</t>
  </si>
  <si>
    <t>00006648</t>
  </si>
  <si>
    <t>100 MTS NORTE Y 50 ESTE DE LA IGLESIA</t>
  </si>
  <si>
    <t>0000000050</t>
  </si>
  <si>
    <t>0000000497</t>
  </si>
  <si>
    <t>CLINICA VETERINARIA CRUZ</t>
  </si>
  <si>
    <t>00157189</t>
  </si>
  <si>
    <t>2.5 KM SURESTE DE LAS OFICINAS DEL ICE, TILARÁN</t>
  </si>
  <si>
    <t>0000000060</t>
  </si>
  <si>
    <t xml:space="preserve">VETERINARIA VILLA EL ROSAL SOCIEDAD ANONIMA  </t>
  </si>
  <si>
    <t xml:space="preserve">88841460            </t>
  </si>
  <si>
    <t>veterinariatilaranspc@gmail.com</t>
  </si>
  <si>
    <t>VETERINARIA VILLA EL ROSAL</t>
  </si>
  <si>
    <t>3101409922</t>
  </si>
  <si>
    <t xml:space="preserve">SUPER VETERINARIA TILARAN DE GUANACASTE V.A. SOCIE  </t>
  </si>
  <si>
    <t xml:space="preserve">26953006            </t>
  </si>
  <si>
    <t>superveterinariatilaran@hotmail.com</t>
  </si>
  <si>
    <t>00109488</t>
  </si>
  <si>
    <t>25 OESTE DE GASOLINERA TILARAN "SUPER VETERINARIA TILARAN"</t>
  </si>
  <si>
    <t>0000001355</t>
  </si>
  <si>
    <t>ADEMAR FRANCISCO  ALVARADO CASTRO</t>
  </si>
  <si>
    <t xml:space="preserve">89441717            </t>
  </si>
  <si>
    <t>VIVERO</t>
  </si>
  <si>
    <t>VIVERO EL PALMAR</t>
  </si>
  <si>
    <t>3101029382</t>
  </si>
  <si>
    <t xml:space="preserve">AGUAS VERDES SOCIEDAD ANONIMA  </t>
  </si>
  <si>
    <t xml:space="preserve">83849132            </t>
  </si>
  <si>
    <t>elizondomurillo@ice.co.cr</t>
  </si>
  <si>
    <t>00060474</t>
  </si>
  <si>
    <t>100M NORTE Y 50 MTS OESTE DE LA IGLESIA CATOLICA LOS ANGELES</t>
  </si>
  <si>
    <t>0000000298</t>
  </si>
  <si>
    <t>MARIA JOSE  CRUZ MARTINEZ</t>
  </si>
  <si>
    <t xml:space="preserve">87745668            </t>
  </si>
  <si>
    <t>mariajo1601@hotmail.com</t>
  </si>
  <si>
    <t>VIVERO CENTRAL</t>
  </si>
  <si>
    <t>500680522</t>
  </si>
  <si>
    <t>ADELINA  PAZOS ANGULO</t>
  </si>
  <si>
    <t xml:space="preserve">87681556            </t>
  </si>
  <si>
    <t>viverolavid.cr@gmail.com</t>
  </si>
  <si>
    <t>00018154</t>
  </si>
  <si>
    <t>COSTADO SUR DEL BANCO NACIONAL DE COSTA RICA, TILARAN.</t>
  </si>
  <si>
    <t>0000001846</t>
  </si>
  <si>
    <t>VIVERO BRISAS DE TILAWA</t>
  </si>
  <si>
    <t>0000000715</t>
  </si>
  <si>
    <t>TIPO DE ZONA</t>
  </si>
  <si>
    <t>SI</t>
  </si>
  <si>
    <t>CONDICIÓN</t>
  </si>
  <si>
    <t>MEDIOS DE NOTIFICACIÓN</t>
  </si>
  <si>
    <t>APLICA O NO</t>
  </si>
  <si>
    <t>USOS</t>
  </si>
  <si>
    <t>GESTIÓN</t>
  </si>
  <si>
    <t>Permiso que señala la Ley General de Salud</t>
  </si>
  <si>
    <t>Habitación.</t>
  </si>
  <si>
    <t>NO</t>
  </si>
  <si>
    <t>Apoderado</t>
  </si>
  <si>
    <t>Fax</t>
  </si>
  <si>
    <t>Aplica</t>
  </si>
  <si>
    <t>USO CONFORME</t>
  </si>
  <si>
    <t xml:space="preserve">Certificado Veterinario de Operación requerido en la Ley General del Servicio Nacional de Salud Animal. </t>
  </si>
  <si>
    <t>Servicios de oficina.</t>
  </si>
  <si>
    <t>Representante Legal</t>
  </si>
  <si>
    <t xml:space="preserve">NO </t>
  </si>
  <si>
    <t>No aplica</t>
  </si>
  <si>
    <t>USO NO CONFORME</t>
  </si>
  <si>
    <t>Servicios para el comercio y abasto.</t>
  </si>
  <si>
    <t>Dirección representante o apoderado</t>
  </si>
  <si>
    <t>Servicios para la salud.</t>
  </si>
  <si>
    <t>MINISTERIO DE SALUD</t>
  </si>
  <si>
    <t>Simplificación de Trámites</t>
  </si>
  <si>
    <t>Servicios para la educación.</t>
  </si>
  <si>
    <t>PROVINCIA-CANTON-DISTRITO</t>
  </si>
  <si>
    <t>PROVINCIA</t>
  </si>
  <si>
    <t>PROVINCIA-CANTÓN</t>
  </si>
  <si>
    <t>HORARIO</t>
  </si>
  <si>
    <t>Sección</t>
  </si>
  <si>
    <t>División</t>
  </si>
  <si>
    <t>Grupo</t>
  </si>
  <si>
    <t>Clase</t>
  </si>
  <si>
    <t>El Permiso Sanitario de Funcionamiento se otorga a los establecimientos que albergan las siguientes actividades</t>
  </si>
  <si>
    <t>Equivalencia al CIIU 3</t>
  </si>
  <si>
    <r>
      <t xml:space="preserve">Riesgo Sanitario
</t>
    </r>
    <r>
      <rPr>
        <b/>
        <i/>
        <sz val="12"/>
        <color indexed="8"/>
        <rFont val="Calibri"/>
        <family val="2"/>
      </rPr>
      <t>Ministerio de Salud</t>
    </r>
  </si>
  <si>
    <t>Actividades de Comercialización y Servicios del SENASA</t>
  </si>
  <si>
    <t>Servicios religiosos.</t>
  </si>
  <si>
    <t>00:00 am</t>
  </si>
  <si>
    <t>Servicios para la cultura y el deporte.</t>
  </si>
  <si>
    <t>SAN JOSE</t>
  </si>
  <si>
    <t>SAN JOSÉ</t>
  </si>
  <si>
    <t>San José</t>
  </si>
  <si>
    <t>01:00 am</t>
  </si>
  <si>
    <t>Columna2</t>
  </si>
  <si>
    <t>Columna12</t>
  </si>
  <si>
    <t>Servicios de alojamiento y turismo.</t>
  </si>
  <si>
    <t>ALAJUELA</t>
  </si>
  <si>
    <t>02:00 am</t>
  </si>
  <si>
    <t>Venta al por mayor de carne y productos cárnicos</t>
  </si>
  <si>
    <t>Instalaciones para la seguridad.</t>
  </si>
  <si>
    <t>El Carmen</t>
  </si>
  <si>
    <t>CARTAGO</t>
  </si>
  <si>
    <t>ESCAZU</t>
  </si>
  <si>
    <t>03:00 am</t>
  </si>
  <si>
    <t>Recibo, clasificación y primera venta de productos pesqueros.</t>
  </si>
  <si>
    <t>Servicios funerarios.</t>
  </si>
  <si>
    <t>Merced</t>
  </si>
  <si>
    <t>HEREDIA</t>
  </si>
  <si>
    <t>DESAMPARADOS</t>
  </si>
  <si>
    <t>04:00 am</t>
  </si>
  <si>
    <t>Venta al por mayor de productos lácteos</t>
  </si>
  <si>
    <t>Transporte y comunicación.</t>
  </si>
  <si>
    <t>Hospital</t>
  </si>
  <si>
    <t>GUANACASTE</t>
  </si>
  <si>
    <t>PURISCAL</t>
  </si>
  <si>
    <t>05:00 am</t>
  </si>
  <si>
    <t>Venta al por mayor de huevo fresco</t>
  </si>
  <si>
    <t>Industria.</t>
  </si>
  <si>
    <t>Catedral</t>
  </si>
  <si>
    <t>PUNTARENAS</t>
  </si>
  <si>
    <t>TARRAZU</t>
  </si>
  <si>
    <t>06:00 am</t>
  </si>
  <si>
    <t>Envasado y Venta al por mayor de miel y productos apícolas (polen, propóleo, jalea real)</t>
  </si>
  <si>
    <t>Instalaciones para la infraestructura.</t>
  </si>
  <si>
    <t>Zapote</t>
  </si>
  <si>
    <t>LIMÓN</t>
  </si>
  <si>
    <t>ASERRI</t>
  </si>
  <si>
    <t>07:00 am</t>
  </si>
  <si>
    <t>Venta al por mayor de productos pesqueros</t>
  </si>
  <si>
    <t>San Fco.de Dos Ríos</t>
  </si>
  <si>
    <t>MORA</t>
  </si>
  <si>
    <t>08:00 am</t>
  </si>
  <si>
    <t xml:space="preserve">Envasado y venta al por mayor de jarabes  </t>
  </si>
  <si>
    <t>Uruca</t>
  </si>
  <si>
    <t>GOICOECHEA</t>
  </si>
  <si>
    <t>09:00 am</t>
  </si>
  <si>
    <t>Venta al por mayor de medicamentos veterinarios</t>
  </si>
  <si>
    <t>Mata Redonda</t>
  </si>
  <si>
    <t>SANTA ANA</t>
  </si>
  <si>
    <t>10:00 am</t>
  </si>
  <si>
    <t>Venta al por mayor de productos afines</t>
  </si>
  <si>
    <t>Pavas</t>
  </si>
  <si>
    <t>ALAJUELITA</t>
  </si>
  <si>
    <t>11:00 am</t>
  </si>
  <si>
    <t>Venta al por mayor de medicamentos veterinarios de medicina alternativa</t>
  </si>
  <si>
    <t>Hatillo</t>
  </si>
  <si>
    <t>VASQUEZ DE CORONADO</t>
  </si>
  <si>
    <t>12:00 m.d</t>
  </si>
  <si>
    <t>Venta al por mayor de productos afines de medicina alternativa</t>
  </si>
  <si>
    <t>San Sebastián</t>
  </si>
  <si>
    <t>ACOSTA</t>
  </si>
  <si>
    <t>01:00 pm</t>
  </si>
  <si>
    <t>Venta al por mayor de alimentos, mezclas y premezclas para animales</t>
  </si>
  <si>
    <t>TIBAS</t>
  </si>
  <si>
    <t>02:00 pm</t>
  </si>
  <si>
    <t>Venta al por mayor de materias primas para  alimentación animal</t>
  </si>
  <si>
    <t>Escazú</t>
  </si>
  <si>
    <t>MORAVIA</t>
  </si>
  <si>
    <t>03:00 pm</t>
  </si>
  <si>
    <t>Reempaque de alimentos destinados a la alimentación animal</t>
  </si>
  <si>
    <t>San Antonio</t>
  </si>
  <si>
    <t>MONTES DE OCA</t>
  </si>
  <si>
    <t>04:00 pm</t>
  </si>
  <si>
    <t>Venta al por menor de mascotas o animales domésticos</t>
  </si>
  <si>
    <t>San Rafael</t>
  </si>
  <si>
    <t>TURRUBARES</t>
  </si>
  <si>
    <t>05:00 pm</t>
  </si>
  <si>
    <t>Venta al por menor de animales acuáticos ornamentales</t>
  </si>
  <si>
    <t>DOTA</t>
  </si>
  <si>
    <t>06:00 pm</t>
  </si>
  <si>
    <t>Venta al por menor de animales silvestres autorizados</t>
  </si>
  <si>
    <t>Desamparados</t>
  </si>
  <si>
    <t>CURRIDABAT</t>
  </si>
  <si>
    <t>07:00 pm</t>
  </si>
  <si>
    <t>Expendio de carne y productos cárnicos</t>
  </si>
  <si>
    <t>San Miguel</t>
  </si>
  <si>
    <t>PEREZ ZELEDON</t>
  </si>
  <si>
    <t>08:00 pm</t>
  </si>
  <si>
    <t>Expendio de  productos pesqueros</t>
  </si>
  <si>
    <t>4.         Servicios para la salud.</t>
  </si>
  <si>
    <t>San Juan de Dios</t>
  </si>
  <si>
    <t>LEON CORTES</t>
  </si>
  <si>
    <t>09:00 pm</t>
  </si>
  <si>
    <t>Expendio de lácteos</t>
  </si>
  <si>
    <t>San Rafael Arriba</t>
  </si>
  <si>
    <t>10:00 pm</t>
  </si>
  <si>
    <t>Expendio de huevos</t>
  </si>
  <si>
    <t>4.1        Consultorios médicos.</t>
  </si>
  <si>
    <t>Alajuela</t>
  </si>
  <si>
    <t>11:00 pm</t>
  </si>
  <si>
    <t>Expendio de miel y productos apícolas</t>
  </si>
  <si>
    <t>4.2        Clínicas y centros de salud.</t>
  </si>
  <si>
    <t>Frailes</t>
  </si>
  <si>
    <t>11:59 pm</t>
  </si>
  <si>
    <t>Reempaque de productos de origen animal con fines de venta minorista</t>
  </si>
  <si>
    <t>4.3        Hospitales, sanatorios, maternidades, y centros de rehabilitación.</t>
  </si>
  <si>
    <t>Patarrá</t>
  </si>
  <si>
    <t>SAN RAMON</t>
  </si>
  <si>
    <t>Expendio de carne de caballo</t>
  </si>
  <si>
    <t>San Cristóbal</t>
  </si>
  <si>
    <t>GRECIA</t>
  </si>
  <si>
    <t>CONICIÓN DEL LOCAL</t>
  </si>
  <si>
    <t>Venta al por menor de medicamentos veterinarios</t>
  </si>
  <si>
    <t>5.         Servicios para la educación.</t>
  </si>
  <si>
    <t>Rosario</t>
  </si>
  <si>
    <t>SAN MATEO</t>
  </si>
  <si>
    <t>Venta al por menor de productos afines</t>
  </si>
  <si>
    <t>Damas</t>
  </si>
  <si>
    <t>ATENAS</t>
  </si>
  <si>
    <t>Excelente</t>
  </si>
  <si>
    <t>Venta al por menor de medicamentos  de medicina alternativa</t>
  </si>
  <si>
    <t>5.1        Educación preparatoria y educación primaria.</t>
  </si>
  <si>
    <t>San Rafael Abajo</t>
  </si>
  <si>
    <t>NARANJO</t>
  </si>
  <si>
    <t>Buena</t>
  </si>
  <si>
    <t>Venta al por menor de productos afines  de medicina alternativa</t>
  </si>
  <si>
    <t>5.2        Educación media: académica, de artes y oficios y tecnológicas o vocacionales.</t>
  </si>
  <si>
    <t>Gravilias</t>
  </si>
  <si>
    <t>PALMARES</t>
  </si>
  <si>
    <t>Regular</t>
  </si>
  <si>
    <t>Venta al por menor de productos destinados a la alimentación animal</t>
  </si>
  <si>
    <t>5.3        Educación superior, institutos técnicos, centros de capacitación, academias profesionales, colegios universitarios y universidades.</t>
  </si>
  <si>
    <t>POAS</t>
  </si>
  <si>
    <t>Deficiente</t>
  </si>
  <si>
    <t>Reempaque de productos destinados a la alimentación animal en punto de venta</t>
  </si>
  <si>
    <t>5.4        Educación física y artística: escuelas de natación, música, baile, artes marciales, modelos, pintura, escultura, actuación y fotografía.</t>
  </si>
  <si>
    <t>Santiago</t>
  </si>
  <si>
    <t>OROTINA</t>
  </si>
  <si>
    <t>Servicio de hospitalización veterinaria</t>
  </si>
  <si>
    <t>Mercedes Sur</t>
  </si>
  <si>
    <t>SAN CARLOS</t>
  </si>
  <si>
    <t>POSESIÓN INSTALACIONES</t>
  </si>
  <si>
    <t>Servicio de clínica y cirugía veterinaria</t>
  </si>
  <si>
    <t>6.         Servicios religiosos.</t>
  </si>
  <si>
    <t>Barbacoas</t>
  </si>
  <si>
    <t>ALFARO RUIZ</t>
  </si>
  <si>
    <t>Servicio de laboratorio y diagnóstico</t>
  </si>
  <si>
    <t>Grifo Alto</t>
  </si>
  <si>
    <t>VALVERDE VEGA</t>
  </si>
  <si>
    <t>Propio</t>
  </si>
  <si>
    <t>Servicio de consulta y cirugía menor</t>
  </si>
  <si>
    <t>6.1        Instalaciones religiosas: templos y lugares de cultos, conventos y edificaciones para la enseñanza religiosa.</t>
  </si>
  <si>
    <t>UPALA</t>
  </si>
  <si>
    <t>Arrendado</t>
  </si>
  <si>
    <t>Servicio de clínica veterinaria ambulante</t>
  </si>
  <si>
    <t>Candelarita</t>
  </si>
  <si>
    <t>LOS CHILES</t>
  </si>
  <si>
    <t>Concesionado</t>
  </si>
  <si>
    <t>Estética de mascotas</t>
  </si>
  <si>
    <t>7.         Servicios para la cultura y el deporte.</t>
  </si>
  <si>
    <t>Desamparaditos</t>
  </si>
  <si>
    <t>GUATUSO</t>
  </si>
  <si>
    <t>Otro (especifique):</t>
  </si>
  <si>
    <t>Estética de mascotas móvil</t>
  </si>
  <si>
    <t>7.1        Centros de espectáculos y recreativos: auditorios, teatros, cines, salas de música, salas de video juegos, “café Internet” y similares.</t>
  </si>
  <si>
    <t>Chires</t>
  </si>
  <si>
    <t>Cartago</t>
  </si>
  <si>
    <t>SENASA</t>
  </si>
  <si>
    <t>7.2        Centros culturales: bibliotecas, museos, galerías de arte, filmotecas, cinematecas, casas de cultura, centros comunitarios.</t>
  </si>
  <si>
    <t>Subsistencia</t>
  </si>
  <si>
    <t>7.3        Instalaciones para la recreación y el deporte: gimnasia, “squash”, billares, salas de juegos de mesa.</t>
  </si>
  <si>
    <t>San Marcos</t>
  </si>
  <si>
    <t>PARAISO</t>
  </si>
  <si>
    <t>Pequeña</t>
  </si>
  <si>
    <t>7.4        Instalaciones para deportes de exhibición al aire libre: estadios, hipódromos, autódromos, velódromos, plaza de toros, polígonos y similares.</t>
  </si>
  <si>
    <t>San Lorenzo</t>
  </si>
  <si>
    <t>LA UNION</t>
  </si>
  <si>
    <t>Mediana</t>
  </si>
  <si>
    <t>7.5        Clubes, instalaciones campestres, campamentos y paraderos turísticos.</t>
  </si>
  <si>
    <t>San Carlos</t>
  </si>
  <si>
    <t>JIMENEZ</t>
  </si>
  <si>
    <t>Grande</t>
  </si>
  <si>
    <t>7.6        Parques, jardines, juegos infantiles.</t>
  </si>
  <si>
    <t>TURRIALBA</t>
  </si>
  <si>
    <t>Aserrí</t>
  </si>
  <si>
    <t>ALVARADO</t>
  </si>
  <si>
    <t>8.         Servicios de alojamiento y turismo.</t>
  </si>
  <si>
    <t>Tarbaca</t>
  </si>
  <si>
    <t>OREAMUNO</t>
  </si>
  <si>
    <t>MES</t>
  </si>
  <si>
    <t>DIA</t>
  </si>
  <si>
    <t>Vuelta de Jorco</t>
  </si>
  <si>
    <t>EL GUARCO</t>
  </si>
  <si>
    <t>Enero</t>
  </si>
  <si>
    <t>8.1        Hoteles, moteles, albergues, casas de huéspedes, orfanatos, asilos.</t>
  </si>
  <si>
    <t>San Gabriel</t>
  </si>
  <si>
    <t>Febrero</t>
  </si>
  <si>
    <t>8.2        Atracciones turísticas.</t>
  </si>
  <si>
    <t>Legua</t>
  </si>
  <si>
    <t>Heredia</t>
  </si>
  <si>
    <t>Marzo</t>
  </si>
  <si>
    <t>Monterrey</t>
  </si>
  <si>
    <t>Abril</t>
  </si>
  <si>
    <t>9.         Instalaciones para la seguridad.</t>
  </si>
  <si>
    <t>Salitrillos</t>
  </si>
  <si>
    <t>BARVA</t>
  </si>
  <si>
    <t>Mayo</t>
  </si>
  <si>
    <t>SANTO DOMINGO</t>
  </si>
  <si>
    <t>Junio</t>
  </si>
  <si>
    <t>9.1        Instalaciones para la seguridad pública: estación de bomberos, cruz roja, protección civil, policía.</t>
  </si>
  <si>
    <t>Colón</t>
  </si>
  <si>
    <t>SANTA BARBARA</t>
  </si>
  <si>
    <t>Julio</t>
  </si>
  <si>
    <t>Guayabo</t>
  </si>
  <si>
    <t>SAN RAFAEL</t>
  </si>
  <si>
    <t>Agosto</t>
  </si>
  <si>
    <t>10.        Servicios funerarios.</t>
  </si>
  <si>
    <t>Tabarcia</t>
  </si>
  <si>
    <t>SAN ISIDRO</t>
  </si>
  <si>
    <t>Septiembre</t>
  </si>
  <si>
    <t>Piedras Negras</t>
  </si>
  <si>
    <t>BELEN</t>
  </si>
  <si>
    <t>Octubre</t>
  </si>
  <si>
    <t>10.1      Funerarias y salas de velación.</t>
  </si>
  <si>
    <t>Picagres</t>
  </si>
  <si>
    <t>FLORES</t>
  </si>
  <si>
    <t>Noviembre</t>
  </si>
  <si>
    <t>10.2      Cementerios, panteones y crematorios.</t>
  </si>
  <si>
    <t>SAN PABLO</t>
  </si>
  <si>
    <t>Diciembre</t>
  </si>
  <si>
    <t>Guadalupe</t>
  </si>
  <si>
    <t>SARAPIQUI</t>
  </si>
  <si>
    <r>
      <t>11.        Transporte y comunicación</t>
    </r>
    <r>
      <rPr>
        <sz val="10"/>
        <color rgb="FF000000"/>
        <rFont val="Arial"/>
        <family val="2"/>
      </rPr>
      <t>.</t>
    </r>
  </si>
  <si>
    <t>San Francisco</t>
  </si>
  <si>
    <t>AÑO</t>
  </si>
  <si>
    <t>Calle Blancos</t>
  </si>
  <si>
    <t>Guanacaste</t>
  </si>
  <si>
    <t>11.1      Estacionamientos.</t>
  </si>
  <si>
    <t>Mata de Plátano</t>
  </si>
  <si>
    <t>LIBERIA</t>
  </si>
  <si>
    <t>11.2      Garajes de buses y terminales de transporte de carga y pasajeros.</t>
  </si>
  <si>
    <t>Ipís</t>
  </si>
  <si>
    <t>NICOYA</t>
  </si>
  <si>
    <t>11.3      Atracaderos turísticos.</t>
  </si>
  <si>
    <t>Rancho Redondo</t>
  </si>
  <si>
    <t>SANTA CRUZ</t>
  </si>
  <si>
    <t>11.4      Centrales telefónicas, torres de transmisión, antenas y torres de radio, líneas de transmisión.</t>
  </si>
  <si>
    <t>Purral</t>
  </si>
  <si>
    <t>BAGACES</t>
  </si>
  <si>
    <t>CARRILLO</t>
  </si>
  <si>
    <t>12.        Industria.</t>
  </si>
  <si>
    <t>Santa Ana</t>
  </si>
  <si>
    <t>CAÑAS</t>
  </si>
  <si>
    <t>Salitral</t>
  </si>
  <si>
    <t>ABANGARES</t>
  </si>
  <si>
    <t>12.1      Industria inofensiva y producción artesanal: industria y talleres localizados dentro de las viviendas y que no son contaminantes.</t>
  </si>
  <si>
    <t>Pozos</t>
  </si>
  <si>
    <t>TILARAN</t>
  </si>
  <si>
    <t>12.2      Canteras, tajos, caleras y similares.</t>
  </si>
  <si>
    <t>NANDAYURE</t>
  </si>
  <si>
    <t>Piedades</t>
  </si>
  <si>
    <t>LA CRUZ</t>
  </si>
  <si>
    <t>13.        Instalaciones para la infraestructura.</t>
  </si>
  <si>
    <t>Brasil</t>
  </si>
  <si>
    <t>HOJANCHA</t>
  </si>
  <si>
    <t>13.1      Planta, estación, subestación de infraestructura básica: bombas, pozos, captaciones, tanques reguladores, lagunas de control y regulación, subestaciones eléctricas, líneas de transmisión y distribución, líneas de distribución telefónica, televisión e Internet.</t>
  </si>
  <si>
    <t>Alajuelita</t>
  </si>
  <si>
    <t>Puntarenas</t>
  </si>
  <si>
    <t>13.2      Depósito de desechos sólidos, plantas de tratamiento, basureros, rellenos sanitarios, tuberías de distribución: agua</t>
  </si>
  <si>
    <t>San Josecito</t>
  </si>
  <si>
    <t>potable, pluvial y sanitario.</t>
  </si>
  <si>
    <t>ESPARZA</t>
  </si>
  <si>
    <t>Concepción</t>
  </si>
  <si>
    <t>BUENOS AIRES</t>
  </si>
  <si>
    <t>San Felipe</t>
  </si>
  <si>
    <t>MONTES DE ORO</t>
  </si>
  <si>
    <t>OSA</t>
  </si>
  <si>
    <t>San Isidro</t>
  </si>
  <si>
    <t>AGUIRRE</t>
  </si>
  <si>
    <t>GOLFITO</t>
  </si>
  <si>
    <t>Dulce Nombre de Jesús</t>
  </si>
  <si>
    <t>COTO BRUS</t>
  </si>
  <si>
    <t>Patalillo</t>
  </si>
  <si>
    <t>PARRITA</t>
  </si>
  <si>
    <t>Cascajal</t>
  </si>
  <si>
    <t>CORREDORES</t>
  </si>
  <si>
    <t>GARABITO</t>
  </si>
  <si>
    <t>San Ignacio</t>
  </si>
  <si>
    <t>Guaitíl</t>
  </si>
  <si>
    <t>Limón</t>
  </si>
  <si>
    <t>Palmichal</t>
  </si>
  <si>
    <t>LIMON</t>
  </si>
  <si>
    <t>Cangrejal</t>
  </si>
  <si>
    <t>POCOCI</t>
  </si>
  <si>
    <t>Sabanillas</t>
  </si>
  <si>
    <t>SIQUIRRES</t>
  </si>
  <si>
    <t>TALAMANCA</t>
  </si>
  <si>
    <t>San Juan</t>
  </si>
  <si>
    <t>MATINA</t>
  </si>
  <si>
    <t>Cinco Esquinas</t>
  </si>
  <si>
    <t>GUACIMO</t>
  </si>
  <si>
    <t>Anselmo Llorente</t>
  </si>
  <si>
    <t>León XIII</t>
  </si>
  <si>
    <t>FUNCIONARIOS</t>
  </si>
  <si>
    <t>Colima</t>
  </si>
  <si>
    <t>Frayman Perez Ramirez</t>
  </si>
  <si>
    <t>fperez@tilaran.go.cr</t>
  </si>
  <si>
    <t>ASISTENTE TÉCNICO</t>
  </si>
  <si>
    <t>San Vicente</t>
  </si>
  <si>
    <t>ycarvajal@tilaran.go.cr</t>
  </si>
  <si>
    <t>San Jerónimo</t>
  </si>
  <si>
    <t>Zeidy Campos Artavia</t>
  </si>
  <si>
    <t>zcampos@tilaran.go.cr</t>
  </si>
  <si>
    <t>Trinidad</t>
  </si>
  <si>
    <t>jrodriguez@tilaran.go.cr</t>
  </si>
  <si>
    <t>COORDINADOR</t>
  </si>
  <si>
    <t>Francela Ulloa Rojas</t>
  </si>
  <si>
    <t>asistente.sc@tilaran.go.cr</t>
  </si>
  <si>
    <t>ASISTENTE SERVICIOS CIUDADANOS</t>
  </si>
  <si>
    <t>San Pedro</t>
  </si>
  <si>
    <t>Rose Mary Ruiz Soto</t>
  </si>
  <si>
    <t>rruiz@tilaran.go.cr</t>
  </si>
  <si>
    <t>COORDINADOR DE DESARROLLO Y CONTROL URBANO</t>
  </si>
  <si>
    <t>Sabanilla</t>
  </si>
  <si>
    <t>Rigoberto Hernández Quesada</t>
  </si>
  <si>
    <t>rhernandez@tilaran.go.cr</t>
  </si>
  <si>
    <t>ENCARGADO DE BIENES INMUEBLES Y VALORACIÓN</t>
  </si>
  <si>
    <t>Mercedes</t>
  </si>
  <si>
    <t>Gustavo Bogantes Morera</t>
  </si>
  <si>
    <t>gbogantes@tilaran.go.cr</t>
  </si>
  <si>
    <t>ENCARGADO DE CATASTRO</t>
  </si>
  <si>
    <t>Jimmy Espinoza Masis</t>
  </si>
  <si>
    <t>jespinoza@tilaran.go.cr</t>
  </si>
  <si>
    <t>INSPECTOR</t>
  </si>
  <si>
    <t>Brallan Vasquez Reyes</t>
  </si>
  <si>
    <t>bvasquez@tilaran.go.cr</t>
  </si>
  <si>
    <t>San Pablo</t>
  </si>
  <si>
    <t>Uber Alberto Masis Solis</t>
  </si>
  <si>
    <t>hmasis@tilaran.go.cr</t>
  </si>
  <si>
    <t>aramirez@tilaran.go.cr</t>
  </si>
  <si>
    <t>PLATAFORMISTA</t>
  </si>
  <si>
    <t>San Juan de Mata</t>
  </si>
  <si>
    <t xml:space="preserve"> Kristy Tatiana Porras Arias</t>
  </si>
  <si>
    <t>kristyporrasarias@gmail.com</t>
  </si>
  <si>
    <t>San Luis</t>
  </si>
  <si>
    <t>Gerald José Vega Zamora</t>
  </si>
  <si>
    <t>geraldvegazamora@gmail.com</t>
  </si>
  <si>
    <t>Carolay Solera Calvo</t>
  </si>
  <si>
    <t>carolay.solera@tilaran.go.cr</t>
  </si>
  <si>
    <t>Santa María</t>
  </si>
  <si>
    <t>Mario Humberto Alvarado Barrantes</t>
  </si>
  <si>
    <t>mario.alvarado@tilaran.go.cr</t>
  </si>
  <si>
    <t>Jardín</t>
  </si>
  <si>
    <t>Copey</t>
  </si>
  <si>
    <t>Curridabat</t>
  </si>
  <si>
    <t>Granadilla</t>
  </si>
  <si>
    <t>Sánchez</t>
  </si>
  <si>
    <t>Tirrases</t>
  </si>
  <si>
    <t>San Isidro de El General</t>
  </si>
  <si>
    <t>General</t>
  </si>
  <si>
    <t>Daniel Flores</t>
  </si>
  <si>
    <t>Rivas</t>
  </si>
  <si>
    <t>Platanares</t>
  </si>
  <si>
    <t>Pejibaye</t>
  </si>
  <si>
    <t>Cajón</t>
  </si>
  <si>
    <t>Barú</t>
  </si>
  <si>
    <t>Río Nuevo</t>
  </si>
  <si>
    <t>Páramo</t>
  </si>
  <si>
    <t>San Andrés</t>
  </si>
  <si>
    <t>Llano Bonito</t>
  </si>
  <si>
    <t>Santa Cruz</t>
  </si>
  <si>
    <t>Carrizal</t>
  </si>
  <si>
    <t>HORIZONTAL</t>
  </si>
  <si>
    <t>DERECHOS</t>
  </si>
  <si>
    <t>CANTIDAD DE ACTIVIDADES</t>
  </si>
  <si>
    <t>Columna1</t>
  </si>
  <si>
    <t>PATENTES</t>
  </si>
  <si>
    <t>1133010200000-40</t>
  </si>
  <si>
    <t>Guácima</t>
  </si>
  <si>
    <t>M</t>
  </si>
  <si>
    <t>1133010200000-00</t>
  </si>
  <si>
    <t>F</t>
  </si>
  <si>
    <t>001</t>
  </si>
  <si>
    <t>2</t>
  </si>
  <si>
    <t>AGENCIA DE GAS PROPANO</t>
  </si>
  <si>
    <t>1133010200000-02</t>
  </si>
  <si>
    <t>002</t>
  </si>
  <si>
    <t>1133010200000-04</t>
  </si>
  <si>
    <t>003</t>
  </si>
  <si>
    <t>4</t>
  </si>
  <si>
    <t>1133010200000-11</t>
  </si>
  <si>
    <t>Río Segundo</t>
  </si>
  <si>
    <t>004</t>
  </si>
  <si>
    <t>1133010200000-13</t>
  </si>
  <si>
    <t>005</t>
  </si>
  <si>
    <t>6</t>
  </si>
  <si>
    <t>VENTA DE VIDRIOS</t>
  </si>
  <si>
    <t>1133010200000-14</t>
  </si>
  <si>
    <t>Turrúcares</t>
  </si>
  <si>
    <t>006</t>
  </si>
  <si>
    <t>7</t>
  </si>
  <si>
    <t>1133010200000-17</t>
  </si>
  <si>
    <t>Tambor</t>
  </si>
  <si>
    <t>007</t>
  </si>
  <si>
    <t>8</t>
  </si>
  <si>
    <t>1133010200000-18</t>
  </si>
  <si>
    <t>La Garita</t>
  </si>
  <si>
    <t>008</t>
  </si>
  <si>
    <t>1133010200000-20</t>
  </si>
  <si>
    <t>Sarapiquí</t>
  </si>
  <si>
    <t>009</t>
  </si>
  <si>
    <t>10</t>
  </si>
  <si>
    <t>1133010200000-22</t>
  </si>
  <si>
    <t>010</t>
  </si>
  <si>
    <t>11</t>
  </si>
  <si>
    <t>1133010200000-23</t>
  </si>
  <si>
    <t>San Ramón</t>
  </si>
  <si>
    <t>011</t>
  </si>
  <si>
    <t>12</t>
  </si>
  <si>
    <t>1133010200000-24</t>
  </si>
  <si>
    <t>012</t>
  </si>
  <si>
    <t>13</t>
  </si>
  <si>
    <t>1133010200000-25</t>
  </si>
  <si>
    <t>013</t>
  </si>
  <si>
    <t>14</t>
  </si>
  <si>
    <t>1133010200000-26</t>
  </si>
  <si>
    <t>Piedades Norte</t>
  </si>
  <si>
    <t>014</t>
  </si>
  <si>
    <t>15</t>
  </si>
  <si>
    <t>1133010200000-27</t>
  </si>
  <si>
    <t>Piedades Sur</t>
  </si>
  <si>
    <t>015</t>
  </si>
  <si>
    <t>16</t>
  </si>
  <si>
    <t>1133010200000-28</t>
  </si>
  <si>
    <t>1133010200000-29</t>
  </si>
  <si>
    <t>1133010200000-30</t>
  </si>
  <si>
    <t>Angeles</t>
  </si>
  <si>
    <t>1133010200000-31</t>
  </si>
  <si>
    <t>Alfaro</t>
  </si>
  <si>
    <t>1133010200000-33</t>
  </si>
  <si>
    <t>Volio</t>
  </si>
  <si>
    <t>1133010200000-34</t>
  </si>
  <si>
    <t>1133010200000-35</t>
  </si>
  <si>
    <t>Zapotal</t>
  </si>
  <si>
    <t>1133010200000-36</t>
  </si>
  <si>
    <t>Peñas Blancas</t>
  </si>
  <si>
    <t>1133010200000-38</t>
  </si>
  <si>
    <t>1133010200000-39</t>
  </si>
  <si>
    <t>Grecia</t>
  </si>
  <si>
    <t>1133010200000-41</t>
  </si>
  <si>
    <t>1133010200000-42</t>
  </si>
  <si>
    <t>1133010200000-44</t>
  </si>
  <si>
    <t>San Roque</t>
  </si>
  <si>
    <t>1133010200000-45</t>
  </si>
  <si>
    <t>Tacares</t>
  </si>
  <si>
    <t>1133010200000-46</t>
  </si>
  <si>
    <t>Río Cuarto</t>
  </si>
  <si>
    <t>1133010200000-47</t>
  </si>
  <si>
    <t>Puente de Piedra</t>
  </si>
  <si>
    <t>1133010200000-48</t>
  </si>
  <si>
    <t>Bolívar</t>
  </si>
  <si>
    <t>1133010200000-51</t>
  </si>
  <si>
    <t>1133010200000-52</t>
  </si>
  <si>
    <t>San Mateo</t>
  </si>
  <si>
    <t>1133010200000-53</t>
  </si>
  <si>
    <t>Desmonte</t>
  </si>
  <si>
    <t>1133010200000-54</t>
  </si>
  <si>
    <t>Jesús María</t>
  </si>
  <si>
    <t>1133010200000-55</t>
  </si>
  <si>
    <t>1133010200000-57</t>
  </si>
  <si>
    <t>Atenas</t>
  </si>
  <si>
    <t>1133010200000-58</t>
  </si>
  <si>
    <t>Jesús</t>
  </si>
  <si>
    <t>1133010200000-59</t>
  </si>
  <si>
    <t>1133010200000-60</t>
  </si>
  <si>
    <t>OPERADOR DE TURISMO</t>
  </si>
  <si>
    <t>1133010200000-61</t>
  </si>
  <si>
    <t>1133010200000-62</t>
  </si>
  <si>
    <t>1133010200000-63</t>
  </si>
  <si>
    <t>Santa Eulalia</t>
  </si>
  <si>
    <t>1133010200000-64</t>
  </si>
  <si>
    <t>1133010200000-65</t>
  </si>
  <si>
    <t>Naranjo</t>
  </si>
  <si>
    <t>1133010200000-66</t>
  </si>
  <si>
    <t>1133010200000-68</t>
  </si>
  <si>
    <t>1133010200000-69</t>
  </si>
  <si>
    <t>1133010200000-70</t>
  </si>
  <si>
    <t>Cirrí Sur</t>
  </si>
  <si>
    <t>ESTUDIO FOTOGRAFICO</t>
  </si>
  <si>
    <t>1133010200000-71</t>
  </si>
  <si>
    <t>1133010200000-74</t>
  </si>
  <si>
    <t>FUMIGADORA</t>
  </si>
  <si>
    <t>1133010200000-75</t>
  </si>
  <si>
    <t>1133010200000-76</t>
  </si>
  <si>
    <t>1133010200000-77</t>
  </si>
  <si>
    <t>Palmares</t>
  </si>
  <si>
    <t>1133010200000-78</t>
  </si>
  <si>
    <t>Zaragoza</t>
  </si>
  <si>
    <t>1133010200000-79</t>
  </si>
  <si>
    <t>Buenos Aires</t>
  </si>
  <si>
    <t>1133010200000-80</t>
  </si>
  <si>
    <t>1133010200000-81</t>
  </si>
  <si>
    <t>Candelaria</t>
  </si>
  <si>
    <t>1133010200000-82</t>
  </si>
  <si>
    <t>Esquipulas</t>
  </si>
  <si>
    <t>TALLER ENDEREZADO y PINTURA</t>
  </si>
  <si>
    <t>1133010200000-83</t>
  </si>
  <si>
    <t>Granja</t>
  </si>
  <si>
    <t>1133010200000-84</t>
  </si>
  <si>
    <t>TALLER METALMECANICA</t>
  </si>
  <si>
    <t>1133010200000-85</t>
  </si>
  <si>
    <t>1133010200000-86</t>
  </si>
  <si>
    <t>1133010200000-87</t>
  </si>
  <si>
    <t>1133010200000-88</t>
  </si>
  <si>
    <t>Carrillos</t>
  </si>
  <si>
    <t>1133010200000-89</t>
  </si>
  <si>
    <t>Sabana Redonda</t>
  </si>
  <si>
    <t>1133010200000-90</t>
  </si>
  <si>
    <t>1133010200000-91</t>
  </si>
  <si>
    <t>Orotina</t>
  </si>
  <si>
    <t>1133010200000-92</t>
  </si>
  <si>
    <t>Mastate</t>
  </si>
  <si>
    <t>1133010200000-93</t>
  </si>
  <si>
    <t>Hacienda Vieja</t>
  </si>
  <si>
    <t>1133010200000-94</t>
  </si>
  <si>
    <t>Coyolar</t>
  </si>
  <si>
    <t>1133010200000-95</t>
  </si>
  <si>
    <t>Ceiba</t>
  </si>
  <si>
    <t>1133010200000-96</t>
  </si>
  <si>
    <t>1133010200000-97</t>
  </si>
  <si>
    <t>Quesada</t>
  </si>
  <si>
    <t>ALBERGUE</t>
  </si>
  <si>
    <t>1133010200000-99</t>
  </si>
  <si>
    <t>Florencia</t>
  </si>
  <si>
    <t>1133010200000-A1</t>
  </si>
  <si>
    <t>Buenavista</t>
  </si>
  <si>
    <t>1133010200000-A3</t>
  </si>
  <si>
    <t>Aguas Zarcas</t>
  </si>
  <si>
    <t>1133010200000-A4</t>
  </si>
  <si>
    <t>Venecia</t>
  </si>
  <si>
    <t>1133010200000-A5</t>
  </si>
  <si>
    <t>Pital</t>
  </si>
  <si>
    <t>1133010200000-A7</t>
  </si>
  <si>
    <t>Fortuna</t>
  </si>
  <si>
    <t>1133010200000-A8</t>
  </si>
  <si>
    <t>Tigra</t>
  </si>
  <si>
    <t>1133010200000-A9</t>
  </si>
  <si>
    <t>Palmera</t>
  </si>
  <si>
    <t>IMPRESION DIGITAL</t>
  </si>
  <si>
    <t>1133010200000-B3</t>
  </si>
  <si>
    <t>Venado</t>
  </si>
  <si>
    <t>CERRAJERIA</t>
  </si>
  <si>
    <t>1133010200000-B4</t>
  </si>
  <si>
    <t>Cutris</t>
  </si>
  <si>
    <t>1133010200000-B5</t>
  </si>
  <si>
    <t>1133010200000-B7</t>
  </si>
  <si>
    <t>Pocosol</t>
  </si>
  <si>
    <t>1133010200000-B8</t>
  </si>
  <si>
    <t>1133010200000-C1</t>
  </si>
  <si>
    <t>Zarcero</t>
  </si>
  <si>
    <t>1133010200000-C2</t>
  </si>
  <si>
    <t>Laguna</t>
  </si>
  <si>
    <t>AGENCIA DE MOTOCICLETAS</t>
  </si>
  <si>
    <t>1133010200000-C5</t>
  </si>
  <si>
    <t>Tapezco</t>
  </si>
  <si>
    <t>1133010200000-C6</t>
  </si>
  <si>
    <t>1133010200000-C8</t>
  </si>
  <si>
    <t>Palmira</t>
  </si>
  <si>
    <t>1133010200000-D1</t>
  </si>
  <si>
    <t>1133010200000-D4</t>
  </si>
  <si>
    <t>Brisas</t>
  </si>
  <si>
    <t>1133010200000-D6</t>
  </si>
  <si>
    <t>1133010200000-D8</t>
  </si>
  <si>
    <t>Sarchí Norte</t>
  </si>
  <si>
    <t>VENTA UNIFORMES,SERIGRAFIA</t>
  </si>
  <si>
    <t>1133010200000-E1</t>
  </si>
  <si>
    <t>Sarchí Sur</t>
  </si>
  <si>
    <t>1133010200000-E2</t>
  </si>
  <si>
    <t>Toro Amarillo</t>
  </si>
  <si>
    <t>1133010200000-E3</t>
  </si>
  <si>
    <t>TALLER DE ROPA</t>
  </si>
  <si>
    <t>1133010200000-E4</t>
  </si>
  <si>
    <t>Rodríguez</t>
  </si>
  <si>
    <t>1133010200000-E6</t>
  </si>
  <si>
    <t>SERVICIO TRASPORTE PRIVADO</t>
  </si>
  <si>
    <t>1133010200000-E8</t>
  </si>
  <si>
    <t>Upala</t>
  </si>
  <si>
    <t>RENTA CAR CHOFER INCLUIDO</t>
  </si>
  <si>
    <t>1133010200000-E9</t>
  </si>
  <si>
    <t>Aguas Claras</t>
  </si>
  <si>
    <t>1133010200000-F1</t>
  </si>
  <si>
    <t>San José o Pizote</t>
  </si>
  <si>
    <t>1133010200000-F2</t>
  </si>
  <si>
    <t>Bijagua</t>
  </si>
  <si>
    <t>1133010200000-F3</t>
  </si>
  <si>
    <t>Delicias</t>
  </si>
  <si>
    <t>1133010200000-F6</t>
  </si>
  <si>
    <t>Dos Ríos</t>
  </si>
  <si>
    <t>1133010200000-F7</t>
  </si>
  <si>
    <t>Yolillal</t>
  </si>
  <si>
    <t>1133010200000-F8</t>
  </si>
  <si>
    <t>1133010200000-F9</t>
  </si>
  <si>
    <t>Los Chiles</t>
  </si>
  <si>
    <t>1133010200000-G0</t>
  </si>
  <si>
    <t>Caño Negro</t>
  </si>
  <si>
    <t>1133010200000-G2</t>
  </si>
  <si>
    <t>El Amparo</t>
  </si>
  <si>
    <t>1133010200000-G3</t>
  </si>
  <si>
    <t>San Jorge</t>
  </si>
  <si>
    <t>1133010200000-G4</t>
  </si>
  <si>
    <t>1133010200000-G5</t>
  </si>
  <si>
    <t>1133010200000-G6</t>
  </si>
  <si>
    <t>OFICINA SERVICIOS PROVEEDURIA</t>
  </si>
  <si>
    <t>1133010200000-G7</t>
  </si>
  <si>
    <t>Cote</t>
  </si>
  <si>
    <t>1133010200000-G9</t>
  </si>
  <si>
    <t>ELABORACION SALSAS ARTESANALES</t>
  </si>
  <si>
    <t>1133010200000-H5</t>
  </si>
  <si>
    <t>1133010200000-H6</t>
  </si>
  <si>
    <t>1133010200000-H8</t>
  </si>
  <si>
    <t>Oriental</t>
  </si>
  <si>
    <t>ENSE¥ANZA PRESCOLAR</t>
  </si>
  <si>
    <t>1133010200000-H9</t>
  </si>
  <si>
    <t>Occidental</t>
  </si>
  <si>
    <t>1133010200000-I0</t>
  </si>
  <si>
    <t>Carmen</t>
  </si>
  <si>
    <t>SEGURIDAD Y PROTECCIóN</t>
  </si>
  <si>
    <t>1133010200000-I1</t>
  </si>
  <si>
    <t>San Nicolás</t>
  </si>
  <si>
    <t>MANUFACTURA PRODUCTOS ARTESANALES</t>
  </si>
  <si>
    <t>1133010200000-I2</t>
  </si>
  <si>
    <t>Aguacaliente  o  San Fco.</t>
  </si>
  <si>
    <t>1133010200000-I3</t>
  </si>
  <si>
    <t>Guadalupe o Arenilla</t>
  </si>
  <si>
    <t>TALLER DE ARTESANIAS</t>
  </si>
  <si>
    <t>1133010200000-I4</t>
  </si>
  <si>
    <t>Corralillo</t>
  </si>
  <si>
    <t>TRANSPORTE PRIVADO CL</t>
  </si>
  <si>
    <t>1133010200000-I5</t>
  </si>
  <si>
    <t>Tierra Blanca</t>
  </si>
  <si>
    <t>1133010200000-I6</t>
  </si>
  <si>
    <t>Dulce Nombre</t>
  </si>
  <si>
    <t>1133010200000-I7</t>
  </si>
  <si>
    <t>Llano Grande</t>
  </si>
  <si>
    <t>1133010200000-I8</t>
  </si>
  <si>
    <t>Quebradilla</t>
  </si>
  <si>
    <t>1133010200000-I9</t>
  </si>
  <si>
    <t>1133010200000-J0</t>
  </si>
  <si>
    <t>Paraíso</t>
  </si>
  <si>
    <t>1133010200000-J1</t>
  </si>
  <si>
    <t>1133010200000-J2</t>
  </si>
  <si>
    <t>Orosi</t>
  </si>
  <si>
    <t>VENTA FRUTAS, HORTALIZAS EMPACADAS</t>
  </si>
  <si>
    <t>1133010200000-J3</t>
  </si>
  <si>
    <t>Cachí</t>
  </si>
  <si>
    <t>ACTIVIDADES ESPECIALIZADAS DISE¥O</t>
  </si>
  <si>
    <t>1133010200000-J4</t>
  </si>
  <si>
    <t>BARBERIA</t>
  </si>
  <si>
    <t>1133010200000-J5</t>
  </si>
  <si>
    <t>Tres Ríos</t>
  </si>
  <si>
    <t>1133010200000-J6</t>
  </si>
  <si>
    <t>San Diego</t>
  </si>
  <si>
    <t>CAMPING</t>
  </si>
  <si>
    <t>1133010200000-J7</t>
  </si>
  <si>
    <t>1133010200000-J8</t>
  </si>
  <si>
    <t>1133010200000-J9</t>
  </si>
  <si>
    <t>1133010200000-K0</t>
  </si>
  <si>
    <t>1133010200000-K1</t>
  </si>
  <si>
    <t>1133010200000-K3</t>
  </si>
  <si>
    <t>Río Azul</t>
  </si>
  <si>
    <t>1133010200000-K6</t>
  </si>
  <si>
    <t>CENT.LOGISTI.Y MANT.PLANTAS EàLICAS</t>
  </si>
  <si>
    <t>1133010200000-K7</t>
  </si>
  <si>
    <t>Juan Viñas</t>
  </si>
  <si>
    <t>MANT. REPAR. VENT ACCES EQUIP COMPU</t>
  </si>
  <si>
    <t>1133010200000-K8</t>
  </si>
  <si>
    <t>Tucurrique</t>
  </si>
  <si>
    <t>1133010200000-K9</t>
  </si>
  <si>
    <t xml:space="preserve">APUESTAS ELECTRONICAS </t>
  </si>
  <si>
    <t>1133010200000-L1</t>
  </si>
  <si>
    <t>ELABORACIÓN DE PRODUCTOS EMULSIFICADOS</t>
  </si>
  <si>
    <t>1133010200000-L2</t>
  </si>
  <si>
    <t>Turrialba</t>
  </si>
  <si>
    <t>GLAMPING Y CAMPING</t>
  </si>
  <si>
    <t>1133010200000-L3</t>
  </si>
  <si>
    <t>La Suiza</t>
  </si>
  <si>
    <t>Peralta</t>
  </si>
  <si>
    <t>Santa Teresita</t>
  </si>
  <si>
    <t>Pavones</t>
  </si>
  <si>
    <t>NINGÚN OTRA</t>
  </si>
  <si>
    <t>Tuis</t>
  </si>
  <si>
    <t>Tayutic</t>
  </si>
  <si>
    <t>Santa Rosa</t>
  </si>
  <si>
    <t>Tres Equis</t>
  </si>
  <si>
    <t>Pacayas</t>
  </si>
  <si>
    <t>Cervantes</t>
  </si>
  <si>
    <t>Capellades</t>
  </si>
  <si>
    <t>Cot</t>
  </si>
  <si>
    <t>Potrero Cerrado</t>
  </si>
  <si>
    <t>Cipreses</t>
  </si>
  <si>
    <t>El Tejar</t>
  </si>
  <si>
    <t>Tobosi</t>
  </si>
  <si>
    <t>Patio de Agua</t>
  </si>
  <si>
    <t>SALARIOS</t>
  </si>
  <si>
    <t>Según Decreto N°45303-MTSS, publicado en la Gaceta N°229, Alcance N°156 del 05 de diciembre del 2025, Rige 01 de enero del 2026</t>
  </si>
  <si>
    <t>CATEGORÍAS</t>
  </si>
  <si>
    <t>SIGLAS</t>
  </si>
  <si>
    <t>TNCG:</t>
  </si>
  <si>
    <t>Trabajadores en Ocupación Semicalificada</t>
  </si>
  <si>
    <t>TSCG</t>
  </si>
  <si>
    <t>Trabajadores en Ocupación Calificada</t>
  </si>
  <si>
    <t>TCG:</t>
  </si>
  <si>
    <t>Trabajadores en Ocupación Especializada</t>
  </si>
  <si>
    <t>TMED</t>
  </si>
  <si>
    <t>Ulloa</t>
  </si>
  <si>
    <t>Técnicos Medios de Educación Diversificada</t>
  </si>
  <si>
    <t>TEG:</t>
  </si>
  <si>
    <t>Vara Blanca</t>
  </si>
  <si>
    <t>Técnicos de Educación Superior</t>
  </si>
  <si>
    <t>TEdS</t>
  </si>
  <si>
    <t>Diplomados de Educación Superior</t>
  </si>
  <si>
    <t>DES:</t>
  </si>
  <si>
    <t>Barva</t>
  </si>
  <si>
    <t>Bachilleres Universitarios</t>
  </si>
  <si>
    <t>Bach:</t>
  </si>
  <si>
    <t>Lic.:</t>
  </si>
  <si>
    <t>ZONA</t>
  </si>
  <si>
    <t>PUNTAJE ASIGNADO</t>
  </si>
  <si>
    <t>Santa Lucía</t>
  </si>
  <si>
    <t>Comercial Tilarán</t>
  </si>
  <si>
    <t>San José de La Montaña</t>
  </si>
  <si>
    <t>Alrededores Tilarán</t>
  </si>
  <si>
    <t>Cabecera de distrito</t>
  </si>
  <si>
    <t>Santo Domingo</t>
  </si>
  <si>
    <t xml:space="preserve"> + 16 horas</t>
  </si>
  <si>
    <t>Paracito</t>
  </si>
  <si>
    <t>12 A 16 horas</t>
  </si>
  <si>
    <t>Santo Tomás</t>
  </si>
  <si>
    <t>Tures</t>
  </si>
  <si>
    <t>Pará</t>
  </si>
  <si>
    <t>Santa Bárbara</t>
  </si>
  <si>
    <t>Purabá</t>
  </si>
  <si>
    <t>Rivera</t>
  </si>
  <si>
    <t>Asunción</t>
  </si>
  <si>
    <t>San Joaquín</t>
  </si>
  <si>
    <t>Barrantes</t>
  </si>
  <si>
    <t>Llorente</t>
  </si>
  <si>
    <t>Puerto Viejo</t>
  </si>
  <si>
    <t>La Vírgen</t>
  </si>
  <si>
    <t>Horquetas</t>
  </si>
  <si>
    <t>Llanuras del Gaspar</t>
  </si>
  <si>
    <t>Cureña</t>
  </si>
  <si>
    <t>Liberia</t>
  </si>
  <si>
    <t>Cañas Dulces</t>
  </si>
  <si>
    <t>Mayorga</t>
  </si>
  <si>
    <t>Nacascolo</t>
  </si>
  <si>
    <t>Curubandé</t>
  </si>
  <si>
    <t>Nicoya</t>
  </si>
  <si>
    <t>Mansión</t>
  </si>
  <si>
    <t>Quebrada Honda</t>
  </si>
  <si>
    <t>Sámara</t>
  </si>
  <si>
    <t>Nosara</t>
  </si>
  <si>
    <t>Belén de Nosarita</t>
  </si>
  <si>
    <t>Bolsón</t>
  </si>
  <si>
    <t>27 de Abril</t>
  </si>
  <si>
    <t>Tempate</t>
  </si>
  <si>
    <t>Cartagena</t>
  </si>
  <si>
    <t>Cuajiniquil</t>
  </si>
  <si>
    <t>Diriá</t>
  </si>
  <si>
    <t>Cabo Velas</t>
  </si>
  <si>
    <t>Tamarindo</t>
  </si>
  <si>
    <t>Bagaces</t>
  </si>
  <si>
    <t>Mogote</t>
  </si>
  <si>
    <t>Río Naranjo</t>
  </si>
  <si>
    <t>Filadelfia</t>
  </si>
  <si>
    <t>Sardinal</t>
  </si>
  <si>
    <t>Belén</t>
  </si>
  <si>
    <t>Cañas</t>
  </si>
  <si>
    <t>Bebedero</t>
  </si>
  <si>
    <t>Porozal</t>
  </si>
  <si>
    <t>Juntas</t>
  </si>
  <si>
    <t>Sierra</t>
  </si>
  <si>
    <t>Colorado</t>
  </si>
  <si>
    <t>Tilarán</t>
  </si>
  <si>
    <t>Quebrada Grande</t>
  </si>
  <si>
    <t>Tronadora</t>
  </si>
  <si>
    <t>Líbano</t>
  </si>
  <si>
    <t>Tierras Morenas</t>
  </si>
  <si>
    <t>Arenal</t>
  </si>
  <si>
    <t>Cabeceras</t>
  </si>
  <si>
    <t>Carmona</t>
  </si>
  <si>
    <t>Santa Rita</t>
  </si>
  <si>
    <t>Porvenir</t>
  </si>
  <si>
    <t>Bejuco</t>
  </si>
  <si>
    <t>La Cruz</t>
  </si>
  <si>
    <t>Santa Cecilia</t>
  </si>
  <si>
    <t>Garita</t>
  </si>
  <si>
    <t>Santa Elena</t>
  </si>
  <si>
    <t>Hojancha</t>
  </si>
  <si>
    <t>Monte Romo</t>
  </si>
  <si>
    <t>Puerto Carrillo</t>
  </si>
  <si>
    <t>Huacas</t>
  </si>
  <si>
    <t>Pitahaya</t>
  </si>
  <si>
    <t>Chomes</t>
  </si>
  <si>
    <t>Lepanto</t>
  </si>
  <si>
    <t>Paquera</t>
  </si>
  <si>
    <t>Manzanillo</t>
  </si>
  <si>
    <t>Guacimal</t>
  </si>
  <si>
    <t>Barranca</t>
  </si>
  <si>
    <t>Monteverde</t>
  </si>
  <si>
    <t>Cóbano</t>
  </si>
  <si>
    <t>Chacarita</t>
  </si>
  <si>
    <t>Chira</t>
  </si>
  <si>
    <t>Acapulco</t>
  </si>
  <si>
    <t>Espíritu Santo</t>
  </si>
  <si>
    <t>San Juan Grande</t>
  </si>
  <si>
    <t>Macacona</t>
  </si>
  <si>
    <t>Volcán</t>
  </si>
  <si>
    <t>Potrero Grande</t>
  </si>
  <si>
    <t>Boruca</t>
  </si>
  <si>
    <t>Pilas</t>
  </si>
  <si>
    <t>Colinas</t>
  </si>
  <si>
    <t>Chánguena</t>
  </si>
  <si>
    <t>Biolley</t>
  </si>
  <si>
    <t>Miramar</t>
  </si>
  <si>
    <t>Unión</t>
  </si>
  <si>
    <t>Puerto Cortés</t>
  </si>
  <si>
    <t>Palmar</t>
  </si>
  <si>
    <t>Sierpe</t>
  </si>
  <si>
    <t>Bahía Ballena</t>
  </si>
  <si>
    <t>Piedras Blancas</t>
  </si>
  <si>
    <t>Quepos</t>
  </si>
  <si>
    <t>Savegre</t>
  </si>
  <si>
    <t>Naranjito</t>
  </si>
  <si>
    <t>Golfito</t>
  </si>
  <si>
    <t>Puerto Jiménez</t>
  </si>
  <si>
    <t>Guaycará</t>
  </si>
  <si>
    <t>Pavón</t>
  </si>
  <si>
    <t>San Vito</t>
  </si>
  <si>
    <t>Sabalito</t>
  </si>
  <si>
    <t>Agua Buena</t>
  </si>
  <si>
    <t>Limoncito</t>
  </si>
  <si>
    <t>Pittier</t>
  </si>
  <si>
    <t>Parrita</t>
  </si>
  <si>
    <t>Corredor</t>
  </si>
  <si>
    <t>La Cuesta</t>
  </si>
  <si>
    <t>Canoas</t>
  </si>
  <si>
    <t>Laurel</t>
  </si>
  <si>
    <t>Jacó</t>
  </si>
  <si>
    <t>Tárcoles</t>
  </si>
  <si>
    <t>Valle La Estrella</t>
  </si>
  <si>
    <t>Río Blanco</t>
  </si>
  <si>
    <t>Matama</t>
  </si>
  <si>
    <t>Guápiles</t>
  </si>
  <si>
    <t>Jiménez</t>
  </si>
  <si>
    <t>Rita</t>
  </si>
  <si>
    <t>Roxana</t>
  </si>
  <si>
    <t>Cariari</t>
  </si>
  <si>
    <t>Siquirres</t>
  </si>
  <si>
    <t>Pacuarito</t>
  </si>
  <si>
    <t>Florida</t>
  </si>
  <si>
    <t>Germania</t>
  </si>
  <si>
    <t>Cairo</t>
  </si>
  <si>
    <t>Alegría</t>
  </si>
  <si>
    <t>Bratsi</t>
  </si>
  <si>
    <t>Sixaola</t>
  </si>
  <si>
    <t>Cahuita</t>
  </si>
  <si>
    <t>Matina</t>
  </si>
  <si>
    <t>Batán</t>
  </si>
  <si>
    <t>Carrandí</t>
  </si>
  <si>
    <t>Guácimo</t>
  </si>
  <si>
    <t>Pocora</t>
  </si>
  <si>
    <t>Río Jiménez</t>
  </si>
  <si>
    <t>Duacarí</t>
  </si>
  <si>
    <t>ACTIVIDAD COMERCIAL SEGÚN AGRUPACIÓN</t>
  </si>
  <si>
    <t>FACTOR</t>
  </si>
  <si>
    <t>MARGEN DE UTILIDAD</t>
  </si>
  <si>
    <t>Carnes</t>
  </si>
  <si>
    <t>Abarrotes</t>
  </si>
  <si>
    <t>Productos farmacéuticos</t>
  </si>
  <si>
    <t>Productos para la agricultura</t>
  </si>
  <si>
    <t>Materiales de construcción</t>
  </si>
  <si>
    <t>Vestimenta</t>
  </si>
  <si>
    <t>Calzado</t>
  </si>
  <si>
    <t>Ferretería</t>
  </si>
  <si>
    <t>TRIMESTRE</t>
  </si>
  <si>
    <t>CANTIDAD ACTIVIDADES</t>
  </si>
  <si>
    <t>Librería</t>
  </si>
  <si>
    <t>I</t>
  </si>
  <si>
    <t>Electrodomésticos</t>
  </si>
  <si>
    <t>II</t>
  </si>
  <si>
    <t>Vehículos</t>
  </si>
  <si>
    <t>III</t>
  </si>
  <si>
    <t>Artículos de boutique</t>
  </si>
  <si>
    <t>IV</t>
  </si>
  <si>
    <t>Alimentos preparados</t>
  </si>
  <si>
    <t>Sodas, cafeterías, fondas restaurantes . . .</t>
  </si>
  <si>
    <t>SOLICITANTE</t>
  </si>
  <si>
    <t>CATEGORÍA LICORES</t>
  </si>
  <si>
    <t>CATEGORÍA 1</t>
  </si>
  <si>
    <t>CATEGORÍA 2</t>
  </si>
  <si>
    <t>TARIFA CABECERA DE CANTÓN</t>
  </si>
  <si>
    <t>TARIFA DEMÁS POBLACIÓN</t>
  </si>
  <si>
    <t>Licoreras y similares (categoría A):</t>
  </si>
  <si>
    <t>De las 11:00 horas hasta las 0 horas.</t>
  </si>
  <si>
    <t>Cantinas, bares y tabernas sin actividad de baile (categoría B1):</t>
  </si>
  <si>
    <t>B1</t>
  </si>
  <si>
    <t>De las 11:00 horas a las 0 horas.</t>
  </si>
  <si>
    <t>Salones de baile, discotecas, clubes nocturnos y cabarés con actividad de baile (categoría B2):</t>
  </si>
  <si>
    <t>B2</t>
  </si>
  <si>
    <t xml:space="preserve">De las 16:00 horas a las 2:30 horas. </t>
  </si>
  <si>
    <t>Restaurantes y similares (categoría C):</t>
  </si>
  <si>
    <t xml:space="preserve">De las 11:00 horas hasta las 2:30 horas del siguiente día. </t>
  </si>
  <si>
    <t>Mini - súper (categoría D1):</t>
  </si>
  <si>
    <t>D1</t>
  </si>
  <si>
    <t xml:space="preserve">De las 8:00 horas hasta las 0 horas. </t>
  </si>
  <si>
    <t xml:space="preserve">Supermercado (categoría D2): </t>
  </si>
  <si>
    <t>D2</t>
  </si>
  <si>
    <t>Empresas de hospedaje con menos de quince habitaciones (Categorías E.1.a):</t>
  </si>
  <si>
    <t>E.1.a</t>
  </si>
  <si>
    <t xml:space="preserve">No tendrán limitaciones de horario </t>
  </si>
  <si>
    <t xml:space="preserve">Empresas de hospedaje con quince o más habitaciones (Categorías E.1.b): Un impuesto igual a dos salarios base. </t>
  </si>
  <si>
    <t>E.1.b</t>
  </si>
  <si>
    <t xml:space="preserve">Marinas y atracaderos declarados de interés turístico por el ICT (categoría E3): </t>
  </si>
  <si>
    <t>E3</t>
  </si>
  <si>
    <t xml:space="preserve">Empresas gastronómicas declaradas de interés turístico por el I.C.T (categoría E3): </t>
  </si>
  <si>
    <t xml:space="preserve">Centros de diversión nocturna declarados de interés turístico por el I.C.T (categoría E4): </t>
  </si>
  <si>
    <t>E4</t>
  </si>
  <si>
    <t>Actividades temáticas declaradas de interés turístico por el I.C.T (categoría E5):</t>
  </si>
  <si>
    <t>E5</t>
  </si>
  <si>
    <t>SALARIO BASE ACTUAL</t>
  </si>
  <si>
    <t>FACTORES</t>
  </si>
  <si>
    <t>DEL</t>
  </si>
  <si>
    <t>AL</t>
  </si>
  <si>
    <t>Del 01 de enero 2023 al 31 de diciembre de 2023</t>
  </si>
  <si>
    <t>Del 01 de enero 2024 al 31 de diciembre de 2024</t>
  </si>
  <si>
    <t>Del 01 de enero 2025al 31 de diciembre de 2025</t>
  </si>
  <si>
    <t>Del 01 de enero 2026 al 31 de diciembre de 2026</t>
  </si>
  <si>
    <t>Del 01 de enero 2027 al 31 de diciembre de 2027</t>
  </si>
  <si>
    <t>CANTON</t>
  </si>
  <si>
    <t>SAN_JOSE</t>
  </si>
  <si>
    <t>ESCAZÚ</t>
  </si>
  <si>
    <t xml:space="preserve">PURISCAL </t>
  </si>
  <si>
    <t>GOICOCHEA</t>
  </si>
  <si>
    <t>SANTA_ANA</t>
  </si>
  <si>
    <t>VASQUEZ_DE_CORONADO</t>
  </si>
  <si>
    <t xml:space="preserve">TIBAS </t>
  </si>
  <si>
    <t>MONTES_DE_OCA</t>
  </si>
  <si>
    <t xml:space="preserve">TURRUBARES </t>
  </si>
  <si>
    <t>PEREZ_ZELEDÓN</t>
  </si>
  <si>
    <t>LEÓN_CORTES</t>
  </si>
  <si>
    <t>ALAJUELA_</t>
  </si>
  <si>
    <t>SAN_RAMON</t>
  </si>
  <si>
    <t>SAN_MATEO</t>
  </si>
  <si>
    <t>POÁS</t>
  </si>
  <si>
    <t xml:space="preserve">SAN_CARLOS </t>
  </si>
  <si>
    <t>ALFARO_RUIZ</t>
  </si>
  <si>
    <t>VALVERDE_VEGA</t>
  </si>
  <si>
    <t>LOS_CHILES</t>
  </si>
  <si>
    <t>CARTAGO_</t>
  </si>
  <si>
    <t>PARAÍSO</t>
  </si>
  <si>
    <t>LA_UNIÓN</t>
  </si>
  <si>
    <t>JIMÉNEZ</t>
  </si>
  <si>
    <t>EL_GUARCO</t>
  </si>
  <si>
    <t>HEREDIA_</t>
  </si>
  <si>
    <t>SANTO_DOMINGO</t>
  </si>
  <si>
    <t>SANTA_BÁRBARA</t>
  </si>
  <si>
    <t>SAN_RAFAEL</t>
  </si>
  <si>
    <t>SAN_ISIDRO</t>
  </si>
  <si>
    <t>BELÉN</t>
  </si>
  <si>
    <t>SAN_PABLO</t>
  </si>
  <si>
    <t>SARAPIQUÍ</t>
  </si>
  <si>
    <t>SANTA_CRUZ</t>
  </si>
  <si>
    <t>LA_CRUZ</t>
  </si>
  <si>
    <t>PUNTARENAS_</t>
  </si>
  <si>
    <t>BUENOS_AIRES</t>
  </si>
  <si>
    <t>MONTES_DE_ORO</t>
  </si>
  <si>
    <t>COTO_BRUS</t>
  </si>
  <si>
    <t>LIMÓN_</t>
  </si>
  <si>
    <t>GUÁCIMO</t>
  </si>
  <si>
    <t>Aserri</t>
  </si>
  <si>
    <t>TRIMESTRAL</t>
  </si>
  <si>
    <t>ANUAL</t>
  </si>
  <si>
    <t>INGRESO BRUTO CURACAO</t>
  </si>
  <si>
    <t>INGRESO BRUTO GOLLO</t>
  </si>
  <si>
    <t>Impuesto 2022</t>
  </si>
  <si>
    <t>IMPUESTO TRIMESTRAL CURACAO</t>
  </si>
  <si>
    <t>IMPUESTO TRIMESTRAL GOLLO</t>
  </si>
  <si>
    <t>CURACAO LINEA BLANCA</t>
  </si>
  <si>
    <t>CURACAO ABARROTES</t>
  </si>
  <si>
    <t>EL GOLLO LINEA BLANCA</t>
  </si>
  <si>
    <t>EL GOLLO ABARROTES</t>
  </si>
  <si>
    <t>NENEN</t>
  </si>
  <si>
    <t>PAYUTE</t>
  </si>
  <si>
    <t>gess</t>
  </si>
  <si>
    <t>INGRESO BRUTO ARENAL</t>
  </si>
  <si>
    <t>INGRESO BRUTO TILARÁN</t>
  </si>
  <si>
    <t>Impuesto Anual 2022</t>
  </si>
  <si>
    <t>Impuesto trimestral 2022</t>
  </si>
  <si>
    <t xml:space="preserve">000021    FERRETERIA                         </t>
  </si>
  <si>
    <t xml:space="preserve">000020    MATERIALES CONSTRUCCION.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</si>
</sst>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quot;₡&quot;* #,##0.00_);_(&quot;₡&quot;* \(#,##0.00\);_(&quot;₡&quot;* &quot;-&quot;??_);_(@_)"/>
    <numFmt numFmtId="165" formatCode="_(* #,##0.00_);_(* \(#,##0.00\);_(* &quot;-&quot;??_);_(@_)"/>
    <numFmt numFmtId="166" formatCode="[$-F400]h:mm:ss\ AM/PM"/>
    <numFmt numFmtId="167" formatCode="0.0000"/>
    <numFmt numFmtId="168" formatCode="dd/mm/yy"/>
    <numFmt numFmtId="169" formatCode="[$-F800]dddd\,\ mmmm\ dd\,\ yyyy"/>
  </numFmts>
  <fonts count="8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0"/>
      <name val="Times New Roman"/>
      <family val="1"/>
    </font>
    <font>
      <sz val="11"/>
      <color indexed="10"/>
      <name val="Calibri"/>
      <family val="2"/>
    </font>
    <font>
      <b/>
      <sz val="11"/>
      <color indexed="8"/>
      <name val="Calibri"/>
      <family val="2"/>
    </font>
    <font>
      <b/>
      <sz val="12"/>
      <color indexed="8"/>
      <name val="Calibri"/>
      <family val="2"/>
    </font>
    <font>
      <b/>
      <sz val="14"/>
      <color indexed="8"/>
      <name val="Calibri"/>
      <family val="2"/>
    </font>
    <font>
      <b/>
      <i/>
      <sz val="12"/>
      <color indexed="8"/>
      <name val="Calibri"/>
      <family val="2"/>
    </font>
    <font>
      <sz val="12"/>
      <color indexed="8"/>
      <name val="Calibri"/>
      <family val="2"/>
    </font>
    <font>
      <sz val="12"/>
      <name val="Calibri"/>
      <family val="2"/>
    </font>
    <font>
      <b/>
      <sz val="12"/>
      <name val="Calibri"/>
      <family val="2"/>
    </font>
    <font>
      <sz val="11"/>
      <color indexed="40"/>
      <name val="Calibri"/>
      <family val="2"/>
    </font>
    <font>
      <sz val="12"/>
      <name val="Verdana"/>
      <family val="2"/>
    </font>
    <font>
      <sz val="11"/>
      <color theme="1"/>
      <name val="Calibri"/>
      <family val="2"/>
      <scheme val="minor"/>
    </font>
    <font>
      <b/>
      <sz val="10"/>
      <color rgb="FFFF0000"/>
      <name val="Arial"/>
      <family val="2"/>
    </font>
    <font>
      <b/>
      <sz val="14"/>
      <color rgb="FF000000"/>
      <name val="Verdana"/>
      <family val="2"/>
    </font>
    <font>
      <sz val="12"/>
      <color rgb="FF000000"/>
      <name val="Verdana"/>
      <family val="2"/>
    </font>
    <font>
      <sz val="10"/>
      <color rgb="FFFF0000"/>
      <name val="Arial"/>
      <family val="2"/>
    </font>
    <font>
      <sz val="10"/>
      <color theme="1"/>
      <name val="Arial"/>
      <family val="2"/>
    </font>
    <font>
      <sz val="10"/>
      <color rgb="FF000000"/>
      <name val="Arial"/>
      <family val="2"/>
    </font>
    <font>
      <b/>
      <sz val="10"/>
      <color rgb="FF000000"/>
      <name val="Arial"/>
      <family val="2"/>
    </font>
    <font>
      <b/>
      <sz val="8"/>
      <name val="Arial"/>
      <family val="2"/>
    </font>
    <font>
      <b/>
      <sz val="10"/>
      <color theme="0"/>
      <name val="Arial"/>
      <family val="2"/>
    </font>
    <font>
      <b/>
      <sz val="11"/>
      <color theme="0"/>
      <name val="Arial"/>
      <family val="2"/>
    </font>
    <font>
      <sz val="10"/>
      <name val="Arial"/>
      <family val="2"/>
    </font>
    <font>
      <sz val="11"/>
      <color rgb="FF006100"/>
      <name val="Calibri"/>
      <family val="2"/>
      <scheme val="minor"/>
    </font>
    <font>
      <sz val="11"/>
      <color theme="0"/>
      <name val="Calibri"/>
      <family val="2"/>
      <scheme val="minor"/>
    </font>
    <font>
      <sz val="11"/>
      <color rgb="FFFF0000"/>
      <name val="Calibri"/>
      <family val="2"/>
      <scheme val="minor"/>
    </font>
    <font>
      <sz val="10"/>
      <name val="Arial Narrow"/>
      <family val="2"/>
    </font>
    <font>
      <b/>
      <sz val="14"/>
      <color indexed="10"/>
      <name val="Arial Narrow"/>
      <family val="2"/>
    </font>
    <font>
      <sz val="10"/>
      <color rgb="FFFF0000"/>
      <name val="Arial Narrow"/>
      <family val="2"/>
    </font>
    <font>
      <b/>
      <sz val="10"/>
      <color rgb="FF1E09B7"/>
      <name val="Arial"/>
      <family val="2"/>
    </font>
    <font>
      <u/>
      <sz val="10"/>
      <color theme="10"/>
      <name val="Arial"/>
      <family val="2"/>
    </font>
    <font>
      <sz val="11"/>
      <color rgb="FF444444"/>
      <name val="Calibri"/>
      <family val="2"/>
      <charset val="1"/>
    </font>
    <font>
      <sz val="10"/>
      <color theme="4" tint="-0.249977111117893"/>
      <name val="Arial"/>
      <family val="2"/>
    </font>
    <font>
      <u/>
      <sz val="10"/>
      <color indexed="12"/>
      <name val="Arial"/>
      <family val="2"/>
    </font>
    <font>
      <sz val="10"/>
      <color indexed="10"/>
      <name val="Arial Narrow"/>
      <family val="2"/>
    </font>
    <font>
      <sz val="20"/>
      <name val="Arial"/>
      <family val="2"/>
    </font>
    <font>
      <sz val="20"/>
      <name val="Agency FB"/>
      <family val="2"/>
    </font>
    <font>
      <sz val="11"/>
      <name val="Calibri"/>
      <family val="2"/>
    </font>
    <font>
      <u/>
      <sz val="10"/>
      <color theme="10"/>
      <name val="Arial"/>
    </font>
    <font>
      <sz val="10"/>
      <name val="Aptos Light"/>
      <family val="2"/>
    </font>
    <font>
      <b/>
      <sz val="11"/>
      <name val="Aptos Light"/>
      <family val="2"/>
    </font>
    <font>
      <sz val="11"/>
      <name val="Aptos Light"/>
      <family val="2"/>
    </font>
    <font>
      <b/>
      <sz val="10"/>
      <name val="Aptos Light"/>
      <family val="2"/>
    </font>
    <font>
      <b/>
      <sz val="12"/>
      <color theme="0"/>
      <name val="Aptos Light"/>
      <family val="2"/>
    </font>
    <font>
      <sz val="7.5"/>
      <name val="Aptos Light"/>
      <family val="2"/>
    </font>
    <font>
      <b/>
      <sz val="10"/>
      <color rgb="FF002060"/>
      <name val="Aptos Light"/>
      <family val="2"/>
    </font>
    <font>
      <sz val="8"/>
      <name val="Aptos Light"/>
      <family val="2"/>
    </font>
    <font>
      <b/>
      <sz val="14"/>
      <color indexed="10"/>
      <name val="Aptos Light"/>
      <family val="2"/>
    </font>
    <font>
      <b/>
      <sz val="10"/>
      <color rgb="FFFF0000"/>
      <name val="Aptos Light"/>
      <family val="2"/>
    </font>
    <font>
      <b/>
      <sz val="9"/>
      <name val="Aptos Light"/>
      <family val="2"/>
    </font>
    <font>
      <b/>
      <sz val="9"/>
      <color rgb="FFFF0000"/>
      <name val="Aptos Light"/>
      <family val="2"/>
    </font>
    <font>
      <b/>
      <sz val="8"/>
      <name val="Aptos Light"/>
      <family val="2"/>
    </font>
    <font>
      <b/>
      <sz val="7"/>
      <name val="Aptos Light"/>
      <family val="2"/>
    </font>
    <font>
      <sz val="7"/>
      <name val="Aptos Light"/>
      <family val="2"/>
    </font>
    <font>
      <sz val="9"/>
      <name val="Aptos Light"/>
      <family val="2"/>
    </font>
    <font>
      <sz val="8"/>
      <color theme="0"/>
      <name val="Aptos Light"/>
      <family val="2"/>
    </font>
    <font>
      <b/>
      <sz val="8"/>
      <color theme="0"/>
      <name val="Aptos Light"/>
      <family val="2"/>
    </font>
    <font>
      <sz val="6"/>
      <color theme="0"/>
      <name val="Aptos Light"/>
      <family val="2"/>
    </font>
    <font>
      <sz val="10"/>
      <color theme="0"/>
      <name val="Aptos Light"/>
      <family val="2"/>
    </font>
    <font>
      <sz val="8"/>
      <color rgb="FFFF0000"/>
      <name val="Aptos Light"/>
      <family val="2"/>
    </font>
    <font>
      <sz val="6"/>
      <color rgb="FFFF0000"/>
      <name val="Aptos Light"/>
      <family val="2"/>
    </font>
    <font>
      <sz val="10"/>
      <color rgb="FFFF0000"/>
      <name val="Aptos Light"/>
      <family val="2"/>
    </font>
    <font>
      <sz val="6"/>
      <name val="Aptos Light"/>
      <family val="2"/>
    </font>
    <font>
      <b/>
      <sz val="6"/>
      <name val="Aptos Light"/>
      <family val="2"/>
    </font>
    <font>
      <b/>
      <sz val="12"/>
      <name val="Aptos Light"/>
      <family val="2"/>
    </font>
    <font>
      <b/>
      <sz val="12"/>
      <color rgb="FFFF0000"/>
      <name val="Aptos Light"/>
      <family val="2"/>
    </font>
    <font>
      <sz val="12"/>
      <color indexed="10"/>
      <name val="Aptos Light"/>
      <family val="2"/>
    </font>
    <font>
      <b/>
      <sz val="20"/>
      <color rgb="FFFF0000"/>
      <name val="Calibri"/>
      <family val="2"/>
    </font>
    <font>
      <sz val="12"/>
      <name val="Aptos Light"/>
      <family val="2"/>
    </font>
    <font>
      <b/>
      <sz val="12"/>
      <color rgb="FFC00000"/>
      <name val="Aptos Light"/>
      <family val="2"/>
    </font>
    <font>
      <b/>
      <sz val="20"/>
      <color rgb="FFFF0000"/>
      <name val="Aptos Light"/>
      <family val="2"/>
    </font>
    <font>
      <u/>
      <sz val="10"/>
      <color theme="10"/>
      <name val="Aptos Light"/>
      <family val="2"/>
    </font>
    <font>
      <i/>
      <sz val="12"/>
      <name val="Aptos Light"/>
      <family val="2"/>
    </font>
    <font>
      <b/>
      <sz val="14"/>
      <name val="Aptos Light"/>
      <family val="2"/>
    </font>
    <font>
      <b/>
      <sz val="20"/>
      <name val="Aptos Light"/>
      <family val="2"/>
    </font>
  </fonts>
  <fills count="21">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rgb="FF7030A0"/>
        <bgColor indexed="64"/>
      </patternFill>
    </fill>
    <fill>
      <patternFill patternType="solid">
        <fgColor theme="3" tint="0.39997558519241921"/>
        <bgColor indexed="64"/>
      </patternFill>
    </fill>
    <fill>
      <patternFill patternType="solid">
        <fgColor rgb="FFFFFFFF"/>
        <bgColor indexed="64"/>
      </patternFill>
    </fill>
    <fill>
      <patternFill patternType="solid">
        <fgColor theme="0"/>
        <bgColor indexed="64"/>
      </patternFill>
    </fill>
    <fill>
      <patternFill patternType="solid">
        <fgColor theme="1"/>
        <bgColor indexed="64"/>
      </patternFill>
    </fill>
    <fill>
      <patternFill patternType="solid">
        <fgColor theme="6" tint="0.79998168889431442"/>
        <bgColor indexed="64"/>
      </patternFill>
    </fill>
    <fill>
      <patternFill patternType="solid">
        <fgColor rgb="FFFFFFCC"/>
      </patternFill>
    </fill>
    <fill>
      <patternFill patternType="solid">
        <fgColor theme="5" tint="0.79998168889431442"/>
        <bgColor theme="5" tint="0.79998168889431442"/>
      </patternFill>
    </fill>
    <fill>
      <patternFill patternType="solid">
        <fgColor theme="9" tint="0.39997558519241921"/>
        <bgColor indexed="64"/>
      </patternFill>
    </fill>
    <fill>
      <patternFill patternType="solid">
        <fgColor rgb="FF00B0F0"/>
        <bgColor indexed="26"/>
      </patternFill>
    </fill>
    <fill>
      <patternFill patternType="gray125">
        <fgColor rgb="FFFF0000"/>
      </patternFill>
    </fill>
    <fill>
      <patternFill patternType="solid">
        <fgColor indexed="65"/>
        <bgColor theme="0"/>
      </patternFill>
    </fill>
    <fill>
      <patternFill patternType="solid">
        <fgColor rgb="FFFFFF00"/>
        <bgColor indexed="64"/>
      </patternFill>
    </fill>
    <fill>
      <patternFill patternType="gray125">
        <fgColor rgb="FFFF0000"/>
        <bgColor rgb="FFFBDBE2"/>
      </patternFill>
    </fill>
    <fill>
      <patternFill patternType="solid">
        <fgColor theme="4" tint="0.79998168889431442"/>
        <bgColor theme="4" tint="0.79998168889431442"/>
      </patternFill>
    </fill>
    <fill>
      <patternFill patternType="gray0625">
        <fgColor theme="0"/>
        <bgColor rgb="FFFFCCCC"/>
      </patternFill>
    </fill>
    <fill>
      <patternFill patternType="solid">
        <fgColor theme="1" tint="0.499984740745262"/>
        <bgColor indexed="64"/>
      </patternFill>
    </fill>
  </fills>
  <borders count="5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Dashed">
        <color rgb="FFFF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right/>
      <top style="dashed">
        <color indexed="64"/>
      </top>
      <bottom style="dashed">
        <color indexed="64"/>
      </bottom>
      <diagonal/>
    </border>
    <border>
      <left/>
      <right/>
      <top/>
      <bottom style="thin">
        <color theme="5"/>
      </bottom>
      <diagonal/>
    </border>
    <border>
      <left/>
      <right/>
      <top style="medium">
        <color indexed="64"/>
      </top>
      <bottom style="dashed">
        <color indexed="64"/>
      </bottom>
      <diagonal/>
    </border>
    <border>
      <left/>
      <right/>
      <top/>
      <bottom style="dashed">
        <color indexed="64"/>
      </bottom>
      <diagonal/>
    </border>
    <border>
      <left style="thin">
        <color indexed="64"/>
      </left>
      <right style="thin">
        <color indexed="64"/>
      </right>
      <top/>
      <bottom style="thin">
        <color indexed="64"/>
      </bottom>
      <diagonal/>
    </border>
    <border>
      <left/>
      <right/>
      <top/>
      <bottom style="thin">
        <color rgb="FF000000"/>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1">
    <xf numFmtId="0" fontId="0" fillId="0" borderId="0"/>
    <xf numFmtId="0" fontId="10" fillId="0" borderId="0"/>
    <xf numFmtId="0" fontId="10" fillId="0" borderId="0"/>
    <xf numFmtId="0" fontId="22" fillId="0" borderId="0"/>
    <xf numFmtId="0" fontId="8" fillId="0" borderId="0"/>
    <xf numFmtId="165" fontId="8" fillId="0" borderId="0" applyFont="0" applyFill="0" applyBorder="0" applyAlignment="0" applyProtection="0"/>
    <xf numFmtId="0" fontId="7" fillId="0" borderId="0"/>
    <xf numFmtId="165" fontId="7" fillId="0" borderId="0" applyFont="0" applyFill="0" applyBorder="0" applyAlignment="0" applyProtection="0"/>
    <xf numFmtId="43" fontId="10" fillId="0" borderId="0" applyFont="0" applyFill="0" applyBorder="0" applyAlignment="0" applyProtection="0"/>
    <xf numFmtId="0" fontId="33" fillId="10" borderId="33" applyNumberFormat="0" applyFont="0" applyAlignment="0" applyProtection="0"/>
    <xf numFmtId="0" fontId="10" fillId="0" borderId="0"/>
    <xf numFmtId="0" fontId="10" fillId="0" borderId="0"/>
    <xf numFmtId="0" fontId="6" fillId="0" borderId="0"/>
    <xf numFmtId="0" fontId="5" fillId="0" borderId="0"/>
    <xf numFmtId="0" fontId="41" fillId="0" borderId="0" applyNumberFormat="0" applyFill="0" applyBorder="0" applyAlignment="0" applyProtection="0"/>
    <xf numFmtId="0" fontId="4" fillId="0" borderId="0"/>
    <xf numFmtId="0" fontId="3" fillId="0" borderId="0"/>
    <xf numFmtId="0" fontId="44" fillId="0" borderId="0" applyNumberFormat="0" applyFill="0" applyBorder="0" applyAlignment="0" applyProtection="0">
      <alignment vertical="top"/>
      <protection locked="0"/>
    </xf>
    <xf numFmtId="0" fontId="2" fillId="0" borderId="0"/>
    <xf numFmtId="0" fontId="48" fillId="0" borderId="0"/>
    <xf numFmtId="0" fontId="49" fillId="0" borderId="0" applyNumberFormat="0" applyFill="0" applyBorder="0" applyAlignment="0" applyProtection="0"/>
  </cellStyleXfs>
  <cellXfs count="504">
    <xf numFmtId="0" fontId="0" fillId="0" borderId="0" xfId="0"/>
    <xf numFmtId="0" fontId="11" fillId="0" borderId="0" xfId="2" applyFont="1"/>
    <xf numFmtId="0" fontId="9" fillId="0" borderId="0" xfId="0" applyFont="1" applyAlignment="1">
      <alignment wrapText="1"/>
    </xf>
    <xf numFmtId="0" fontId="11" fillId="4" borderId="0" xfId="2" applyFont="1" applyFill="1"/>
    <xf numFmtId="0" fontId="11" fillId="5" borderId="0" xfId="2" applyFont="1" applyFill="1"/>
    <xf numFmtId="0" fontId="11" fillId="5" borderId="0" xfId="2" applyFont="1" applyFill="1" applyAlignment="1">
      <alignment horizontal="left" vertical="center" wrapText="1"/>
    </xf>
    <xf numFmtId="0" fontId="9" fillId="0" borderId="0" xfId="0" applyFont="1" applyAlignment="1">
      <alignment horizontal="center" vertical="center" wrapText="1"/>
    </xf>
    <xf numFmtId="0" fontId="10" fillId="0" borderId="0" xfId="0" applyFont="1"/>
    <xf numFmtId="49" fontId="10" fillId="0" borderId="0" xfId="0" applyNumberFormat="1" applyFont="1" applyAlignment="1">
      <alignment horizontal="center"/>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0" fillId="3" borderId="9" xfId="0" applyFill="1" applyBorder="1" applyAlignment="1">
      <alignment horizontal="center" wrapText="1"/>
    </xf>
    <xf numFmtId="0" fontId="0" fillId="3" borderId="9" xfId="0" applyFill="1" applyBorder="1" applyAlignment="1">
      <alignment horizontal="center" vertical="center" wrapText="1"/>
    </xf>
    <xf numFmtId="49" fontId="14" fillId="3" borderId="9" xfId="0" applyNumberFormat="1" applyFont="1" applyFill="1" applyBorder="1" applyAlignment="1">
      <alignment horizontal="center" vertical="center" wrapText="1"/>
    </xf>
    <xf numFmtId="49" fontId="17" fillId="3" borderId="9" xfId="0" applyNumberFormat="1" applyFont="1" applyFill="1" applyBorder="1" applyAlignment="1">
      <alignment horizontal="center" vertical="center" wrapText="1"/>
    </xf>
    <xf numFmtId="49" fontId="14" fillId="0" borderId="9" xfId="0" applyNumberFormat="1" applyFont="1" applyBorder="1" applyAlignment="1">
      <alignment horizontal="center" vertical="center" wrapText="1"/>
    </xf>
    <xf numFmtId="0" fontId="0" fillId="0" borderId="9" xfId="0" applyBorder="1" applyAlignment="1">
      <alignment horizontal="center" wrapText="1"/>
    </xf>
    <xf numFmtId="0" fontId="0" fillId="0" borderId="9" xfId="0" applyBorder="1" applyAlignment="1">
      <alignment horizontal="center" vertical="center" wrapText="1"/>
    </xf>
    <xf numFmtId="49" fontId="17" fillId="0" borderId="9" xfId="0" applyNumberFormat="1" applyFont="1" applyBorder="1" applyAlignment="1">
      <alignment horizontal="center" vertical="center" wrapText="1"/>
    </xf>
    <xf numFmtId="0" fontId="14" fillId="0" borderId="9" xfId="0" applyFont="1" applyBorder="1" applyAlignment="1">
      <alignment horizontal="center" vertical="center" wrapText="1"/>
    </xf>
    <xf numFmtId="49" fontId="18" fillId="0" borderId="10" xfId="2" applyNumberFormat="1" applyFont="1" applyBorder="1" applyAlignment="1">
      <alignment horizontal="left" vertical="center" wrapText="1"/>
    </xf>
    <xf numFmtId="0" fontId="19" fillId="0" borderId="9" xfId="2" applyFont="1" applyBorder="1" applyAlignment="1">
      <alignment horizontal="center" vertical="center" wrapText="1"/>
    </xf>
    <xf numFmtId="49" fontId="19" fillId="0" borderId="9" xfId="0" applyNumberFormat="1" applyFont="1" applyBorder="1" applyAlignment="1">
      <alignment horizontal="center" vertical="center" wrapText="1"/>
    </xf>
    <xf numFmtId="0" fontId="19" fillId="0" borderId="9" xfId="0" applyFont="1" applyBorder="1" applyAlignment="1">
      <alignment horizontal="center" vertical="center" wrapText="1"/>
    </xf>
    <xf numFmtId="0" fontId="12" fillId="0" borderId="9" xfId="0" applyFont="1" applyBorder="1" applyAlignment="1">
      <alignment horizontal="center" wrapText="1"/>
    </xf>
    <xf numFmtId="0" fontId="12" fillId="0" borderId="9" xfId="0" applyFont="1" applyBorder="1" applyAlignment="1">
      <alignment horizontal="center" vertical="center" wrapText="1"/>
    </xf>
    <xf numFmtId="0" fontId="0" fillId="0" borderId="9" xfId="0" applyBorder="1" applyAlignment="1">
      <alignment vertical="center" wrapText="1"/>
    </xf>
    <xf numFmtId="0" fontId="13" fillId="0" borderId="9" xfId="0" applyFont="1" applyBorder="1" applyAlignment="1">
      <alignment horizontal="center" wrapText="1"/>
    </xf>
    <xf numFmtId="0" fontId="13" fillId="0" borderId="9" xfId="0" applyFont="1" applyBorder="1" applyAlignment="1">
      <alignment horizontal="center" vertical="center" wrapText="1"/>
    </xf>
    <xf numFmtId="0" fontId="20" fillId="0" borderId="9" xfId="0" applyFont="1" applyBorder="1" applyAlignment="1">
      <alignment horizontal="center" wrapText="1"/>
    </xf>
    <xf numFmtId="0" fontId="20" fillId="0" borderId="9" xfId="0" applyFont="1" applyBorder="1" applyAlignment="1">
      <alignment horizontal="center" vertical="center" wrapText="1"/>
    </xf>
    <xf numFmtId="0" fontId="19" fillId="0" borderId="9" xfId="0" applyFont="1" applyBorder="1" applyAlignment="1">
      <alignment horizontal="center" wrapText="1"/>
    </xf>
    <xf numFmtId="0" fontId="0" fillId="0" borderId="9" xfId="0" applyBorder="1" applyAlignment="1">
      <alignment vertical="center"/>
    </xf>
    <xf numFmtId="49" fontId="17" fillId="0" borderId="10" xfId="2" applyNumberFormat="1" applyFont="1" applyBorder="1" applyAlignment="1">
      <alignment horizontal="left" vertical="center" wrapText="1"/>
    </xf>
    <xf numFmtId="0" fontId="23" fillId="0" borderId="0" xfId="0" applyFont="1" applyAlignment="1">
      <alignment vertical="center"/>
    </xf>
    <xf numFmtId="0" fontId="24" fillId="0" borderId="0" xfId="0" applyFont="1" applyAlignment="1">
      <alignment horizontal="left" vertical="center"/>
    </xf>
    <xf numFmtId="0" fontId="0" fillId="0" borderId="0" xfId="0" applyAlignment="1">
      <alignment horizontal="left"/>
    </xf>
    <xf numFmtId="0" fontId="10" fillId="0" borderId="0" xfId="0" applyFont="1" applyAlignment="1">
      <alignment vertical="center" wrapText="1"/>
    </xf>
    <xf numFmtId="0" fontId="9" fillId="0" borderId="0" xfId="0" applyFont="1"/>
    <xf numFmtId="0" fontId="10" fillId="0" borderId="0" xfId="0" applyFont="1" applyAlignment="1">
      <alignment vertical="center"/>
    </xf>
    <xf numFmtId="49" fontId="18" fillId="0" borderId="10" xfId="0" applyNumberFormat="1" applyFont="1" applyBorder="1" applyAlignment="1">
      <alignment vertical="center" wrapText="1"/>
    </xf>
    <xf numFmtId="49" fontId="18" fillId="0" borderId="10" xfId="1" applyNumberFormat="1" applyFont="1" applyBorder="1" applyAlignment="1">
      <alignment horizontal="left" vertical="center" wrapText="1"/>
    </xf>
    <xf numFmtId="49" fontId="14" fillId="0" borderId="10" xfId="2" applyNumberFormat="1" applyFont="1" applyBorder="1" applyAlignment="1">
      <alignment horizontal="left" vertical="center" wrapText="1"/>
    </xf>
    <xf numFmtId="49" fontId="19" fillId="0" borderId="10" xfId="0" applyNumberFormat="1" applyFont="1" applyBorder="1" applyAlignment="1">
      <alignment horizontal="left" vertical="center" wrapText="1"/>
    </xf>
    <xf numFmtId="49" fontId="0" fillId="0" borderId="10" xfId="0" applyNumberFormat="1" applyBorder="1" applyAlignment="1">
      <alignment vertical="center" wrapText="1"/>
    </xf>
    <xf numFmtId="49" fontId="19" fillId="0" borderId="10" xfId="2" applyNumberFormat="1" applyFont="1" applyBorder="1" applyAlignment="1">
      <alignment horizontal="left" vertical="center" wrapText="1"/>
    </xf>
    <xf numFmtId="49" fontId="18" fillId="0" borderId="10" xfId="3" applyNumberFormat="1" applyFont="1" applyBorder="1" applyAlignment="1">
      <alignment horizontal="left" vertical="center" wrapText="1"/>
    </xf>
    <xf numFmtId="49" fontId="17" fillId="3" borderId="10" xfId="2" applyNumberFormat="1" applyFont="1" applyFill="1" applyBorder="1" applyAlignment="1">
      <alignment horizontal="left" vertical="center" wrapText="1"/>
    </xf>
    <xf numFmtId="49" fontId="18" fillId="0" borderId="0" xfId="2" applyNumberFormat="1" applyFont="1" applyAlignment="1">
      <alignment horizontal="left" vertical="center" wrapText="1"/>
    </xf>
    <xf numFmtId="49" fontId="18" fillId="3" borderId="10" xfId="2" applyNumberFormat="1" applyFont="1" applyFill="1" applyBorder="1" applyAlignment="1">
      <alignment horizontal="left" vertical="center" wrapText="1"/>
    </xf>
    <xf numFmtId="49" fontId="19" fillId="0" borderId="10" xfId="3" applyNumberFormat="1" applyFont="1" applyBorder="1" applyAlignment="1">
      <alignment horizontal="left" vertical="center" wrapText="1"/>
    </xf>
    <xf numFmtId="0" fontId="15" fillId="2" borderId="5" xfId="0" applyFont="1" applyFill="1" applyBorder="1" applyAlignment="1">
      <alignment horizontal="left" vertical="center" wrapText="1"/>
    </xf>
    <xf numFmtId="0" fontId="14" fillId="2" borderId="18" xfId="0" applyFont="1" applyFill="1" applyBorder="1" applyAlignment="1">
      <alignment horizontal="center" vertical="center" wrapText="1"/>
    </xf>
    <xf numFmtId="49" fontId="18" fillId="0" borderId="16" xfId="2" applyNumberFormat="1" applyFont="1" applyBorder="1" applyAlignment="1">
      <alignment horizontal="left" vertical="center" wrapText="1"/>
    </xf>
    <xf numFmtId="49" fontId="14" fillId="0" borderId="19" xfId="0" applyNumberFormat="1" applyFont="1" applyBorder="1" applyAlignment="1">
      <alignment horizontal="center" vertical="center" wrapText="1"/>
    </xf>
    <xf numFmtId="0" fontId="21" fillId="0" borderId="17" xfId="0" applyFont="1" applyBorder="1" applyAlignment="1">
      <alignment horizontal="left" vertical="center" wrapText="1"/>
    </xf>
    <xf numFmtId="0" fontId="21" fillId="0" borderId="20" xfId="0" applyFont="1" applyBorder="1" applyAlignment="1">
      <alignment horizontal="left" vertical="center" wrapText="1"/>
    </xf>
    <xf numFmtId="0" fontId="21" fillId="0" borderId="9" xfId="0" applyFont="1" applyBorder="1" applyAlignment="1">
      <alignment horizontal="left" vertical="center" wrapText="1"/>
    </xf>
    <xf numFmtId="0" fontId="21" fillId="6" borderId="9" xfId="0" applyFont="1" applyFill="1" applyBorder="1" applyAlignment="1">
      <alignment horizontal="left" vertical="center" wrapText="1"/>
    </xf>
    <xf numFmtId="0" fontId="25" fillId="6" borderId="9" xfId="0" applyFont="1" applyFill="1" applyBorder="1" applyAlignment="1">
      <alignment horizontal="left" vertical="center" wrapText="1"/>
    </xf>
    <xf numFmtId="0" fontId="21" fillId="6" borderId="9" xfId="0" applyFont="1" applyFill="1" applyBorder="1" applyAlignment="1">
      <alignment vertical="center" wrapText="1"/>
    </xf>
    <xf numFmtId="0" fontId="26" fillId="0" borderId="9" xfId="0" applyFont="1" applyBorder="1"/>
    <xf numFmtId="0" fontId="0" fillId="0" borderId="9" xfId="0" applyBorder="1"/>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xf>
    <xf numFmtId="49" fontId="0" fillId="0" borderId="9" xfId="0" applyNumberFormat="1" applyBorder="1" applyAlignment="1">
      <alignment horizontal="center" vertical="center"/>
    </xf>
    <xf numFmtId="49" fontId="10" fillId="0" borderId="9" xfId="0" applyNumberFormat="1" applyFont="1" applyBorder="1" applyAlignment="1">
      <alignment horizontal="center" vertical="center"/>
    </xf>
    <xf numFmtId="0" fontId="29" fillId="0" borderId="0" xfId="0" applyFont="1" applyAlignment="1">
      <alignment horizontal="justify" vertical="center" wrapText="1"/>
    </xf>
    <xf numFmtId="0" fontId="28" fillId="0" borderId="0" xfId="0" applyFont="1" applyAlignment="1">
      <alignment horizontal="justify" vertical="center" wrapText="1"/>
    </xf>
    <xf numFmtId="0" fontId="28" fillId="0" borderId="0" xfId="0" applyFont="1" applyAlignment="1">
      <alignment vertical="center"/>
    </xf>
    <xf numFmtId="0" fontId="10" fillId="0" borderId="0" xfId="0" applyFont="1" applyAlignment="1">
      <alignment horizontal="left" vertical="center"/>
    </xf>
    <xf numFmtId="0" fontId="9" fillId="0" borderId="0" xfId="0" applyFont="1" applyAlignment="1">
      <alignment horizontal="left" vertical="center"/>
    </xf>
    <xf numFmtId="49" fontId="10" fillId="0" borderId="0" xfId="0" applyNumberFormat="1" applyFont="1" applyAlignment="1">
      <alignment horizontal="center" vertical="center"/>
    </xf>
    <xf numFmtId="0" fontId="10" fillId="0" borderId="9" xfId="0" applyFont="1" applyBorder="1"/>
    <xf numFmtId="0" fontId="10" fillId="0" borderId="9" xfId="0" applyFont="1" applyBorder="1" applyAlignment="1">
      <alignment horizontal="center"/>
    </xf>
    <xf numFmtId="4" fontId="0" fillId="0" borderId="9" xfId="0" applyNumberFormat="1" applyBorder="1"/>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30" fillId="0" borderId="0" xfId="0" applyFont="1" applyAlignment="1">
      <alignment horizontal="center"/>
    </xf>
    <xf numFmtId="10" fontId="30" fillId="0" borderId="0" xfId="0" applyNumberFormat="1" applyFont="1" applyAlignment="1">
      <alignment horizontal="center" wrapText="1"/>
    </xf>
    <xf numFmtId="9" fontId="0" fillId="0" borderId="9" xfId="0" applyNumberFormat="1"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left" vertical="center"/>
    </xf>
    <xf numFmtId="9" fontId="0" fillId="0" borderId="0" xfId="0" applyNumberFormat="1" applyAlignment="1">
      <alignment horizontal="center" vertical="center"/>
    </xf>
    <xf numFmtId="0" fontId="0" fillId="0" borderId="22" xfId="0" applyBorder="1" applyAlignment="1">
      <alignment horizontal="center" vertical="center"/>
    </xf>
    <xf numFmtId="9" fontId="0" fillId="0" borderId="11" xfId="0" applyNumberFormat="1" applyBorder="1" applyAlignment="1">
      <alignment horizontal="center" vertical="center"/>
    </xf>
    <xf numFmtId="9" fontId="23" fillId="0" borderId="9" xfId="0" applyNumberFormat="1" applyFont="1" applyBorder="1" applyAlignment="1">
      <alignment horizontal="center" vertical="center"/>
    </xf>
    <xf numFmtId="0" fontId="23" fillId="0" borderId="9" xfId="0" applyFont="1" applyBorder="1" applyAlignment="1">
      <alignment horizontal="center" vertical="center"/>
    </xf>
    <xf numFmtId="0" fontId="30" fillId="0" borderId="11" xfId="0" applyFont="1" applyBorder="1" applyAlignment="1">
      <alignment horizontal="center"/>
    </xf>
    <xf numFmtId="0" fontId="0" fillId="0" borderId="9" xfId="0" applyBorder="1" applyAlignment="1">
      <alignment horizontal="center"/>
    </xf>
    <xf numFmtId="0" fontId="31" fillId="8" borderId="9" xfId="0" applyFont="1" applyFill="1" applyBorder="1" applyAlignment="1">
      <alignment horizontal="center"/>
    </xf>
    <xf numFmtId="0" fontId="11" fillId="5" borderId="0" xfId="2" applyFont="1" applyFill="1" applyAlignment="1">
      <alignment horizontal="center"/>
    </xf>
    <xf numFmtId="0" fontId="11" fillId="0" borderId="0" xfId="2" applyFont="1" applyAlignment="1">
      <alignment horizontal="center"/>
    </xf>
    <xf numFmtId="0" fontId="11" fillId="5" borderId="0" xfId="2" applyFont="1" applyFill="1" applyAlignment="1">
      <alignment horizontal="center" vertical="center"/>
    </xf>
    <xf numFmtId="0" fontId="11" fillId="5" borderId="0" xfId="2" applyFont="1" applyFill="1" applyAlignment="1">
      <alignment horizontal="center" vertical="center" wrapText="1"/>
    </xf>
    <xf numFmtId="0" fontId="10" fillId="9" borderId="9" xfId="0" applyFont="1" applyFill="1" applyBorder="1" applyAlignment="1">
      <alignment horizontal="center"/>
    </xf>
    <xf numFmtId="0" fontId="0" fillId="11" borderId="34" xfId="0" applyFill="1" applyBorder="1" applyAlignment="1">
      <alignment horizontal="left" indent="1"/>
    </xf>
    <xf numFmtId="0" fontId="0" fillId="0" borderId="34" xfId="0" applyBorder="1" applyAlignment="1">
      <alignment horizontal="left" indent="1"/>
    </xf>
    <xf numFmtId="0" fontId="35" fillId="8" borderId="34" xfId="0" applyFont="1" applyFill="1" applyBorder="1" applyAlignment="1">
      <alignment horizontal="left" indent="1"/>
    </xf>
    <xf numFmtId="0" fontId="34" fillId="10" borderId="34" xfId="9" applyFont="1" applyBorder="1" applyAlignment="1">
      <alignment horizontal="left" indent="1"/>
    </xf>
    <xf numFmtId="0" fontId="0" fillId="11" borderId="34" xfId="0" applyFill="1" applyBorder="1" applyAlignment="1">
      <alignment horizontal="center"/>
    </xf>
    <xf numFmtId="0" fontId="0" fillId="0" borderId="34" xfId="0" applyBorder="1" applyAlignment="1">
      <alignment horizontal="center"/>
    </xf>
    <xf numFmtId="0" fontId="35" fillId="8" borderId="34" xfId="0" applyFont="1" applyFill="1" applyBorder="1" applyAlignment="1">
      <alignment horizontal="center"/>
    </xf>
    <xf numFmtId="0" fontId="34" fillId="10" borderId="34" xfId="9" applyFont="1" applyBorder="1" applyAlignment="1">
      <alignment horizontal="center"/>
    </xf>
    <xf numFmtId="0" fontId="36" fillId="7" borderId="35" xfId="0" applyFont="1" applyFill="1" applyBorder="1"/>
    <xf numFmtId="0" fontId="10" fillId="0" borderId="34" xfId="0" applyFont="1" applyBorder="1" applyAlignment="1">
      <alignment horizontal="center"/>
    </xf>
    <xf numFmtId="0" fontId="10" fillId="0" borderId="9" xfId="0" applyFont="1" applyBorder="1" applyAlignment="1">
      <alignment vertical="center"/>
    </xf>
    <xf numFmtId="0" fontId="10" fillId="0" borderId="21" xfId="0" applyFont="1" applyBorder="1" applyAlignment="1">
      <alignment horizontal="left" vertical="center"/>
    </xf>
    <xf numFmtId="0" fontId="0" fillId="12" borderId="21" xfId="0" applyFill="1" applyBorder="1" applyAlignment="1">
      <alignment horizontal="left" vertical="center"/>
    </xf>
    <xf numFmtId="0" fontId="0" fillId="12" borderId="19" xfId="0" applyFill="1" applyBorder="1" applyAlignment="1">
      <alignment horizontal="center" vertical="center"/>
    </xf>
    <xf numFmtId="9" fontId="0" fillId="12" borderId="19" xfId="0" applyNumberFormat="1" applyFill="1" applyBorder="1" applyAlignment="1">
      <alignment horizontal="center" vertical="center"/>
    </xf>
    <xf numFmtId="4" fontId="27" fillId="0" borderId="9" xfId="0" applyNumberFormat="1" applyFont="1" applyBorder="1" applyAlignment="1">
      <alignment horizontal="center" vertical="center"/>
    </xf>
    <xf numFmtId="4" fontId="10" fillId="0" borderId="0" xfId="0" applyNumberFormat="1" applyFont="1" applyAlignment="1">
      <alignment horizontal="center" vertical="center"/>
    </xf>
    <xf numFmtId="0" fontId="23" fillId="0" borderId="0" xfId="0" applyFont="1"/>
    <xf numFmtId="0" fontId="37" fillId="7" borderId="0" xfId="2" applyFont="1" applyFill="1"/>
    <xf numFmtId="0" fontId="10" fillId="0" borderId="0" xfId="0" applyFont="1" applyAlignment="1">
      <alignment horizontal="left"/>
    </xf>
    <xf numFmtId="0" fontId="26" fillId="0" borderId="0" xfId="0" applyFont="1"/>
    <xf numFmtId="0" fontId="37" fillId="0" borderId="0" xfId="2" applyFont="1"/>
    <xf numFmtId="0" fontId="23" fillId="0" borderId="0" xfId="0" applyFont="1" applyAlignment="1">
      <alignment horizontal="center" vertical="center"/>
    </xf>
    <xf numFmtId="0" fontId="0" fillId="0" borderId="0" xfId="0" applyAlignment="1">
      <alignment vertical="center"/>
    </xf>
    <xf numFmtId="4" fontId="0" fillId="0" borderId="0" xfId="0" applyNumberFormat="1"/>
    <xf numFmtId="0" fontId="26" fillId="0" borderId="0" xfId="0" applyFont="1" applyAlignment="1">
      <alignment horizontal="left"/>
    </xf>
    <xf numFmtId="0" fontId="39" fillId="0" borderId="0" xfId="2" applyFont="1"/>
    <xf numFmtId="4" fontId="26" fillId="0" borderId="0" xfId="0" applyNumberFormat="1" applyFont="1"/>
    <xf numFmtId="0" fontId="23" fillId="0" borderId="0" xfId="0" applyFont="1" applyAlignment="1">
      <alignment horizontal="center" vertical="center" wrapText="1"/>
    </xf>
    <xf numFmtId="4" fontId="37" fillId="0" borderId="0" xfId="2" applyNumberFormat="1" applyFont="1"/>
    <xf numFmtId="0" fontId="0" fillId="0" borderId="9" xfId="0" applyBorder="1" applyAlignment="1">
      <alignment horizontal="left"/>
    </xf>
    <xf numFmtId="49" fontId="10" fillId="0" borderId="9" xfId="0" applyNumberFormat="1" applyFont="1" applyBorder="1" applyAlignment="1">
      <alignment horizontal="center"/>
    </xf>
    <xf numFmtId="0" fontId="0" fillId="0" borderId="47" xfId="0" applyBorder="1"/>
    <xf numFmtId="0" fontId="9" fillId="0" borderId="0" xfId="0" applyFont="1" applyAlignment="1">
      <alignment horizontal="center" wrapText="1"/>
    </xf>
    <xf numFmtId="49" fontId="0" fillId="0" borderId="19" xfId="0" applyNumberFormat="1" applyBorder="1" applyAlignment="1">
      <alignment horizontal="center" vertical="center"/>
    </xf>
    <xf numFmtId="49" fontId="10" fillId="0" borderId="50" xfId="0" applyNumberFormat="1" applyFont="1" applyBorder="1" applyAlignment="1">
      <alignment horizontal="center" vertical="center"/>
    </xf>
    <xf numFmtId="0" fontId="10" fillId="0" borderId="9" xfId="0" applyFont="1" applyBorder="1" applyAlignment="1">
      <alignment horizontal="center" vertical="center"/>
    </xf>
    <xf numFmtId="0" fontId="0" fillId="16" borderId="0" xfId="0" applyFill="1" applyAlignment="1">
      <alignment horizontal="center"/>
    </xf>
    <xf numFmtId="0" fontId="40" fillId="0" borderId="0" xfId="0" applyFont="1" applyAlignment="1">
      <alignment horizontal="center" vertical="center"/>
    </xf>
    <xf numFmtId="4" fontId="0" fillId="0" borderId="51" xfId="0" applyNumberFormat="1" applyBorder="1"/>
    <xf numFmtId="10" fontId="0" fillId="0" borderId="0" xfId="0" applyNumberFormat="1"/>
    <xf numFmtId="0" fontId="0" fillId="6" borderId="0" xfId="0" applyFill="1"/>
    <xf numFmtId="4" fontId="0" fillId="6" borderId="0" xfId="0" applyNumberFormat="1" applyFill="1"/>
    <xf numFmtId="10" fontId="0" fillId="6" borderId="0" xfId="0" applyNumberFormat="1" applyFill="1"/>
    <xf numFmtId="0" fontId="42" fillId="6" borderId="0" xfId="0" quotePrefix="1" applyFont="1" applyFill="1"/>
    <xf numFmtId="2" fontId="0" fillId="6" borderId="0" xfId="0" applyNumberFormat="1" applyFill="1"/>
    <xf numFmtId="167" fontId="0" fillId="6" borderId="0" xfId="0" applyNumberFormat="1" applyFill="1"/>
    <xf numFmtId="1" fontId="0" fillId="6" borderId="0" xfId="0" applyNumberFormat="1" applyFill="1"/>
    <xf numFmtId="0" fontId="0" fillId="6" borderId="0" xfId="0" applyFill="1" applyAlignment="1">
      <alignment horizontal="center"/>
    </xf>
    <xf numFmtId="10" fontId="0" fillId="6" borderId="0" xfId="0" applyNumberFormat="1" applyFill="1" applyAlignment="1">
      <alignment horizontal="center"/>
    </xf>
    <xf numFmtId="4" fontId="0" fillId="16" borderId="0" xfId="0" applyNumberFormat="1" applyFill="1"/>
    <xf numFmtId="0" fontId="43" fillId="11" borderId="34" xfId="0" applyFont="1" applyFill="1" applyBorder="1" applyAlignment="1">
      <alignment horizontal="left" indent="1"/>
    </xf>
    <xf numFmtId="0" fontId="43" fillId="11" borderId="34" xfId="0" applyFont="1" applyFill="1" applyBorder="1" applyAlignment="1">
      <alignment horizontal="center"/>
    </xf>
    <xf numFmtId="0" fontId="0" fillId="16" borderId="0" xfId="0" applyFill="1"/>
    <xf numFmtId="14" fontId="0" fillId="16" borderId="0" xfId="0" applyNumberFormat="1" applyFill="1" applyAlignment="1">
      <alignment horizontal="center"/>
    </xf>
    <xf numFmtId="0" fontId="10" fillId="16" borderId="0" xfId="0" applyFont="1" applyFill="1"/>
    <xf numFmtId="14" fontId="0" fillId="16" borderId="0" xfId="0" applyNumberFormat="1" applyFill="1"/>
    <xf numFmtId="0" fontId="46" fillId="16" borderId="9" xfId="0" applyFont="1" applyFill="1" applyBorder="1" applyAlignment="1">
      <alignment horizontal="center"/>
    </xf>
    <xf numFmtId="0" fontId="47" fillId="16" borderId="9" xfId="0" applyFont="1" applyFill="1" applyBorder="1" applyAlignment="1">
      <alignment horizontal="center"/>
    </xf>
    <xf numFmtId="49" fontId="0" fillId="0" borderId="0" xfId="0" applyNumberFormat="1" applyAlignment="1">
      <alignment horizontal="center" vertical="center"/>
    </xf>
    <xf numFmtId="0" fontId="0" fillId="0" borderId="11" xfId="0" applyBorder="1" applyAlignment="1">
      <alignment horizontal="center" vertical="center"/>
    </xf>
    <xf numFmtId="0" fontId="44" fillId="0" borderId="9" xfId="17" applyBorder="1" applyAlignment="1" applyProtection="1"/>
    <xf numFmtId="0" fontId="10" fillId="0" borderId="9" xfId="17" applyFont="1" applyBorder="1" applyAlignment="1" applyProtection="1"/>
    <xf numFmtId="0" fontId="0" fillId="0" borderId="9" xfId="0" applyBorder="1" applyAlignment="1">
      <alignment horizontal="right"/>
    </xf>
    <xf numFmtId="0" fontId="41" fillId="0" borderId="9" xfId="14" applyBorder="1"/>
    <xf numFmtId="0" fontId="10" fillId="0" borderId="0" xfId="0" applyFont="1" applyAlignment="1">
      <alignment wrapText="1"/>
    </xf>
    <xf numFmtId="4" fontId="0" fillId="0" borderId="9" xfId="0" applyNumberFormat="1" applyBorder="1" applyAlignment="1">
      <alignment horizontal="center" vertical="center"/>
    </xf>
    <xf numFmtId="169" fontId="0" fillId="16" borderId="0" xfId="0" applyNumberFormat="1" applyFill="1"/>
    <xf numFmtId="0" fontId="43" fillId="18" borderId="34" xfId="0" applyFont="1" applyFill="1" applyBorder="1" applyAlignment="1">
      <alignment horizontal="center"/>
    </xf>
    <xf numFmtId="0" fontId="9" fillId="6" borderId="0" xfId="0" applyFont="1" applyFill="1"/>
    <xf numFmtId="0" fontId="9" fillId="6" borderId="0" xfId="0" applyFont="1" applyFill="1" applyAlignment="1">
      <alignment horizontal="center"/>
    </xf>
    <xf numFmtId="4" fontId="9" fillId="6" borderId="0" xfId="0" applyNumberFormat="1" applyFont="1" applyFill="1"/>
    <xf numFmtId="0" fontId="41" fillId="0" borderId="9" xfId="14" applyBorder="1" applyAlignment="1" applyProtection="1"/>
    <xf numFmtId="0" fontId="50" fillId="0" borderId="0" xfId="0" applyFont="1"/>
    <xf numFmtId="0" fontId="50" fillId="0" borderId="0" xfId="1" applyFont="1"/>
    <xf numFmtId="0" fontId="53" fillId="0" borderId="0" xfId="0" applyFont="1" applyAlignment="1">
      <alignment horizontal="center" vertical="center" wrapText="1"/>
    </xf>
    <xf numFmtId="0" fontId="53" fillId="0" borderId="1" xfId="0" applyFont="1" applyBorder="1" applyAlignment="1">
      <alignment vertical="center"/>
    </xf>
    <xf numFmtId="0" fontId="53" fillId="0" borderId="2" xfId="0" applyFont="1" applyBorder="1" applyAlignment="1">
      <alignment vertical="center"/>
    </xf>
    <xf numFmtId="0" fontId="50" fillId="0" borderId="2" xfId="0" applyFont="1" applyBorder="1" applyAlignment="1">
      <alignment horizontal="left" vertical="center" indent="1"/>
    </xf>
    <xf numFmtId="0" fontId="50" fillId="0" borderId="48" xfId="0" applyFont="1" applyBorder="1" applyAlignment="1">
      <alignment horizontal="left" vertical="center" indent="1"/>
    </xf>
    <xf numFmtId="0" fontId="53" fillId="0" borderId="3" xfId="0" applyFont="1" applyBorder="1" applyAlignment="1">
      <alignment horizontal="left" vertical="center"/>
    </xf>
    <xf numFmtId="0" fontId="53" fillId="0" borderId="0" xfId="0" applyFont="1" applyAlignment="1">
      <alignment horizontal="left" vertical="center"/>
    </xf>
    <xf numFmtId="0" fontId="50" fillId="0" borderId="0" xfId="0" applyFont="1" applyAlignment="1">
      <alignment horizontal="left" vertical="center" indent="1"/>
    </xf>
    <xf numFmtId="0" fontId="50" fillId="0" borderId="0" xfId="0" applyFont="1" applyAlignment="1">
      <alignment horizontal="center" vertical="center"/>
    </xf>
    <xf numFmtId="0" fontId="50" fillId="0" borderId="49" xfId="0" applyFont="1" applyBorder="1" applyAlignment="1">
      <alignment horizontal="left" vertical="center" indent="1"/>
    </xf>
    <xf numFmtId="0" fontId="53" fillId="0" borderId="0" xfId="0" applyFont="1" applyAlignment="1">
      <alignment horizontal="center" vertical="center"/>
    </xf>
    <xf numFmtId="0" fontId="50" fillId="0" borderId="46" xfId="0" applyFont="1" applyBorder="1" applyAlignment="1">
      <alignment horizontal="left" vertical="center" indent="1"/>
    </xf>
    <xf numFmtId="0" fontId="53" fillId="0" borderId="1" xfId="0" applyFont="1" applyBorder="1" applyAlignment="1">
      <alignment horizontal="left" vertical="center"/>
    </xf>
    <xf numFmtId="0" fontId="50" fillId="0" borderId="2" xfId="0" applyFont="1" applyBorder="1"/>
    <xf numFmtId="0" fontId="50" fillId="0" borderId="14" xfId="0" applyFont="1" applyBorder="1"/>
    <xf numFmtId="0" fontId="56" fillId="0" borderId="3" xfId="0" applyFont="1" applyBorder="1" applyAlignment="1">
      <alignment vertical="center"/>
    </xf>
    <xf numFmtId="0" fontId="57" fillId="0" borderId="4" xfId="0" applyFont="1" applyBorder="1" applyAlignment="1">
      <alignment horizontal="left" vertical="center"/>
    </xf>
    <xf numFmtId="0" fontId="57" fillId="0" borderId="5" xfId="0" applyFont="1" applyBorder="1" applyAlignment="1">
      <alignment horizontal="left" vertical="center"/>
    </xf>
    <xf numFmtId="0" fontId="50" fillId="0" borderId="0" xfId="1" applyFont="1" applyAlignment="1">
      <alignment horizontal="left"/>
    </xf>
    <xf numFmtId="0" fontId="50" fillId="0" borderId="0" xfId="1" applyFont="1" applyAlignment="1">
      <alignment horizontal="center"/>
    </xf>
    <xf numFmtId="0" fontId="53" fillId="0" borderId="0" xfId="1" applyFont="1" applyAlignment="1">
      <alignment horizontal="center"/>
    </xf>
    <xf numFmtId="0" fontId="60" fillId="0" borderId="0" xfId="1" applyFont="1" applyAlignment="1">
      <alignment horizontal="left" vertical="center"/>
    </xf>
    <xf numFmtId="49" fontId="52" fillId="0" borderId="0" xfId="1" applyNumberFormat="1" applyFont="1" applyAlignment="1">
      <alignment horizontal="center"/>
    </xf>
    <xf numFmtId="0" fontId="50" fillId="0" borderId="39" xfId="1" applyFont="1" applyBorder="1" applyAlignment="1">
      <alignment horizontal="left"/>
    </xf>
    <xf numFmtId="0" fontId="61" fillId="0" borderId="0" xfId="1" applyFont="1" applyAlignment="1">
      <alignment horizontal="left" vertical="center"/>
    </xf>
    <xf numFmtId="0" fontId="57" fillId="0" borderId="1" xfId="1" applyFont="1" applyBorder="1" applyAlignment="1">
      <alignment horizontal="left"/>
    </xf>
    <xf numFmtId="49" fontId="52" fillId="7" borderId="2" xfId="0" applyNumberFormat="1" applyFont="1" applyFill="1" applyBorder="1" applyAlignment="1">
      <alignment horizontal="center"/>
    </xf>
    <xf numFmtId="4" fontId="50" fillId="7" borderId="2" xfId="0" applyNumberFormat="1" applyFont="1" applyFill="1" applyBorder="1" applyAlignment="1">
      <alignment horizontal="right"/>
    </xf>
    <xf numFmtId="0" fontId="57" fillId="7" borderId="2" xfId="0" applyFont="1" applyFill="1" applyBorder="1"/>
    <xf numFmtId="0" fontId="50" fillId="7" borderId="2" xfId="0" applyFont="1" applyFill="1" applyBorder="1" applyAlignment="1">
      <alignment horizontal="left"/>
    </xf>
    <xf numFmtId="4" fontId="50" fillId="7" borderId="14" xfId="0" applyNumberFormat="1" applyFont="1" applyFill="1" applyBorder="1" applyAlignment="1">
      <alignment horizontal="right"/>
    </xf>
    <xf numFmtId="0" fontId="57" fillId="0" borderId="3" xfId="1" applyFont="1" applyBorder="1" applyAlignment="1">
      <alignment horizontal="left"/>
    </xf>
    <xf numFmtId="49" fontId="52" fillId="7" borderId="0" xfId="0" applyNumberFormat="1" applyFont="1" applyFill="1" applyAlignment="1">
      <alignment horizontal="center"/>
    </xf>
    <xf numFmtId="4" fontId="50" fillId="7" borderId="0" xfId="0" applyNumberFormat="1" applyFont="1" applyFill="1" applyAlignment="1">
      <alignment horizontal="right"/>
    </xf>
    <xf numFmtId="0" fontId="57" fillId="7" borderId="0" xfId="0" applyFont="1" applyFill="1"/>
    <xf numFmtId="0" fontId="50" fillId="7" borderId="0" xfId="0" applyFont="1" applyFill="1" applyAlignment="1">
      <alignment horizontal="left"/>
    </xf>
    <xf numFmtId="4" fontId="50" fillId="7" borderId="15" xfId="0" applyNumberFormat="1" applyFont="1" applyFill="1" applyBorder="1" applyAlignment="1">
      <alignment horizontal="right"/>
    </xf>
    <xf numFmtId="0" fontId="57" fillId="0" borderId="4" xfId="1" applyFont="1" applyBorder="1" applyAlignment="1">
      <alignment horizontal="left"/>
    </xf>
    <xf numFmtId="49" fontId="52" fillId="7" borderId="5" xfId="0" applyNumberFormat="1" applyFont="1" applyFill="1" applyBorder="1" applyAlignment="1">
      <alignment horizontal="center"/>
    </xf>
    <xf numFmtId="4" fontId="50" fillId="7" borderId="5" xfId="0" applyNumberFormat="1" applyFont="1" applyFill="1" applyBorder="1" applyAlignment="1">
      <alignment horizontal="right"/>
    </xf>
    <xf numFmtId="0" fontId="57" fillId="7" borderId="5" xfId="0" applyFont="1" applyFill="1" applyBorder="1"/>
    <xf numFmtId="0" fontId="50" fillId="7" borderId="5" xfId="0" applyFont="1" applyFill="1" applyBorder="1" applyAlignment="1">
      <alignment horizontal="left"/>
    </xf>
    <xf numFmtId="4" fontId="50" fillId="7" borderId="13" xfId="0" applyNumberFormat="1" applyFont="1" applyFill="1" applyBorder="1" applyAlignment="1">
      <alignment horizontal="right"/>
    </xf>
    <xf numFmtId="0" fontId="62" fillId="0" borderId="4" xfId="1" applyFont="1" applyBorder="1" applyAlignment="1">
      <alignment horizontal="left"/>
    </xf>
    <xf numFmtId="49" fontId="52" fillId="7" borderId="4" xfId="0" applyNumberFormat="1" applyFont="1" applyFill="1" applyBorder="1" applyAlignment="1">
      <alignment horizontal="center"/>
    </xf>
    <xf numFmtId="0" fontId="50" fillId="7" borderId="4" xfId="0" applyFont="1" applyFill="1" applyBorder="1" applyAlignment="1">
      <alignment horizontal="left"/>
    </xf>
    <xf numFmtId="0" fontId="64" fillId="0" borderId="0" xfId="1" applyFont="1" applyAlignment="1">
      <alignment vertical="center"/>
    </xf>
    <xf numFmtId="9" fontId="66" fillId="0" borderId="0" xfId="1" applyNumberFormat="1" applyFont="1" applyAlignment="1">
      <alignment horizontal="left"/>
    </xf>
    <xf numFmtId="4" fontId="65" fillId="0" borderId="0" xfId="1" applyNumberFormat="1" applyFont="1" applyAlignment="1">
      <alignment horizontal="right" vertical="center"/>
    </xf>
    <xf numFmtId="0" fontId="65" fillId="0" borderId="0" xfId="1" applyFont="1" applyAlignment="1">
      <alignment horizontal="right" vertical="center"/>
    </xf>
    <xf numFmtId="0" fontId="62" fillId="0" borderId="0" xfId="1" applyFont="1" applyAlignment="1">
      <alignment horizontal="left"/>
    </xf>
    <xf numFmtId="0" fontId="62" fillId="0" borderId="0" xfId="1" applyFont="1" applyAlignment="1">
      <alignment horizontal="center"/>
    </xf>
    <xf numFmtId="0" fontId="62" fillId="0" borderId="0" xfId="1" applyFont="1"/>
    <xf numFmtId="2" fontId="62" fillId="0" borderId="0" xfId="1" applyNumberFormat="1" applyFont="1"/>
    <xf numFmtId="1" fontId="62" fillId="0" borderId="0" xfId="1" applyNumberFormat="1" applyFont="1"/>
    <xf numFmtId="0" fontId="67" fillId="0" borderId="0" xfId="1" applyFont="1"/>
    <xf numFmtId="4" fontId="65" fillId="0" borderId="0" xfId="1" applyNumberFormat="1" applyFont="1" applyAlignment="1">
      <alignment horizontal="center"/>
    </xf>
    <xf numFmtId="4" fontId="66" fillId="0" borderId="0" xfId="1" applyNumberFormat="1" applyFont="1"/>
    <xf numFmtId="9" fontId="68" fillId="0" borderId="0" xfId="1" applyNumberFormat="1" applyFont="1"/>
    <xf numFmtId="0" fontId="69" fillId="0" borderId="0" xfId="1" applyFont="1"/>
    <xf numFmtId="4" fontId="69" fillId="0" borderId="0" xfId="1" applyNumberFormat="1" applyFont="1"/>
    <xf numFmtId="4" fontId="70" fillId="0" borderId="0" xfId="1" applyNumberFormat="1" applyFont="1"/>
    <xf numFmtId="9" fontId="71" fillId="0" borderId="0" xfId="1" applyNumberFormat="1" applyFont="1"/>
    <xf numFmtId="0" fontId="72" fillId="0" borderId="0" xfId="1" applyFont="1"/>
    <xf numFmtId="4" fontId="50" fillId="0" borderId="0" xfId="1" applyNumberFormat="1" applyFont="1"/>
    <xf numFmtId="0" fontId="69" fillId="0" borderId="0" xfId="1" applyFont="1" applyAlignment="1">
      <alignment horizontal="center"/>
    </xf>
    <xf numFmtId="4" fontId="65" fillId="7" borderId="0" xfId="1" applyNumberFormat="1" applyFont="1" applyFill="1" applyAlignment="1">
      <alignment horizontal="center"/>
    </xf>
    <xf numFmtId="1" fontId="60" fillId="0" borderId="0" xfId="1" applyNumberFormat="1" applyFont="1" applyAlignment="1">
      <alignment horizontal="center"/>
    </xf>
    <xf numFmtId="10" fontId="65" fillId="0" borderId="0" xfId="8" applyNumberFormat="1" applyFont="1" applyFill="1" applyBorder="1" applyAlignment="1">
      <alignment horizontal="center"/>
    </xf>
    <xf numFmtId="1" fontId="57" fillId="0" borderId="0" xfId="8" applyNumberFormat="1" applyFont="1" applyFill="1" applyBorder="1" applyAlignment="1">
      <alignment horizontal="center"/>
    </xf>
    <xf numFmtId="10" fontId="57" fillId="0" borderId="0" xfId="8" applyNumberFormat="1" applyFont="1" applyFill="1" applyBorder="1" applyAlignment="1">
      <alignment horizontal="center"/>
    </xf>
    <xf numFmtId="0" fontId="57" fillId="0" borderId="0" xfId="1" applyFont="1"/>
    <xf numFmtId="0" fontId="74" fillId="0" borderId="0" xfId="1" applyFont="1" applyAlignment="1">
      <alignment horizontal="center" vertical="center"/>
    </xf>
    <xf numFmtId="4" fontId="57" fillId="0" borderId="0" xfId="1" applyNumberFormat="1" applyFont="1"/>
    <xf numFmtId="0" fontId="62" fillId="0" borderId="7" xfId="1" applyFont="1" applyBorder="1" applyAlignment="1">
      <alignment horizontal="left"/>
    </xf>
    <xf numFmtId="49" fontId="52" fillId="7" borderId="7" xfId="0" applyNumberFormat="1" applyFont="1" applyFill="1" applyBorder="1" applyAlignment="1">
      <alignment horizontal="center"/>
    </xf>
    <xf numFmtId="49" fontId="52" fillId="7" borderId="31" xfId="0" applyNumberFormat="1" applyFont="1" applyFill="1" applyBorder="1" applyAlignment="1">
      <alignment horizontal="center"/>
    </xf>
    <xf numFmtId="0" fontId="69" fillId="7" borderId="32" xfId="0" applyFont="1" applyFill="1" applyBorder="1" applyAlignment="1">
      <alignment horizontal="left"/>
    </xf>
    <xf numFmtId="0" fontId="50" fillId="7" borderId="7" xfId="0" applyFont="1" applyFill="1" applyBorder="1" applyAlignment="1">
      <alignment horizontal="left"/>
    </xf>
    <xf numFmtId="0" fontId="50" fillId="7" borderId="31" xfId="0" applyFont="1" applyFill="1" applyBorder="1" applyAlignment="1">
      <alignment horizontal="left"/>
    </xf>
    <xf numFmtId="0" fontId="50" fillId="0" borderId="1" xfId="1" applyFont="1" applyBorder="1" applyAlignment="1">
      <alignment horizontal="left"/>
    </xf>
    <xf numFmtId="0" fontId="50" fillId="0" borderId="2" xfId="1" applyFont="1" applyBorder="1" applyAlignment="1">
      <alignment horizontal="left"/>
    </xf>
    <xf numFmtId="49" fontId="52" fillId="0" borderId="2" xfId="1" applyNumberFormat="1" applyFont="1" applyBorder="1" applyAlignment="1">
      <alignment horizontal="center"/>
    </xf>
    <xf numFmtId="0" fontId="53" fillId="0" borderId="2" xfId="1" applyFont="1" applyBorder="1" applyAlignment="1">
      <alignment horizontal="center"/>
    </xf>
    <xf numFmtId="0" fontId="50" fillId="0" borderId="14" xfId="1" applyFont="1" applyBorder="1" applyAlignment="1">
      <alignment horizontal="left"/>
    </xf>
    <xf numFmtId="0" fontId="50" fillId="0" borderId="3" xfId="1" applyFont="1" applyBorder="1" applyAlignment="1">
      <alignment horizontal="left"/>
    </xf>
    <xf numFmtId="0" fontId="50" fillId="0" borderId="15" xfId="1" applyFont="1" applyBorder="1" applyAlignment="1">
      <alignment horizontal="left"/>
    </xf>
    <xf numFmtId="0" fontId="50" fillId="0" borderId="4" xfId="1" applyFont="1" applyBorder="1" applyAlignment="1">
      <alignment horizontal="left"/>
    </xf>
    <xf numFmtId="0" fontId="50" fillId="0" borderId="5" xfId="1" applyFont="1" applyBorder="1" applyAlignment="1">
      <alignment horizontal="left"/>
    </xf>
    <xf numFmtId="49" fontId="52" fillId="0" borderId="5" xfId="1" applyNumberFormat="1" applyFont="1" applyBorder="1" applyAlignment="1">
      <alignment horizontal="center"/>
    </xf>
    <xf numFmtId="0" fontId="53" fillId="0" borderId="5" xfId="1" applyFont="1" applyBorder="1" applyAlignment="1">
      <alignment horizontal="center"/>
    </xf>
    <xf numFmtId="0" fontId="50" fillId="0" borderId="13" xfId="1" applyFont="1" applyBorder="1" applyAlignment="1">
      <alignment horizontal="left"/>
    </xf>
    <xf numFmtId="0" fontId="53" fillId="0" borderId="0" xfId="0" applyFont="1" applyAlignment="1">
      <alignment horizontal="center"/>
    </xf>
    <xf numFmtId="0" fontId="53" fillId="0" borderId="44" xfId="0" applyFont="1" applyBorder="1" applyAlignment="1">
      <alignment horizontal="left"/>
    </xf>
    <xf numFmtId="0" fontId="53" fillId="0" borderId="6" xfId="0" applyFont="1" applyBorder="1" applyAlignment="1">
      <alignment horizontal="left"/>
    </xf>
    <xf numFmtId="0" fontId="59" fillId="0" borderId="6" xfId="0" applyFont="1" applyBorder="1" applyAlignment="1">
      <alignment horizontal="left"/>
    </xf>
    <xf numFmtId="0" fontId="53" fillId="0" borderId="17" xfId="0" applyFont="1" applyBorder="1" applyAlignment="1">
      <alignment horizontal="left"/>
    </xf>
    <xf numFmtId="0" fontId="72" fillId="0" borderId="0" xfId="0" applyFont="1"/>
    <xf numFmtId="0" fontId="53" fillId="0" borderId="22" xfId="0" applyFont="1" applyBorder="1" applyAlignment="1">
      <alignment horizontal="left"/>
    </xf>
    <xf numFmtId="0" fontId="50" fillId="0" borderId="11" xfId="0" applyFont="1" applyBorder="1"/>
    <xf numFmtId="0" fontId="72" fillId="0" borderId="11" xfId="0" applyFont="1" applyBorder="1"/>
    <xf numFmtId="0" fontId="53" fillId="0" borderId="0" xfId="0" applyFont="1" applyAlignment="1">
      <alignment horizontal="left"/>
    </xf>
    <xf numFmtId="0" fontId="53" fillId="0" borderId="1" xfId="0" applyFont="1" applyBorder="1" applyAlignment="1">
      <alignment horizontal="left"/>
    </xf>
    <xf numFmtId="0" fontId="53" fillId="0" borderId="2" xfId="0" applyFont="1" applyBorder="1"/>
    <xf numFmtId="0" fontId="59" fillId="0" borderId="2" xfId="0" applyFont="1" applyBorder="1"/>
    <xf numFmtId="0" fontId="53" fillId="0" borderId="3" xfId="0" applyFont="1" applyBorder="1" applyAlignment="1">
      <alignment horizontal="left"/>
    </xf>
    <xf numFmtId="0" fontId="53" fillId="0" borderId="0" xfId="0" applyFont="1"/>
    <xf numFmtId="0" fontId="59" fillId="0" borderId="0" xfId="0" applyFont="1"/>
    <xf numFmtId="4" fontId="75" fillId="0" borderId="3" xfId="0" applyNumberFormat="1" applyFont="1" applyBorder="1" applyAlignment="1">
      <alignment horizontal="right"/>
    </xf>
    <xf numFmtId="4" fontId="75" fillId="0" borderId="0" xfId="0" applyNumberFormat="1" applyFont="1" applyAlignment="1">
      <alignment horizontal="right"/>
    </xf>
    <xf numFmtId="0" fontId="59" fillId="0" borderId="3" xfId="0" applyFont="1" applyBorder="1" applyAlignment="1">
      <alignment horizontal="left"/>
    </xf>
    <xf numFmtId="0" fontId="59" fillId="0" borderId="4" xfId="0" applyFont="1" applyBorder="1" applyAlignment="1">
      <alignment vertical="center"/>
    </xf>
    <xf numFmtId="0" fontId="53" fillId="0" borderId="5" xfId="0" applyFont="1" applyBorder="1" applyAlignment="1">
      <alignment vertical="center"/>
    </xf>
    <xf numFmtId="0" fontId="59" fillId="0" borderId="5" xfId="0" applyFont="1" applyBorder="1" applyAlignment="1">
      <alignment vertical="center"/>
    </xf>
    <xf numFmtId="0" fontId="50" fillId="0" borderId="0" xfId="1" applyFont="1" applyAlignment="1">
      <alignment vertical="center"/>
    </xf>
    <xf numFmtId="49" fontId="52" fillId="7" borderId="0" xfId="1" applyNumberFormat="1" applyFont="1" applyFill="1" applyAlignment="1">
      <alignment horizontal="center"/>
    </xf>
    <xf numFmtId="0" fontId="63" fillId="0" borderId="0" xfId="1" applyFont="1" applyAlignment="1">
      <alignment horizontal="center"/>
    </xf>
    <xf numFmtId="0" fontId="65" fillId="0" borderId="0" xfId="1" applyFont="1" applyAlignment="1">
      <alignment horizontal="left"/>
    </xf>
    <xf numFmtId="0" fontId="77" fillId="0" borderId="0" xfId="0" applyFont="1" applyAlignment="1">
      <alignment horizontal="center" vertical="center"/>
    </xf>
    <xf numFmtId="9" fontId="50" fillId="0" borderId="0" xfId="1" applyNumberFormat="1" applyFont="1"/>
    <xf numFmtId="0" fontId="74" fillId="0" borderId="0" xfId="1" applyFont="1"/>
    <xf numFmtId="0" fontId="53" fillId="0" borderId="0" xfId="1" applyFont="1" applyAlignment="1">
      <alignment vertical="center"/>
    </xf>
    <xf numFmtId="0" fontId="48" fillId="0" borderId="0" xfId="19"/>
    <xf numFmtId="0" fontId="78" fillId="16" borderId="0" xfId="19" applyFont="1" applyFill="1" applyAlignment="1">
      <alignment horizontal="center"/>
    </xf>
    <xf numFmtId="168" fontId="48" fillId="0" borderId="0" xfId="19" applyNumberFormat="1"/>
    <xf numFmtId="0" fontId="1" fillId="0" borderId="0" xfId="19" applyFont="1" applyAlignment="1">
      <alignment horizontal="center"/>
    </xf>
    <xf numFmtId="0" fontId="49" fillId="0" borderId="9" xfId="20" applyBorder="1" applyAlignment="1" applyProtection="1"/>
    <xf numFmtId="0" fontId="53" fillId="7" borderId="0" xfId="0" applyFont="1" applyFill="1" applyAlignment="1">
      <alignment horizontal="left" vertical="center"/>
    </xf>
    <xf numFmtId="0" fontId="50" fillId="7" borderId="0" xfId="0" applyFont="1" applyFill="1"/>
    <xf numFmtId="0" fontId="50" fillId="7" borderId="0" xfId="0" applyFont="1" applyFill="1" applyAlignment="1">
      <alignment horizontal="center"/>
    </xf>
    <xf numFmtId="0" fontId="50" fillId="7" borderId="0" xfId="0" applyFont="1" applyFill="1" applyAlignment="1">
      <alignment horizontal="justify" vertical="center"/>
    </xf>
    <xf numFmtId="0" fontId="75" fillId="7" borderId="0" xfId="0" applyFont="1" applyFill="1" applyAlignment="1">
      <alignment horizontal="left" vertical="center"/>
    </xf>
    <xf numFmtId="0" fontId="79" fillId="7" borderId="0" xfId="0" applyFont="1" applyFill="1" applyAlignment="1">
      <alignment horizontal="left" vertical="center"/>
    </xf>
    <xf numFmtId="0" fontId="79" fillId="7" borderId="0" xfId="0" applyFont="1" applyFill="1"/>
    <xf numFmtId="0" fontId="79" fillId="7" borderId="0" xfId="0" applyFont="1" applyFill="1" applyAlignment="1">
      <alignment horizontal="center" vertical="center"/>
    </xf>
    <xf numFmtId="0" fontId="79" fillId="7" borderId="0" xfId="0" applyFont="1" applyFill="1" applyAlignment="1">
      <alignment horizontal="left"/>
    </xf>
    <xf numFmtId="0" fontId="79" fillId="7" borderId="0" xfId="0" applyFont="1" applyFill="1" applyAlignment="1">
      <alignment horizontal="center"/>
    </xf>
    <xf numFmtId="49" fontId="79" fillId="7" borderId="0" xfId="0" applyNumberFormat="1" applyFont="1" applyFill="1" applyAlignment="1">
      <alignment horizontal="left" vertical="center"/>
    </xf>
    <xf numFmtId="0" fontId="79" fillId="7" borderId="0" xfId="0" applyFont="1" applyFill="1" applyAlignment="1">
      <alignment horizontal="center" vertical="center" wrapText="1"/>
    </xf>
    <xf numFmtId="0" fontId="80" fillId="7" borderId="0" xfId="0" applyFont="1" applyFill="1" applyAlignment="1">
      <alignment vertical="center"/>
    </xf>
    <xf numFmtId="0" fontId="52" fillId="7" borderId="0" xfId="0" applyFont="1" applyFill="1" applyAlignment="1">
      <alignment horizontal="center" vertical="center"/>
    </xf>
    <xf numFmtId="0" fontId="75" fillId="7" borderId="0" xfId="0" applyFont="1" applyFill="1" applyAlignment="1">
      <alignment horizontal="center"/>
    </xf>
    <xf numFmtId="0" fontId="53" fillId="7" borderId="0" xfId="0" applyFont="1" applyFill="1" applyAlignment="1">
      <alignment horizontal="center"/>
    </xf>
    <xf numFmtId="0" fontId="62" fillId="7" borderId="0" xfId="0" applyFont="1" applyFill="1" applyAlignment="1">
      <alignment horizontal="center"/>
    </xf>
    <xf numFmtId="0" fontId="52" fillId="7" borderId="0" xfId="0" applyFont="1" applyFill="1" applyAlignment="1">
      <alignment horizontal="left" vertical="center"/>
    </xf>
    <xf numFmtId="0" fontId="50" fillId="7" borderId="0" xfId="0" applyFont="1" applyFill="1" applyAlignment="1">
      <alignment vertical="center"/>
    </xf>
    <xf numFmtId="0" fontId="52" fillId="7" borderId="0" xfId="0" applyFont="1" applyFill="1" applyAlignment="1" applyProtection="1">
      <alignment vertical="center"/>
      <protection locked="0"/>
    </xf>
    <xf numFmtId="0" fontId="52" fillId="7" borderId="11" xfId="0" applyFont="1" applyFill="1" applyBorder="1" applyAlignment="1" applyProtection="1">
      <alignment horizontal="center" vertical="center"/>
      <protection locked="0"/>
    </xf>
    <xf numFmtId="0" fontId="52" fillId="7" borderId="0" xfId="0" applyFont="1" applyFill="1" applyAlignment="1">
      <alignment horizontal="center"/>
    </xf>
    <xf numFmtId="18" fontId="50" fillId="7" borderId="6" xfId="0" applyNumberFormat="1" applyFont="1" applyFill="1" applyBorder="1" applyAlignment="1">
      <alignment horizontal="center"/>
    </xf>
    <xf numFmtId="0" fontId="53" fillId="7" borderId="0" xfId="0" applyFont="1" applyFill="1" applyAlignment="1">
      <alignment horizontal="center" vertical="center"/>
    </xf>
    <xf numFmtId="0" fontId="83" fillId="7" borderId="0" xfId="0" applyFont="1" applyFill="1" applyAlignment="1">
      <alignment horizontal="center" vertical="center"/>
    </xf>
    <xf numFmtId="0" fontId="65" fillId="7" borderId="0" xfId="0" applyFont="1" applyFill="1"/>
    <xf numFmtId="0" fontId="50" fillId="7" borderId="11" xfId="0" applyFont="1" applyFill="1" applyBorder="1"/>
    <xf numFmtId="0" fontId="62" fillId="7" borderId="0" xfId="0" applyFont="1" applyFill="1"/>
    <xf numFmtId="0" fontId="62" fillId="7" borderId="0" xfId="0" applyFont="1" applyFill="1" applyAlignment="1">
      <alignment horizontal="left" vertical="center"/>
    </xf>
    <xf numFmtId="0" fontId="57" fillId="7" borderId="0" xfId="0" applyFont="1" applyFill="1" applyAlignment="1">
      <alignment horizontal="left" vertical="center"/>
    </xf>
    <xf numFmtId="0" fontId="84" fillId="7" borderId="0" xfId="0" applyFont="1" applyFill="1" applyAlignment="1">
      <alignment horizontal="center" vertical="center"/>
    </xf>
    <xf numFmtId="0" fontId="74" fillId="7" borderId="0" xfId="0" applyFont="1" applyFill="1" applyAlignment="1">
      <alignment vertical="center"/>
    </xf>
    <xf numFmtId="0" fontId="84" fillId="7" borderId="9" xfId="0" applyFont="1" applyFill="1" applyBorder="1" applyAlignment="1" applyProtection="1">
      <alignment horizontal="center" vertical="center"/>
      <protection locked="0"/>
    </xf>
    <xf numFmtId="0" fontId="85" fillId="7" borderId="0" xfId="0" applyFont="1" applyFill="1" applyAlignment="1">
      <alignment horizontal="center"/>
    </xf>
    <xf numFmtId="0" fontId="84" fillId="7" borderId="12" xfId="0" applyFont="1" applyFill="1" applyBorder="1" applyAlignment="1">
      <alignment horizontal="center" vertical="center"/>
    </xf>
    <xf numFmtId="14" fontId="50" fillId="7" borderId="0" xfId="0" applyNumberFormat="1" applyFont="1" applyFill="1" applyAlignment="1">
      <alignment vertical="center"/>
    </xf>
    <xf numFmtId="1" fontId="48" fillId="0" borderId="0" xfId="19" applyNumberFormat="1"/>
    <xf numFmtId="0" fontId="50" fillId="0" borderId="0" xfId="1" applyFont="1" applyAlignment="1">
      <alignment horizontal="center"/>
    </xf>
    <xf numFmtId="0" fontId="77" fillId="0" borderId="0" xfId="0" applyFont="1" applyAlignment="1">
      <alignment horizontal="center" vertical="center"/>
    </xf>
    <xf numFmtId="4" fontId="76" fillId="0" borderId="4" xfId="0" applyNumberFormat="1" applyFont="1" applyBorder="1" applyAlignment="1">
      <alignment vertical="center"/>
    </xf>
    <xf numFmtId="4" fontId="76" fillId="0" borderId="5" xfId="0" applyNumberFormat="1" applyFont="1" applyBorder="1" applyAlignment="1">
      <alignment vertical="center"/>
    </xf>
    <xf numFmtId="4" fontId="76" fillId="0" borderId="13" xfId="0" applyNumberFormat="1" applyFont="1" applyBorder="1" applyAlignment="1">
      <alignment vertical="center"/>
    </xf>
    <xf numFmtId="0" fontId="50" fillId="0" borderId="0" xfId="1" applyFont="1" applyAlignment="1">
      <alignment horizontal="center" vertical="center"/>
    </xf>
    <xf numFmtId="0" fontId="77" fillId="16" borderId="7" xfId="0" applyFont="1" applyFill="1" applyBorder="1" applyAlignment="1">
      <alignment horizontal="center" vertical="center"/>
    </xf>
    <xf numFmtId="0" fontId="77" fillId="16" borderId="31" xfId="0" applyFont="1" applyFill="1" applyBorder="1" applyAlignment="1">
      <alignment horizontal="center" vertical="center"/>
    </xf>
    <xf numFmtId="0" fontId="77" fillId="16" borderId="32" xfId="0" applyFont="1" applyFill="1" applyBorder="1" applyAlignment="1">
      <alignment horizontal="center" vertical="center"/>
    </xf>
    <xf numFmtId="4" fontId="54" fillId="7" borderId="0" xfId="0" applyNumberFormat="1" applyFont="1" applyFill="1" applyAlignment="1">
      <alignment horizontal="right"/>
    </xf>
    <xf numFmtId="4" fontId="50" fillId="7" borderId="22" xfId="0" applyNumberFormat="1" applyFont="1" applyFill="1" applyBorder="1" applyAlignment="1">
      <alignment horizontal="right"/>
    </xf>
    <xf numFmtId="4" fontId="50" fillId="7" borderId="11" xfId="0" applyNumberFormat="1" applyFont="1" applyFill="1" applyBorder="1" applyAlignment="1">
      <alignment horizontal="right"/>
    </xf>
    <xf numFmtId="4" fontId="50" fillId="7" borderId="45" xfId="0" applyNumberFormat="1" applyFont="1" applyFill="1" applyBorder="1" applyAlignment="1">
      <alignment horizontal="right"/>
    </xf>
    <xf numFmtId="4" fontId="75" fillId="17" borderId="7" xfId="0" applyNumberFormat="1" applyFont="1" applyFill="1" applyBorder="1" applyAlignment="1">
      <alignment horizontal="right"/>
    </xf>
    <xf numFmtId="4" fontId="75" fillId="17" borderId="31" xfId="0" applyNumberFormat="1" applyFont="1" applyFill="1" applyBorder="1" applyAlignment="1">
      <alignment horizontal="right"/>
    </xf>
    <xf numFmtId="4" fontId="75" fillId="17" borderId="32" xfId="0" applyNumberFormat="1" applyFont="1" applyFill="1" applyBorder="1" applyAlignment="1">
      <alignment horizontal="right"/>
    </xf>
    <xf numFmtId="0" fontId="75" fillId="0" borderId="0" xfId="0" applyFont="1" applyAlignment="1">
      <alignment horizontal="center"/>
    </xf>
    <xf numFmtId="0" fontId="75" fillId="0" borderId="15" xfId="0" applyFont="1" applyBorder="1" applyAlignment="1">
      <alignment horizontal="center"/>
    </xf>
    <xf numFmtId="4" fontId="75" fillId="0" borderId="3" xfId="0" applyNumberFormat="1" applyFont="1" applyBorder="1" applyAlignment="1">
      <alignment horizontal="right"/>
    </xf>
    <xf numFmtId="4" fontId="75" fillId="0" borderId="0" xfId="0" applyNumberFormat="1" applyFont="1" applyAlignment="1">
      <alignment horizontal="right"/>
    </xf>
    <xf numFmtId="4" fontId="75" fillId="0" borderId="15" xfId="0" applyNumberFormat="1" applyFont="1" applyBorder="1" applyAlignment="1">
      <alignment horizontal="right"/>
    </xf>
    <xf numFmtId="4" fontId="76" fillId="0" borderId="3" xfId="0" applyNumberFormat="1" applyFont="1" applyBorder="1" applyAlignment="1">
      <alignment horizontal="right"/>
    </xf>
    <xf numFmtId="4" fontId="76" fillId="0" borderId="0" xfId="0" applyNumberFormat="1" applyFont="1" applyAlignment="1">
      <alignment horizontal="right"/>
    </xf>
    <xf numFmtId="4" fontId="76" fillId="0" borderId="15" xfId="0" applyNumberFormat="1" applyFont="1" applyBorder="1" applyAlignment="1">
      <alignment horizontal="right"/>
    </xf>
    <xf numFmtId="4" fontId="50" fillId="0" borderId="17" xfId="0" applyNumberFormat="1" applyFont="1" applyBorder="1" applyAlignment="1">
      <alignment horizontal="right"/>
    </xf>
    <xf numFmtId="4" fontId="50" fillId="0" borderId="0" xfId="0" applyNumberFormat="1" applyFont="1" applyAlignment="1">
      <alignment horizontal="right"/>
    </xf>
    <xf numFmtId="4" fontId="50" fillId="0" borderId="43" xfId="0" applyNumberFormat="1" applyFont="1" applyBorder="1" applyAlignment="1">
      <alignment horizontal="right"/>
    </xf>
    <xf numFmtId="4" fontId="50" fillId="0" borderId="22" xfId="0" applyNumberFormat="1" applyFont="1" applyBorder="1" applyAlignment="1">
      <alignment horizontal="right"/>
    </xf>
    <xf numFmtId="4" fontId="50" fillId="0" borderId="11" xfId="0" applyNumberFormat="1" applyFont="1" applyBorder="1" applyAlignment="1">
      <alignment horizontal="right"/>
    </xf>
    <xf numFmtId="4" fontId="50" fillId="0" borderId="45" xfId="0" applyNumberFormat="1" applyFont="1" applyBorder="1" applyAlignment="1">
      <alignment horizontal="right"/>
    </xf>
    <xf numFmtId="0" fontId="53" fillId="0" borderId="11" xfId="0" applyFont="1" applyBorder="1" applyAlignment="1">
      <alignment horizontal="center"/>
    </xf>
    <xf numFmtId="4" fontId="50" fillId="7" borderId="44" xfId="0" applyNumberFormat="1" applyFont="1" applyFill="1" applyBorder="1" applyAlignment="1">
      <alignment horizontal="right"/>
    </xf>
    <xf numFmtId="4" fontId="50" fillId="7" borderId="6" xfId="0" applyNumberFormat="1" applyFont="1" applyFill="1" applyBorder="1" applyAlignment="1">
      <alignment horizontal="right"/>
    </xf>
    <xf numFmtId="4" fontId="50" fillId="7" borderId="16" xfId="0" applyNumberFormat="1" applyFont="1" applyFill="1" applyBorder="1" applyAlignment="1">
      <alignment horizontal="right"/>
    </xf>
    <xf numFmtId="4" fontId="50" fillId="7" borderId="17" xfId="0" applyNumberFormat="1" applyFont="1" applyFill="1" applyBorder="1" applyAlignment="1">
      <alignment horizontal="right"/>
    </xf>
    <xf numFmtId="4" fontId="50" fillId="7" borderId="0" xfId="0" applyNumberFormat="1" applyFont="1" applyFill="1" applyAlignment="1">
      <alignment horizontal="right"/>
    </xf>
    <xf numFmtId="4" fontId="50" fillId="7" borderId="43" xfId="0" applyNumberFormat="1" applyFont="1" applyFill="1" applyBorder="1" applyAlignment="1">
      <alignment horizontal="right"/>
    </xf>
    <xf numFmtId="4" fontId="53" fillId="7" borderId="7" xfId="0" applyNumberFormat="1" applyFont="1" applyFill="1" applyBorder="1" applyAlignment="1">
      <alignment horizontal="right"/>
    </xf>
    <xf numFmtId="4" fontId="53" fillId="7" borderId="31" xfId="0" applyNumberFormat="1" applyFont="1" applyFill="1" applyBorder="1" applyAlignment="1">
      <alignment horizontal="right"/>
    </xf>
    <xf numFmtId="4" fontId="53" fillId="7" borderId="32" xfId="0" applyNumberFormat="1" applyFont="1" applyFill="1" applyBorder="1" applyAlignment="1">
      <alignment horizontal="right"/>
    </xf>
    <xf numFmtId="0" fontId="57" fillId="0" borderId="3" xfId="0" applyFont="1" applyBorder="1" applyAlignment="1">
      <alignment horizontal="left" vertical="center"/>
    </xf>
    <xf numFmtId="0" fontId="57" fillId="0" borderId="0" xfId="0" applyFont="1" applyAlignment="1">
      <alignment horizontal="left" vertical="center"/>
    </xf>
    <xf numFmtId="0" fontId="50" fillId="14" borderId="0" xfId="0" applyFont="1" applyFill="1" applyAlignment="1">
      <alignment horizontal="center" vertical="center"/>
    </xf>
    <xf numFmtId="0" fontId="50" fillId="14" borderId="15" xfId="0" applyFont="1" applyFill="1" applyBorder="1" applyAlignment="1">
      <alignment horizontal="center" vertical="center"/>
    </xf>
    <xf numFmtId="0" fontId="50" fillId="14" borderId="5" xfId="0" applyFont="1" applyFill="1" applyBorder="1" applyAlignment="1">
      <alignment horizontal="center" vertical="center"/>
    </xf>
    <xf numFmtId="0" fontId="50" fillId="14" borderId="13" xfId="0" applyFont="1" applyFill="1" applyBorder="1" applyAlignment="1">
      <alignment horizontal="center" vertical="center"/>
    </xf>
    <xf numFmtId="0" fontId="52" fillId="0" borderId="0" xfId="1" applyFont="1" applyAlignment="1">
      <alignment horizontal="center" vertical="center"/>
    </xf>
    <xf numFmtId="4" fontId="53" fillId="19" borderId="7" xfId="0" applyNumberFormat="1" applyFont="1" applyFill="1" applyBorder="1" applyAlignment="1">
      <alignment horizontal="right"/>
    </xf>
    <xf numFmtId="4" fontId="53" fillId="19" borderId="31" xfId="0" applyNumberFormat="1" applyFont="1" applyFill="1" applyBorder="1" applyAlignment="1">
      <alignment horizontal="right"/>
    </xf>
    <xf numFmtId="4" fontId="53" fillId="19" borderId="32" xfId="0" applyNumberFormat="1" applyFont="1" applyFill="1" applyBorder="1" applyAlignment="1">
      <alignment horizontal="right"/>
    </xf>
    <xf numFmtId="0" fontId="53" fillId="0" borderId="0" xfId="0" applyFont="1" applyAlignment="1">
      <alignment horizontal="center"/>
    </xf>
    <xf numFmtId="4" fontId="50" fillId="0" borderId="44" xfId="0" applyNumberFormat="1" applyFont="1" applyBorder="1" applyAlignment="1">
      <alignment horizontal="right"/>
    </xf>
    <xf numFmtId="4" fontId="50" fillId="0" borderId="6" xfId="0" applyNumberFormat="1" applyFont="1" applyBorder="1" applyAlignment="1">
      <alignment horizontal="right"/>
    </xf>
    <xf numFmtId="4" fontId="50" fillId="0" borderId="16" xfId="0" applyNumberFormat="1" applyFont="1" applyBorder="1" applyAlignment="1">
      <alignment horizontal="right"/>
    </xf>
    <xf numFmtId="2" fontId="57" fillId="7" borderId="2" xfId="0" applyNumberFormat="1" applyFont="1" applyFill="1" applyBorder="1" applyAlignment="1">
      <alignment horizontal="center"/>
    </xf>
    <xf numFmtId="2" fontId="57" fillId="7" borderId="0" xfId="0" applyNumberFormat="1" applyFont="1" applyFill="1" applyAlignment="1">
      <alignment horizontal="center"/>
    </xf>
    <xf numFmtId="2" fontId="57" fillId="7" borderId="5" xfId="0" applyNumberFormat="1" applyFont="1" applyFill="1" applyBorder="1" applyAlignment="1">
      <alignment horizontal="center"/>
    </xf>
    <xf numFmtId="10" fontId="57" fillId="0" borderId="0" xfId="8" applyNumberFormat="1" applyFont="1" applyFill="1" applyBorder="1" applyAlignment="1">
      <alignment horizontal="center"/>
    </xf>
    <xf numFmtId="10" fontId="73" fillId="0" borderId="0" xfId="8" applyNumberFormat="1" applyFont="1" applyFill="1" applyBorder="1" applyAlignment="1">
      <alignment horizontal="center"/>
    </xf>
    <xf numFmtId="4" fontId="70" fillId="0" borderId="0" xfId="8" applyNumberFormat="1" applyFont="1" applyFill="1" applyBorder="1" applyAlignment="1">
      <alignment horizontal="center"/>
    </xf>
    <xf numFmtId="0" fontId="53" fillId="0" borderId="0" xfId="1" applyFont="1" applyAlignment="1">
      <alignment horizontal="center"/>
    </xf>
    <xf numFmtId="4" fontId="65" fillId="7" borderId="5" xfId="1" applyNumberFormat="1" applyFont="1" applyFill="1" applyBorder="1" applyAlignment="1">
      <alignment horizontal="center"/>
    </xf>
    <xf numFmtId="4" fontId="53" fillId="7" borderId="7" xfId="0" applyNumberFormat="1" applyFont="1" applyFill="1" applyBorder="1" applyAlignment="1">
      <alignment horizontal="center"/>
    </xf>
    <xf numFmtId="4" fontId="53" fillId="7" borderId="31" xfId="0" applyNumberFormat="1" applyFont="1" applyFill="1" applyBorder="1" applyAlignment="1">
      <alignment horizontal="center"/>
    </xf>
    <xf numFmtId="4" fontId="53" fillId="7" borderId="32" xfId="0" applyNumberFormat="1" applyFont="1" applyFill="1" applyBorder="1" applyAlignment="1">
      <alignment horizontal="center"/>
    </xf>
    <xf numFmtId="0" fontId="59" fillId="14" borderId="0" xfId="1" applyFont="1" applyFill="1" applyAlignment="1">
      <alignment horizontal="center" vertical="center"/>
    </xf>
    <xf numFmtId="4" fontId="53" fillId="0" borderId="0" xfId="1" applyNumberFormat="1" applyFont="1" applyAlignment="1">
      <alignment horizontal="center"/>
    </xf>
    <xf numFmtId="4" fontId="65" fillId="0" borderId="0" xfId="1" applyNumberFormat="1" applyFont="1" applyAlignment="1">
      <alignment horizontal="center"/>
    </xf>
    <xf numFmtId="164" fontId="53" fillId="0" borderId="0" xfId="1" applyNumberFormat="1" applyFont="1" applyAlignment="1">
      <alignment horizontal="center" vertical="center"/>
    </xf>
    <xf numFmtId="0" fontId="53" fillId="0" borderId="0" xfId="1" applyFont="1" applyAlignment="1">
      <alignment horizontal="center" vertical="center"/>
    </xf>
    <xf numFmtId="0" fontId="65" fillId="7" borderId="0" xfId="1" applyFont="1" applyFill="1" applyAlignment="1">
      <alignment horizontal="left"/>
    </xf>
    <xf numFmtId="164" fontId="53" fillId="0" borderId="0" xfId="1" applyNumberFormat="1" applyFont="1" applyAlignment="1">
      <alignment horizontal="center"/>
    </xf>
    <xf numFmtId="166" fontId="53" fillId="0" borderId="0" xfId="1" quotePrefix="1" applyNumberFormat="1" applyFont="1" applyAlignment="1">
      <alignment horizontal="center"/>
    </xf>
    <xf numFmtId="0" fontId="60" fillId="0" borderId="0" xfId="1" applyFont="1" applyAlignment="1">
      <alignment horizontal="left" vertical="center"/>
    </xf>
    <xf numFmtId="4" fontId="65" fillId="0" borderId="52" xfId="1" applyNumberFormat="1" applyFont="1" applyBorder="1" applyAlignment="1">
      <alignment horizontal="right" vertical="center"/>
    </xf>
    <xf numFmtId="0" fontId="65" fillId="0" borderId="50" xfId="1" applyFont="1" applyBorder="1" applyAlignment="1">
      <alignment horizontal="right" vertical="center"/>
    </xf>
    <xf numFmtId="0" fontId="65" fillId="0" borderId="53" xfId="1" applyFont="1" applyBorder="1" applyAlignment="1">
      <alignment horizontal="right" vertical="center"/>
    </xf>
    <xf numFmtId="4" fontId="65" fillId="0" borderId="26" xfId="1" applyNumberFormat="1" applyFont="1" applyBorder="1" applyAlignment="1">
      <alignment horizontal="right" vertical="center"/>
    </xf>
    <xf numFmtId="0" fontId="65" fillId="0" borderId="9" xfId="1" applyFont="1" applyBorder="1" applyAlignment="1">
      <alignment horizontal="right" vertical="center"/>
    </xf>
    <xf numFmtId="0" fontId="65" fillId="0" borderId="25" xfId="1" applyFont="1" applyBorder="1" applyAlignment="1">
      <alignment horizontal="right" vertical="center"/>
    </xf>
    <xf numFmtId="4" fontId="65" fillId="7" borderId="36" xfId="1" applyNumberFormat="1" applyFont="1" applyFill="1" applyBorder="1" applyAlignment="1">
      <alignment horizontal="right" vertical="center"/>
    </xf>
    <xf numFmtId="0" fontId="65" fillId="7" borderId="37" xfId="1" applyFont="1" applyFill="1" applyBorder="1" applyAlignment="1">
      <alignment horizontal="right" vertical="center"/>
    </xf>
    <xf numFmtId="0" fontId="65" fillId="7" borderId="38" xfId="1" applyFont="1" applyFill="1" applyBorder="1" applyAlignment="1">
      <alignment horizontal="right" vertical="center"/>
    </xf>
    <xf numFmtId="1" fontId="62" fillId="7" borderId="27" xfId="1" applyNumberFormat="1" applyFont="1" applyFill="1" applyBorder="1" applyAlignment="1">
      <alignment horizontal="center" vertical="center"/>
    </xf>
    <xf numFmtId="1" fontId="62" fillId="7" borderId="28" xfId="1" applyNumberFormat="1" applyFont="1" applyFill="1" applyBorder="1" applyAlignment="1">
      <alignment horizontal="center" vertical="center"/>
    </xf>
    <xf numFmtId="0" fontId="63" fillId="0" borderId="28" xfId="1" applyFont="1" applyBorder="1" applyAlignment="1">
      <alignment horizontal="left" vertical="center"/>
    </xf>
    <xf numFmtId="4" fontId="57" fillId="7" borderId="28" xfId="1" applyNumberFormat="1" applyFont="1" applyFill="1" applyBorder="1" applyAlignment="1">
      <alignment horizontal="right" vertical="center"/>
    </xf>
    <xf numFmtId="4" fontId="57" fillId="0" borderId="28" xfId="1" applyNumberFormat="1" applyFont="1" applyBorder="1" applyAlignment="1">
      <alignment horizontal="right" vertical="center"/>
    </xf>
    <xf numFmtId="4" fontId="57" fillId="0" borderId="29" xfId="1" applyNumberFormat="1" applyFont="1" applyBorder="1" applyAlignment="1">
      <alignment horizontal="right" vertical="center"/>
    </xf>
    <xf numFmtId="1" fontId="62" fillId="7" borderId="23" xfId="1" applyNumberFormat="1" applyFont="1" applyFill="1" applyBorder="1" applyAlignment="1">
      <alignment horizontal="center" vertical="center"/>
    </xf>
    <xf numFmtId="1" fontId="62" fillId="7" borderId="24" xfId="1" applyNumberFormat="1" applyFont="1" applyFill="1" applyBorder="1" applyAlignment="1">
      <alignment horizontal="center" vertical="center"/>
    </xf>
    <xf numFmtId="0" fontId="63" fillId="0" borderId="24" xfId="1" applyFont="1" applyBorder="1" applyAlignment="1">
      <alignment horizontal="left" vertical="center"/>
    </xf>
    <xf numFmtId="4" fontId="57" fillId="7" borderId="24" xfId="1" applyNumberFormat="1" applyFont="1" applyFill="1" applyBorder="1" applyAlignment="1">
      <alignment horizontal="right" vertical="center"/>
    </xf>
    <xf numFmtId="4" fontId="57" fillId="0" borderId="24" xfId="1" applyNumberFormat="1" applyFont="1" applyBorder="1" applyAlignment="1">
      <alignment horizontal="right" vertical="center"/>
    </xf>
    <xf numFmtId="4" fontId="57" fillId="0" borderId="30" xfId="1" applyNumberFormat="1" applyFont="1" applyBorder="1" applyAlignment="1">
      <alignment horizontal="right" vertical="center"/>
    </xf>
    <xf numFmtId="0" fontId="63" fillId="0" borderId="40" xfId="1" applyFont="1" applyBorder="1" applyAlignment="1">
      <alignment horizontal="center" vertical="center"/>
    </xf>
    <xf numFmtId="0" fontId="63" fillId="0" borderId="41" xfId="1" applyFont="1" applyBorder="1" applyAlignment="1">
      <alignment horizontal="center" vertical="center"/>
    </xf>
    <xf numFmtId="0" fontId="63" fillId="0" borderId="41" xfId="1" applyFont="1" applyBorder="1" applyAlignment="1">
      <alignment horizontal="center" vertical="center" wrapText="1"/>
    </xf>
    <xf numFmtId="0" fontId="63" fillId="0" borderId="42" xfId="1" applyFont="1" applyBorder="1" applyAlignment="1">
      <alignment horizontal="center" vertical="center"/>
    </xf>
    <xf numFmtId="22" fontId="58" fillId="0" borderId="0" xfId="1" applyNumberFormat="1" applyFont="1" applyAlignment="1">
      <alignment horizontal="center"/>
    </xf>
    <xf numFmtId="0" fontId="59" fillId="0" borderId="0" xfId="1" applyFont="1" applyAlignment="1">
      <alignment horizontal="center"/>
    </xf>
    <xf numFmtId="0" fontId="52" fillId="0" borderId="0" xfId="1" applyFont="1" applyAlignment="1">
      <alignment horizontal="left" vertical="center"/>
    </xf>
    <xf numFmtId="0" fontId="50" fillId="15" borderId="7" xfId="1" applyFont="1" applyFill="1" applyBorder="1" applyAlignment="1">
      <alignment horizontal="center"/>
    </xf>
    <xf numFmtId="0" fontId="50" fillId="15" borderId="32" xfId="1" applyFont="1" applyFill="1" applyBorder="1" applyAlignment="1">
      <alignment horizontal="center"/>
    </xf>
    <xf numFmtId="164" fontId="55" fillId="14" borderId="0" xfId="0" applyNumberFormat="1" applyFont="1" applyFill="1" applyAlignment="1">
      <alignment horizontal="right" vertical="center"/>
    </xf>
    <xf numFmtId="164" fontId="55" fillId="14" borderId="15" xfId="0" applyNumberFormat="1" applyFont="1" applyFill="1" applyBorder="1" applyAlignment="1">
      <alignment horizontal="right" vertical="center"/>
    </xf>
    <xf numFmtId="20" fontId="50" fillId="14" borderId="0" xfId="0" applyNumberFormat="1" applyFont="1" applyFill="1" applyAlignment="1">
      <alignment horizontal="right" vertical="center"/>
    </xf>
    <xf numFmtId="0" fontId="50" fillId="14" borderId="0" xfId="0" applyFont="1" applyFill="1" applyAlignment="1">
      <alignment horizontal="right" vertical="center"/>
    </xf>
    <xf numFmtId="0" fontId="50" fillId="14" borderId="15" xfId="0" applyFont="1" applyFill="1" applyBorder="1" applyAlignment="1">
      <alignment horizontal="right" vertical="center"/>
    </xf>
    <xf numFmtId="0" fontId="50" fillId="0" borderId="0" xfId="0" applyFont="1" applyAlignment="1">
      <alignment horizontal="center" vertical="center"/>
    </xf>
    <xf numFmtId="0" fontId="50" fillId="0" borderId="15" xfId="0" applyFont="1" applyBorder="1" applyAlignment="1">
      <alignment horizontal="center" vertical="center"/>
    </xf>
    <xf numFmtId="0" fontId="51" fillId="0" borderId="0" xfId="0" applyFont="1" applyAlignment="1">
      <alignment horizontal="center" vertical="center"/>
    </xf>
    <xf numFmtId="0" fontId="52" fillId="0" borderId="0" xfId="0" applyFont="1" applyAlignment="1">
      <alignment horizontal="center" vertical="center"/>
    </xf>
    <xf numFmtId="0" fontId="54" fillId="20" borderId="0" xfId="0" applyFont="1" applyFill="1" applyAlignment="1">
      <alignment horizontal="left" vertical="center"/>
    </xf>
    <xf numFmtId="1" fontId="50" fillId="0" borderId="2" xfId="0" applyNumberFormat="1" applyFont="1" applyBorder="1" applyAlignment="1">
      <alignment horizontal="right" vertical="center"/>
    </xf>
    <xf numFmtId="1" fontId="50" fillId="0" borderId="14" xfId="0" applyNumberFormat="1" applyFont="1" applyBorder="1" applyAlignment="1">
      <alignment horizontal="right" vertical="center"/>
    </xf>
    <xf numFmtId="0" fontId="53" fillId="0" borderId="0" xfId="0" applyFont="1" applyAlignment="1">
      <alignment horizontal="center" vertical="center"/>
    </xf>
    <xf numFmtId="0" fontId="53" fillId="0" borderId="15" xfId="0" applyFont="1" applyBorder="1" applyAlignment="1">
      <alignment horizontal="center" vertical="center"/>
    </xf>
    <xf numFmtId="164" fontId="50" fillId="14" borderId="0" xfId="0" applyNumberFormat="1" applyFont="1" applyFill="1" applyAlignment="1">
      <alignment horizontal="right" vertical="center"/>
    </xf>
    <xf numFmtId="164" fontId="50" fillId="14" borderId="15" xfId="0" applyNumberFormat="1" applyFont="1" applyFill="1" applyBorder="1" applyAlignment="1">
      <alignment horizontal="right" vertical="center"/>
    </xf>
    <xf numFmtId="0" fontId="62" fillId="7" borderId="0" xfId="0" applyFont="1" applyFill="1" applyAlignment="1">
      <alignment horizontal="center" vertical="center"/>
    </xf>
    <xf numFmtId="0" fontId="52" fillId="7" borderId="12" xfId="0" applyFont="1" applyFill="1" applyBorder="1" applyAlignment="1" applyProtection="1">
      <alignment horizontal="center" vertical="center"/>
      <protection locked="0"/>
    </xf>
    <xf numFmtId="0" fontId="50" fillId="7" borderId="12" xfId="0" applyFont="1" applyFill="1" applyBorder="1" applyAlignment="1" applyProtection="1">
      <alignment horizontal="center" vertical="center"/>
      <protection locked="0"/>
    </xf>
    <xf numFmtId="0" fontId="82" fillId="7" borderId="11" xfId="20" applyFont="1" applyFill="1" applyBorder="1" applyAlignment="1" applyProtection="1">
      <alignment horizontal="left" vertical="center"/>
      <protection locked="0"/>
    </xf>
    <xf numFmtId="0" fontId="52" fillId="7" borderId="11" xfId="0" applyFont="1" applyFill="1" applyBorder="1" applyAlignment="1" applyProtection="1">
      <alignment horizontal="left" vertical="center"/>
      <protection locked="0"/>
    </xf>
    <xf numFmtId="0" fontId="50" fillId="7" borderId="0" xfId="0" applyFont="1" applyFill="1" applyAlignment="1">
      <alignment horizontal="center"/>
    </xf>
    <xf numFmtId="14" fontId="81" fillId="7" borderId="0" xfId="0" applyNumberFormat="1" applyFont="1" applyFill="1" applyAlignment="1">
      <alignment horizontal="center" vertical="center"/>
    </xf>
    <xf numFmtId="0" fontId="51" fillId="7" borderId="0" xfId="0" applyFont="1" applyFill="1" applyAlignment="1">
      <alignment horizontal="center"/>
    </xf>
    <xf numFmtId="0" fontId="50" fillId="7" borderId="0" xfId="0" applyFont="1" applyFill="1" applyAlignment="1">
      <alignment horizontal="center" vertical="center"/>
    </xf>
    <xf numFmtId="0" fontId="50" fillId="7" borderId="0" xfId="0" applyFont="1" applyFill="1" applyAlignment="1">
      <alignment horizontal="left" vertical="center"/>
    </xf>
    <xf numFmtId="164" fontId="51" fillId="7" borderId="0" xfId="0" applyNumberFormat="1" applyFont="1" applyFill="1" applyAlignment="1" applyProtection="1">
      <alignment horizontal="center" vertical="center"/>
      <protection locked="0"/>
    </xf>
    <xf numFmtId="0" fontId="84" fillId="7" borderId="0" xfId="0" applyFont="1" applyFill="1" applyAlignment="1">
      <alignment horizontal="right" vertical="center"/>
    </xf>
    <xf numFmtId="164" fontId="51" fillId="7" borderId="0" xfId="0" applyNumberFormat="1" applyFont="1" applyFill="1" applyAlignment="1" applyProtection="1">
      <alignment horizontal="center" vertical="center" wrapText="1"/>
      <protection locked="0"/>
    </xf>
    <xf numFmtId="0" fontId="51" fillId="7" borderId="0" xfId="0" applyFont="1" applyFill="1" applyAlignment="1" applyProtection="1">
      <alignment horizontal="center" vertical="center"/>
      <protection locked="0"/>
    </xf>
    <xf numFmtId="0" fontId="75" fillId="7" borderId="0" xfId="0" applyFont="1" applyFill="1" applyAlignment="1">
      <alignment horizontal="center"/>
    </xf>
    <xf numFmtId="0" fontId="84" fillId="7" borderId="0" xfId="0" applyFont="1" applyFill="1" applyAlignment="1">
      <alignment horizontal="center" vertical="center"/>
    </xf>
    <xf numFmtId="0" fontId="52" fillId="7" borderId="11" xfId="0" applyFont="1" applyFill="1" applyBorder="1" applyAlignment="1" applyProtection="1">
      <alignment horizontal="center" vertical="center"/>
      <protection locked="0"/>
    </xf>
    <xf numFmtId="49" fontId="50" fillId="7" borderId="12" xfId="0" applyNumberFormat="1" applyFont="1" applyFill="1" applyBorder="1" applyAlignment="1" applyProtection="1">
      <alignment horizontal="center" vertical="center"/>
      <protection locked="0"/>
    </xf>
    <xf numFmtId="0" fontId="50" fillId="7" borderId="0" xfId="0" applyFont="1" applyFill="1" applyAlignment="1">
      <alignment horizontal="center" vertical="center" wrapText="1"/>
    </xf>
    <xf numFmtId="0" fontId="62" fillId="7" borderId="0" xfId="0" applyFont="1" applyFill="1" applyAlignment="1">
      <alignment horizontal="left" vertical="center"/>
    </xf>
    <xf numFmtId="0" fontId="51" fillId="7" borderId="0" xfId="0" applyFont="1" applyFill="1" applyAlignment="1">
      <alignment horizontal="center" vertical="center"/>
    </xf>
    <xf numFmtId="0" fontId="52" fillId="7" borderId="0" xfId="0" applyFont="1" applyFill="1" applyAlignment="1">
      <alignment horizontal="center" vertical="center"/>
    </xf>
    <xf numFmtId="0" fontId="81" fillId="7" borderId="0" xfId="0" applyFont="1" applyFill="1" applyAlignment="1">
      <alignment horizontal="center" vertical="center" wrapText="1"/>
    </xf>
    <xf numFmtId="0" fontId="79" fillId="7" borderId="0" xfId="0" applyFont="1" applyFill="1" applyAlignment="1">
      <alignment horizontal="center"/>
    </xf>
    <xf numFmtId="0" fontId="57" fillId="7" borderId="11" xfId="0" applyFont="1" applyFill="1" applyBorder="1" applyAlignment="1" applyProtection="1">
      <alignment horizontal="center" vertical="center"/>
      <protection locked="0"/>
    </xf>
    <xf numFmtId="0" fontId="52" fillId="7" borderId="12" xfId="0" applyFont="1" applyFill="1" applyBorder="1" applyAlignment="1" applyProtection="1">
      <alignment horizontal="center"/>
      <protection locked="0"/>
    </xf>
    <xf numFmtId="0" fontId="75" fillId="7" borderId="0" xfId="0" applyFont="1" applyFill="1" applyAlignment="1">
      <alignment horizontal="center" vertical="center"/>
    </xf>
    <xf numFmtId="0" fontId="75" fillId="7" borderId="0" xfId="0" applyFont="1" applyFill="1" applyAlignment="1">
      <alignment horizontal="left" vertical="center"/>
    </xf>
    <xf numFmtId="1" fontId="79" fillId="7" borderId="0" xfId="0" applyNumberFormat="1" applyFont="1" applyFill="1" applyAlignment="1">
      <alignment vertical="center"/>
    </xf>
    <xf numFmtId="0" fontId="79" fillId="7" borderId="0" xfId="0" applyFont="1" applyFill="1" applyAlignment="1">
      <alignment vertical="center"/>
    </xf>
    <xf numFmtId="1" fontId="79" fillId="7" borderId="0" xfId="0" applyNumberFormat="1" applyFont="1" applyFill="1" applyAlignment="1">
      <alignment horizontal="center" vertical="center"/>
    </xf>
    <xf numFmtId="0" fontId="79" fillId="7" borderId="0" xfId="0" applyFont="1" applyFill="1" applyAlignment="1">
      <alignment horizontal="left" vertical="center"/>
    </xf>
    <xf numFmtId="0" fontId="79" fillId="7" borderId="0" xfId="0" applyFont="1" applyFill="1" applyAlignment="1">
      <alignment horizontal="center" vertical="center"/>
    </xf>
    <xf numFmtId="0" fontId="79" fillId="7" borderId="0" xfId="0" applyFont="1" applyFill="1" applyAlignment="1">
      <alignment horizontal="justify" vertical="center" wrapText="1"/>
    </xf>
    <xf numFmtId="0" fontId="79" fillId="7" borderId="0" xfId="0" applyFont="1" applyFill="1" applyAlignment="1">
      <alignment horizontal="justify" vertical="center"/>
    </xf>
    <xf numFmtId="4" fontId="38" fillId="13" borderId="7" xfId="2" applyNumberFormat="1" applyFont="1" applyFill="1" applyBorder="1" applyAlignment="1">
      <alignment horizontal="center" vertical="center"/>
    </xf>
    <xf numFmtId="4" fontId="38" fillId="13" borderId="31" xfId="2" applyNumberFormat="1" applyFont="1" applyFill="1" applyBorder="1" applyAlignment="1">
      <alignment horizontal="center" vertical="center"/>
    </xf>
    <xf numFmtId="4" fontId="38" fillId="13" borderId="32" xfId="2" applyNumberFormat="1" applyFont="1" applyFill="1" applyBorder="1" applyAlignment="1">
      <alignment horizontal="center" vertical="center"/>
    </xf>
    <xf numFmtId="0" fontId="40" fillId="0" borderId="0" xfId="0" applyFont="1" applyAlignment="1">
      <alignment horizontal="center" vertical="center"/>
    </xf>
    <xf numFmtId="0" fontId="26" fillId="0" borderId="0" xfId="0" applyFont="1" applyAlignment="1">
      <alignment horizontal="center" vertical="center" wrapText="1"/>
    </xf>
    <xf numFmtId="0" fontId="32" fillId="8" borderId="17" xfId="0" applyFont="1" applyFill="1" applyBorder="1" applyAlignment="1">
      <alignment horizontal="center"/>
    </xf>
    <xf numFmtId="0" fontId="32" fillId="8" borderId="0" xfId="0" applyFont="1" applyFill="1" applyAlignment="1">
      <alignment horizontal="center"/>
    </xf>
    <xf numFmtId="0" fontId="31" fillId="8" borderId="21" xfId="0" applyFont="1" applyFill="1" applyBorder="1" applyAlignment="1">
      <alignment horizontal="center"/>
    </xf>
    <xf numFmtId="0" fontId="31" fillId="8" borderId="12" xfId="0" applyFont="1" applyFill="1" applyBorder="1" applyAlignment="1">
      <alignment horizontal="center"/>
    </xf>
    <xf numFmtId="0" fontId="31" fillId="8" borderId="10" xfId="0" applyFont="1" applyFill="1" applyBorder="1" applyAlignment="1">
      <alignment horizontal="center"/>
    </xf>
    <xf numFmtId="0" fontId="0" fillId="0" borderId="0" xfId="0"/>
  </cellXfs>
  <cellStyles count="21">
    <cellStyle name="Hipervínculo" xfId="20" builtinId="8"/>
    <cellStyle name="Hipervínculo 2" xfId="17" xr:uid="{75D84DDA-E917-4A76-906D-950EE88A2F8B}"/>
    <cellStyle name="Hyperlink" xfId="14" xr:uid="{00000000-000B-0000-0000-000008000000}"/>
    <cellStyle name="Millares 2" xfId="5" xr:uid="{00000000-0005-0000-0000-000002000000}"/>
    <cellStyle name="Millares 3" xfId="7" xr:uid="{00000000-0005-0000-0000-000003000000}"/>
    <cellStyle name="Millares 4" xfId="8" xr:uid="{00000000-0005-0000-0000-000004000000}"/>
    <cellStyle name="Normal" xfId="0" builtinId="0"/>
    <cellStyle name="Normal 10" xfId="1" xr:uid="{00000000-0005-0000-0000-000006000000}"/>
    <cellStyle name="Normal 11" xfId="18" xr:uid="{16D9825B-2585-4D91-8932-0DADF00FAE03}"/>
    <cellStyle name="Normal 12" xfId="19" xr:uid="{34F10B22-6226-4BC8-843E-614340ED47C0}"/>
    <cellStyle name="Normal 2" xfId="2" xr:uid="{00000000-0005-0000-0000-000007000000}"/>
    <cellStyle name="Normal 3" xfId="3" xr:uid="{00000000-0005-0000-0000-000008000000}"/>
    <cellStyle name="Normal 3 2" xfId="10" xr:uid="{00000000-0005-0000-0000-000009000000}"/>
    <cellStyle name="Normal 4" xfId="4" xr:uid="{00000000-0005-0000-0000-00000A000000}"/>
    <cellStyle name="Normal 4 2" xfId="11" xr:uid="{00000000-0005-0000-0000-00000B000000}"/>
    <cellStyle name="Normal 5" xfId="6" xr:uid="{00000000-0005-0000-0000-00000C000000}"/>
    <cellStyle name="Normal 6" xfId="12" xr:uid="{00000000-0005-0000-0000-00000D000000}"/>
    <cellStyle name="Normal 7" xfId="13" xr:uid="{00000000-0005-0000-0000-00000E000000}"/>
    <cellStyle name="Normal 8" xfId="15" xr:uid="{3D9DA47B-D572-4413-9849-AD4A0A0B6C7F}"/>
    <cellStyle name="Normal 9" xfId="16" xr:uid="{46C5A15E-0D9F-4184-B5C6-5B6A3F76B3CE}"/>
    <cellStyle name="Notas" xfId="9" builtinId="10"/>
  </cellStyles>
  <dxfs count="31">
    <dxf>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2"/>
        <color indexed="8"/>
        <name val="Calibri"/>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medium">
          <color indexed="64"/>
        </top>
        <bottom style="thin">
          <color indexed="64"/>
        </bottom>
      </border>
    </dxf>
    <dxf>
      <border outline="0">
        <bottom style="medium">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Verdana"/>
        <scheme val="none"/>
      </font>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s>
  <tableStyles count="1" defaultTableStyle="TableStyleMedium9" defaultPivotStyle="PivotStyleLight16">
    <tableStyle name="Estilo de tabla dinámica 1" table="0" count="0" xr9:uid="{00000000-0011-0000-FFFF-FFFF00000000}"/>
  </tableStyles>
  <colors>
    <mruColors>
      <color rgb="FFFFCCCC"/>
      <color rgb="FFFBDBE2"/>
      <color rgb="FF1E09B7"/>
      <color rgb="FFFF0000"/>
      <color rgb="FFD6F1A9"/>
      <color rgb="FFE61E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wmf"/><Relationship Id="rId4" Type="http://schemas.openxmlformats.org/officeDocument/2006/relationships/image" Target="../media/image5.jp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7</xdr:col>
      <xdr:colOff>285750</xdr:colOff>
      <xdr:row>22</xdr:row>
      <xdr:rowOff>0</xdr:rowOff>
    </xdr:from>
    <xdr:to>
      <xdr:col>12</xdr:col>
      <xdr:colOff>0</xdr:colOff>
      <xdr:row>22</xdr:row>
      <xdr:rowOff>0</xdr:rowOff>
    </xdr:to>
    <xdr:sp macro="" textlink="">
      <xdr:nvSpPr>
        <xdr:cNvPr id="2" name="Line 1">
          <a:extLst>
            <a:ext uri="{FF2B5EF4-FFF2-40B4-BE49-F238E27FC236}">
              <a16:creationId xmlns:a16="http://schemas.microsoft.com/office/drawing/2014/main" id="{B080BF56-8289-4F09-8646-0783D7758BFB}"/>
            </a:ext>
          </a:extLst>
        </xdr:cNvPr>
        <xdr:cNvSpPr>
          <a:spLocks noChangeShapeType="1"/>
        </xdr:cNvSpPr>
      </xdr:nvSpPr>
      <xdr:spPr bwMode="auto">
        <a:xfrm>
          <a:off x="2486025" y="5200650"/>
          <a:ext cx="12858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19050</xdr:colOff>
      <xdr:row>0</xdr:row>
      <xdr:rowOff>9525</xdr:rowOff>
    </xdr:from>
    <xdr:to>
      <xdr:col>4</xdr:col>
      <xdr:colOff>104774</xdr:colOff>
      <xdr:row>2</xdr:row>
      <xdr:rowOff>28575</xdr:rowOff>
    </xdr:to>
    <xdr:pic>
      <xdr:nvPicPr>
        <xdr:cNvPr id="3" name="2 Imagen">
          <a:extLst>
            <a:ext uri="{FF2B5EF4-FFF2-40B4-BE49-F238E27FC236}">
              <a16:creationId xmlns:a16="http://schemas.microsoft.com/office/drawing/2014/main" id="{0922A726-0A5A-4C2C-B204-DAADE48638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9525"/>
          <a:ext cx="13430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0</xdr:colOff>
      <xdr:row>25</xdr:row>
      <xdr:rowOff>28575</xdr:rowOff>
    </xdr:from>
    <xdr:to>
      <xdr:col>20</xdr:col>
      <xdr:colOff>295275</xdr:colOff>
      <xdr:row>25</xdr:row>
      <xdr:rowOff>295275</xdr:rowOff>
    </xdr:to>
    <xdr:sp macro="" textlink="">
      <xdr:nvSpPr>
        <xdr:cNvPr id="4" name="Rectángulo redondeado 5">
          <a:extLst>
            <a:ext uri="{FF2B5EF4-FFF2-40B4-BE49-F238E27FC236}">
              <a16:creationId xmlns:a16="http://schemas.microsoft.com/office/drawing/2014/main" id="{EBC83801-FA24-4870-BBA8-6A43FBC9183C}"/>
            </a:ext>
            <a:ext uri="{147F2762-F138-4A5C-976F-8EAC2B608ADB}">
              <a16:predDERef xmlns:a16="http://schemas.microsoft.com/office/drawing/2014/main" pred="{0922A726-0A5A-4C2C-B204-DAADE4863809}"/>
            </a:ext>
          </a:extLst>
        </xdr:cNvPr>
        <xdr:cNvSpPr>
          <a:spLocks noChangeArrowheads="1"/>
        </xdr:cNvSpPr>
      </xdr:nvSpPr>
      <xdr:spPr bwMode="auto">
        <a:xfrm>
          <a:off x="5191125" y="6467475"/>
          <a:ext cx="1552575" cy="266700"/>
        </a:xfrm>
        <a:prstGeom prst="roundRect">
          <a:avLst>
            <a:gd name="adj" fmla="val 16667"/>
          </a:avLst>
        </a:prstGeom>
        <a:noFill/>
        <a:ln w="9525" algn="ctr">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xdr:from>
      <xdr:col>16</xdr:col>
      <xdr:colOff>0</xdr:colOff>
      <xdr:row>26</xdr:row>
      <xdr:rowOff>28575</xdr:rowOff>
    </xdr:from>
    <xdr:to>
      <xdr:col>20</xdr:col>
      <xdr:colOff>295275</xdr:colOff>
      <xdr:row>26</xdr:row>
      <xdr:rowOff>295275</xdr:rowOff>
    </xdr:to>
    <xdr:sp macro="" textlink="">
      <xdr:nvSpPr>
        <xdr:cNvPr id="5" name="Rectángulo redondeado 6">
          <a:extLst>
            <a:ext uri="{FF2B5EF4-FFF2-40B4-BE49-F238E27FC236}">
              <a16:creationId xmlns:a16="http://schemas.microsoft.com/office/drawing/2014/main" id="{A8A72F5C-4433-40C2-B486-D6292DD5879C}"/>
            </a:ext>
            <a:ext uri="{147F2762-F138-4A5C-976F-8EAC2B608ADB}">
              <a16:predDERef xmlns:a16="http://schemas.microsoft.com/office/drawing/2014/main" pred="{EBC83801-FA24-4870-BBA8-6A43FBC9183C}"/>
            </a:ext>
          </a:extLst>
        </xdr:cNvPr>
        <xdr:cNvSpPr>
          <a:spLocks noChangeArrowheads="1"/>
        </xdr:cNvSpPr>
      </xdr:nvSpPr>
      <xdr:spPr bwMode="auto">
        <a:xfrm>
          <a:off x="5191125" y="6781800"/>
          <a:ext cx="1552575" cy="266700"/>
        </a:xfrm>
        <a:prstGeom prst="roundRect">
          <a:avLst>
            <a:gd name="adj" fmla="val 16667"/>
          </a:avLst>
        </a:prstGeom>
        <a:noFill/>
        <a:ln w="9525" algn="ctr">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xdr:from>
      <xdr:col>16</xdr:col>
      <xdr:colOff>0</xdr:colOff>
      <xdr:row>27</xdr:row>
      <xdr:rowOff>19050</xdr:rowOff>
    </xdr:from>
    <xdr:to>
      <xdr:col>20</xdr:col>
      <xdr:colOff>295275</xdr:colOff>
      <xdr:row>27</xdr:row>
      <xdr:rowOff>285750</xdr:rowOff>
    </xdr:to>
    <xdr:sp macro="" textlink="">
      <xdr:nvSpPr>
        <xdr:cNvPr id="6" name="Rectángulo redondeado 7">
          <a:extLst>
            <a:ext uri="{FF2B5EF4-FFF2-40B4-BE49-F238E27FC236}">
              <a16:creationId xmlns:a16="http://schemas.microsoft.com/office/drawing/2014/main" id="{FABA26A5-4EAE-40EB-8B1F-336A6BC60E9C}"/>
            </a:ext>
          </a:extLst>
        </xdr:cNvPr>
        <xdr:cNvSpPr>
          <a:spLocks noChangeArrowheads="1"/>
        </xdr:cNvSpPr>
      </xdr:nvSpPr>
      <xdr:spPr bwMode="auto">
        <a:xfrm>
          <a:off x="5191125" y="7086600"/>
          <a:ext cx="1552575" cy="266700"/>
        </a:xfrm>
        <a:prstGeom prst="roundRect">
          <a:avLst>
            <a:gd name="adj" fmla="val 16667"/>
          </a:avLst>
        </a:prstGeom>
        <a:noFill/>
        <a:ln w="9525" algn="ctr">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0</xdr:colOff>
      <xdr:row>28</xdr:row>
      <xdr:rowOff>9525</xdr:rowOff>
    </xdr:from>
    <xdr:to>
      <xdr:col>18</xdr:col>
      <xdr:colOff>57150</xdr:colOff>
      <xdr:row>28</xdr:row>
      <xdr:rowOff>276225</xdr:rowOff>
    </xdr:to>
    <xdr:sp macro="" textlink="">
      <xdr:nvSpPr>
        <xdr:cNvPr id="7" name="Rectángulo redondeado 8">
          <a:extLst>
            <a:ext uri="{FF2B5EF4-FFF2-40B4-BE49-F238E27FC236}">
              <a16:creationId xmlns:a16="http://schemas.microsoft.com/office/drawing/2014/main" id="{53FB3A86-5EE0-4AD1-A6F1-0F14BB12E6A8}"/>
            </a:ext>
          </a:extLst>
        </xdr:cNvPr>
        <xdr:cNvSpPr>
          <a:spLocks noChangeArrowheads="1"/>
        </xdr:cNvSpPr>
      </xdr:nvSpPr>
      <xdr:spPr bwMode="auto">
        <a:xfrm>
          <a:off x="5191125" y="7391400"/>
          <a:ext cx="685800" cy="266700"/>
        </a:xfrm>
        <a:prstGeom prst="roundRect">
          <a:avLst>
            <a:gd name="adj" fmla="val 16667"/>
          </a:avLst>
        </a:prstGeom>
        <a:noFill/>
        <a:ln w="9525" algn="ctr">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0</xdr:colOff>
      <xdr:row>32</xdr:row>
      <xdr:rowOff>28575</xdr:rowOff>
    </xdr:from>
    <xdr:to>
      <xdr:col>20</xdr:col>
      <xdr:colOff>295275</xdr:colOff>
      <xdr:row>32</xdr:row>
      <xdr:rowOff>295275</xdr:rowOff>
    </xdr:to>
    <xdr:sp macro="" textlink="">
      <xdr:nvSpPr>
        <xdr:cNvPr id="8" name="Rectángulo redondeado 9">
          <a:extLst>
            <a:ext uri="{FF2B5EF4-FFF2-40B4-BE49-F238E27FC236}">
              <a16:creationId xmlns:a16="http://schemas.microsoft.com/office/drawing/2014/main" id="{2CF299BE-4389-46FA-9003-073A07E4BB05}"/>
            </a:ext>
          </a:extLst>
        </xdr:cNvPr>
        <xdr:cNvSpPr>
          <a:spLocks noChangeArrowheads="1"/>
        </xdr:cNvSpPr>
      </xdr:nvSpPr>
      <xdr:spPr bwMode="auto">
        <a:xfrm>
          <a:off x="5191125" y="8467725"/>
          <a:ext cx="1552575" cy="266700"/>
        </a:xfrm>
        <a:prstGeom prst="roundRect">
          <a:avLst>
            <a:gd name="adj" fmla="val 16667"/>
          </a:avLst>
        </a:prstGeom>
        <a:noFill/>
        <a:ln w="9525" algn="ctr">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9525</xdr:colOff>
      <xdr:row>33</xdr:row>
      <xdr:rowOff>28575</xdr:rowOff>
    </xdr:from>
    <xdr:to>
      <xdr:col>20</xdr:col>
      <xdr:colOff>304800</xdr:colOff>
      <xdr:row>33</xdr:row>
      <xdr:rowOff>295275</xdr:rowOff>
    </xdr:to>
    <xdr:sp macro="" textlink="">
      <xdr:nvSpPr>
        <xdr:cNvPr id="9" name="Rectángulo redondeado 10">
          <a:extLst>
            <a:ext uri="{FF2B5EF4-FFF2-40B4-BE49-F238E27FC236}">
              <a16:creationId xmlns:a16="http://schemas.microsoft.com/office/drawing/2014/main" id="{78C88F47-2780-43D4-A4FB-FB06C5EE15FE}"/>
            </a:ext>
          </a:extLst>
        </xdr:cNvPr>
        <xdr:cNvSpPr>
          <a:spLocks noChangeArrowheads="1"/>
        </xdr:cNvSpPr>
      </xdr:nvSpPr>
      <xdr:spPr bwMode="auto">
        <a:xfrm>
          <a:off x="5200650" y="8782050"/>
          <a:ext cx="1552575" cy="266700"/>
        </a:xfrm>
        <a:prstGeom prst="roundRect">
          <a:avLst>
            <a:gd name="adj" fmla="val 16667"/>
          </a:avLst>
        </a:prstGeom>
        <a:noFill/>
        <a:ln w="9525" algn="ctr">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161925</xdr:colOff>
      <xdr:row>49</xdr:row>
      <xdr:rowOff>228600</xdr:rowOff>
    </xdr:from>
    <xdr:to>
      <xdr:col>18</xdr:col>
      <xdr:colOff>142875</xdr:colOff>
      <xdr:row>51</xdr:row>
      <xdr:rowOff>47625</xdr:rowOff>
    </xdr:to>
    <xdr:sp macro="" textlink="">
      <xdr:nvSpPr>
        <xdr:cNvPr id="10" name="Rectángulo redondeado 10">
          <a:extLst>
            <a:ext uri="{FF2B5EF4-FFF2-40B4-BE49-F238E27FC236}">
              <a16:creationId xmlns:a16="http://schemas.microsoft.com/office/drawing/2014/main" id="{7AA63743-0703-4249-89E8-6E011CC66531}"/>
            </a:ext>
          </a:extLst>
        </xdr:cNvPr>
        <xdr:cNvSpPr>
          <a:spLocks noChangeArrowheads="1"/>
        </xdr:cNvSpPr>
      </xdr:nvSpPr>
      <xdr:spPr bwMode="auto">
        <a:xfrm>
          <a:off x="4248150" y="12763500"/>
          <a:ext cx="1714500" cy="438150"/>
        </a:xfrm>
        <a:prstGeom prst="roundRect">
          <a:avLst>
            <a:gd name="adj" fmla="val 16667"/>
          </a:avLst>
        </a:prstGeom>
        <a:noFill/>
        <a:ln w="9525" algn="ctr">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33</xdr:col>
      <xdr:colOff>0</xdr:colOff>
      <xdr:row>43</xdr:row>
      <xdr:rowOff>0</xdr:rowOff>
    </xdr:from>
    <xdr:to>
      <xdr:col>33</xdr:col>
      <xdr:colOff>0</xdr:colOff>
      <xdr:row>43</xdr:row>
      <xdr:rowOff>0</xdr:rowOff>
    </xdr:to>
    <xdr:grpSp>
      <xdr:nvGrpSpPr>
        <xdr:cNvPr id="2" name="Group 108">
          <a:extLst>
            <a:ext uri="{FF2B5EF4-FFF2-40B4-BE49-F238E27FC236}">
              <a16:creationId xmlns:a16="http://schemas.microsoft.com/office/drawing/2014/main" id="{00000000-0008-0000-0300-000002000000}"/>
            </a:ext>
          </a:extLst>
        </xdr:cNvPr>
        <xdr:cNvGrpSpPr>
          <a:grpSpLocks/>
        </xdr:cNvGrpSpPr>
      </xdr:nvGrpSpPr>
      <xdr:grpSpPr bwMode="auto">
        <a:xfrm>
          <a:off x="8077200" y="8229600"/>
          <a:ext cx="0" cy="0"/>
          <a:chOff x="110530132" y="107927479"/>
          <a:chExt cx="3196335" cy="4369138"/>
        </a:xfrm>
      </xdr:grpSpPr>
      <xdr:pic>
        <xdr:nvPicPr>
          <xdr:cNvPr id="3" name="Picture 109" descr="j0152876">
            <a:extLst>
              <a:ext uri="{FF2B5EF4-FFF2-40B4-BE49-F238E27FC236}">
                <a16:creationId xmlns:a16="http://schemas.microsoft.com/office/drawing/2014/main" id="{00000000-0008-0000-0300-00000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 name="Picture 110" descr="j0152876">
            <a:extLst>
              <a:ext uri="{FF2B5EF4-FFF2-40B4-BE49-F238E27FC236}">
                <a16:creationId xmlns:a16="http://schemas.microsoft.com/office/drawing/2014/main" id="{00000000-0008-0000-0300-00000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 name="Picture 111" descr="j0152876">
            <a:extLst>
              <a:ext uri="{FF2B5EF4-FFF2-40B4-BE49-F238E27FC236}">
                <a16:creationId xmlns:a16="http://schemas.microsoft.com/office/drawing/2014/main" id="{00000000-0008-0000-0300-00000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6" name="Picture 112" descr="j0152876">
            <a:extLst>
              <a:ext uri="{FF2B5EF4-FFF2-40B4-BE49-F238E27FC236}">
                <a16:creationId xmlns:a16="http://schemas.microsoft.com/office/drawing/2014/main" id="{00000000-0008-0000-0300-00000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7" name="Picture 113" descr="j0152876">
            <a:extLst>
              <a:ext uri="{FF2B5EF4-FFF2-40B4-BE49-F238E27FC236}">
                <a16:creationId xmlns:a16="http://schemas.microsoft.com/office/drawing/2014/main" id="{00000000-0008-0000-0300-000007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8" name="Picture 114" descr="j0152876">
            <a:extLst>
              <a:ext uri="{FF2B5EF4-FFF2-40B4-BE49-F238E27FC236}">
                <a16:creationId xmlns:a16="http://schemas.microsoft.com/office/drawing/2014/main" id="{00000000-0008-0000-0300-00000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9" name="Picture 115" descr="j0152876">
            <a:extLst>
              <a:ext uri="{FF2B5EF4-FFF2-40B4-BE49-F238E27FC236}">
                <a16:creationId xmlns:a16="http://schemas.microsoft.com/office/drawing/2014/main" id="{00000000-0008-0000-0300-00000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0" name="Picture 116" descr="j0152876">
            <a:extLst>
              <a:ext uri="{FF2B5EF4-FFF2-40B4-BE49-F238E27FC236}">
                <a16:creationId xmlns:a16="http://schemas.microsoft.com/office/drawing/2014/main" id="{00000000-0008-0000-0300-00000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1" name="Picture 117" descr="j0152876">
            <a:extLst>
              <a:ext uri="{FF2B5EF4-FFF2-40B4-BE49-F238E27FC236}">
                <a16:creationId xmlns:a16="http://schemas.microsoft.com/office/drawing/2014/main" id="{00000000-0008-0000-0300-00000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2" name="Picture 118" descr="j0152876">
            <a:extLst>
              <a:ext uri="{FF2B5EF4-FFF2-40B4-BE49-F238E27FC236}">
                <a16:creationId xmlns:a16="http://schemas.microsoft.com/office/drawing/2014/main" id="{00000000-0008-0000-0300-00000C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3" name="Picture 119" descr="j0152876">
            <a:extLst>
              <a:ext uri="{FF2B5EF4-FFF2-40B4-BE49-F238E27FC236}">
                <a16:creationId xmlns:a16="http://schemas.microsoft.com/office/drawing/2014/main" id="{00000000-0008-0000-0300-00000D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4" name="Picture 120" descr="j0152876">
            <a:extLst>
              <a:ext uri="{FF2B5EF4-FFF2-40B4-BE49-F238E27FC236}">
                <a16:creationId xmlns:a16="http://schemas.microsoft.com/office/drawing/2014/main" id="{00000000-0008-0000-0300-00000E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5" name="Picture 121" descr="j0152876">
            <a:extLst>
              <a:ext uri="{FF2B5EF4-FFF2-40B4-BE49-F238E27FC236}">
                <a16:creationId xmlns:a16="http://schemas.microsoft.com/office/drawing/2014/main" id="{00000000-0008-0000-0300-00000F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6" name="Picture 122" descr="j0152876">
            <a:extLst>
              <a:ext uri="{FF2B5EF4-FFF2-40B4-BE49-F238E27FC236}">
                <a16:creationId xmlns:a16="http://schemas.microsoft.com/office/drawing/2014/main" id="{00000000-0008-0000-0300-000010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7" name="Picture 123" descr="j0152876">
            <a:extLst>
              <a:ext uri="{FF2B5EF4-FFF2-40B4-BE49-F238E27FC236}">
                <a16:creationId xmlns:a16="http://schemas.microsoft.com/office/drawing/2014/main" id="{00000000-0008-0000-0300-000011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8" name="Picture 124" descr="j0152876">
            <a:extLst>
              <a:ext uri="{FF2B5EF4-FFF2-40B4-BE49-F238E27FC236}">
                <a16:creationId xmlns:a16="http://schemas.microsoft.com/office/drawing/2014/main" id="{00000000-0008-0000-0300-00001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9" name="Picture 125" descr="j0152876">
            <a:extLst>
              <a:ext uri="{FF2B5EF4-FFF2-40B4-BE49-F238E27FC236}">
                <a16:creationId xmlns:a16="http://schemas.microsoft.com/office/drawing/2014/main" id="{00000000-0008-0000-0300-00001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0" name="Picture 126" descr="j0152876">
            <a:extLst>
              <a:ext uri="{FF2B5EF4-FFF2-40B4-BE49-F238E27FC236}">
                <a16:creationId xmlns:a16="http://schemas.microsoft.com/office/drawing/2014/main" id="{00000000-0008-0000-0300-00001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1" name="Picture 127" descr="j0152876">
            <a:extLst>
              <a:ext uri="{FF2B5EF4-FFF2-40B4-BE49-F238E27FC236}">
                <a16:creationId xmlns:a16="http://schemas.microsoft.com/office/drawing/2014/main" id="{00000000-0008-0000-0300-00001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2" name="Picture 128" descr="j0152876">
            <a:extLst>
              <a:ext uri="{FF2B5EF4-FFF2-40B4-BE49-F238E27FC236}">
                <a16:creationId xmlns:a16="http://schemas.microsoft.com/office/drawing/2014/main" id="{00000000-0008-0000-0300-00001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xdr:from>
      <xdr:col>33</xdr:col>
      <xdr:colOff>0</xdr:colOff>
      <xdr:row>43</xdr:row>
      <xdr:rowOff>0</xdr:rowOff>
    </xdr:from>
    <xdr:to>
      <xdr:col>33</xdr:col>
      <xdr:colOff>0</xdr:colOff>
      <xdr:row>43</xdr:row>
      <xdr:rowOff>0</xdr:rowOff>
    </xdr:to>
    <xdr:grpSp>
      <xdr:nvGrpSpPr>
        <xdr:cNvPr id="23" name="Group 129">
          <a:extLst>
            <a:ext uri="{FF2B5EF4-FFF2-40B4-BE49-F238E27FC236}">
              <a16:creationId xmlns:a16="http://schemas.microsoft.com/office/drawing/2014/main" id="{00000000-0008-0000-0300-000017000000}"/>
            </a:ext>
          </a:extLst>
        </xdr:cNvPr>
        <xdr:cNvGrpSpPr>
          <a:grpSpLocks/>
        </xdr:cNvGrpSpPr>
      </xdr:nvGrpSpPr>
      <xdr:grpSpPr bwMode="auto">
        <a:xfrm>
          <a:off x="8077200" y="8229600"/>
          <a:ext cx="0" cy="0"/>
          <a:chOff x="110530132" y="107927479"/>
          <a:chExt cx="3196335" cy="4369138"/>
        </a:xfrm>
      </xdr:grpSpPr>
      <xdr:pic>
        <xdr:nvPicPr>
          <xdr:cNvPr id="24" name="Picture 130" descr="j0152876">
            <a:extLst>
              <a:ext uri="{FF2B5EF4-FFF2-40B4-BE49-F238E27FC236}">
                <a16:creationId xmlns:a16="http://schemas.microsoft.com/office/drawing/2014/main" id="{00000000-0008-0000-0300-00001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5" name="Picture 131" descr="j0152876">
            <a:extLst>
              <a:ext uri="{FF2B5EF4-FFF2-40B4-BE49-F238E27FC236}">
                <a16:creationId xmlns:a16="http://schemas.microsoft.com/office/drawing/2014/main" id="{00000000-0008-0000-0300-00001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6" name="Picture 132" descr="j0152876">
            <a:extLst>
              <a:ext uri="{FF2B5EF4-FFF2-40B4-BE49-F238E27FC236}">
                <a16:creationId xmlns:a16="http://schemas.microsoft.com/office/drawing/2014/main" id="{00000000-0008-0000-0300-00001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7" name="Picture 133" descr="j0152876">
            <a:extLst>
              <a:ext uri="{FF2B5EF4-FFF2-40B4-BE49-F238E27FC236}">
                <a16:creationId xmlns:a16="http://schemas.microsoft.com/office/drawing/2014/main" id="{00000000-0008-0000-0300-00001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8" name="Picture 134" descr="j0152876">
            <a:extLst>
              <a:ext uri="{FF2B5EF4-FFF2-40B4-BE49-F238E27FC236}">
                <a16:creationId xmlns:a16="http://schemas.microsoft.com/office/drawing/2014/main" id="{00000000-0008-0000-0300-00001C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9" name="Picture 135" descr="j0152876">
            <a:extLst>
              <a:ext uri="{FF2B5EF4-FFF2-40B4-BE49-F238E27FC236}">
                <a16:creationId xmlns:a16="http://schemas.microsoft.com/office/drawing/2014/main" id="{00000000-0008-0000-0300-00001D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0" name="Picture 136" descr="j0152876">
            <a:extLst>
              <a:ext uri="{FF2B5EF4-FFF2-40B4-BE49-F238E27FC236}">
                <a16:creationId xmlns:a16="http://schemas.microsoft.com/office/drawing/2014/main" id="{00000000-0008-0000-0300-00001E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1" name="Picture 137" descr="j0152876">
            <a:extLst>
              <a:ext uri="{FF2B5EF4-FFF2-40B4-BE49-F238E27FC236}">
                <a16:creationId xmlns:a16="http://schemas.microsoft.com/office/drawing/2014/main" id="{00000000-0008-0000-0300-00001F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2" name="Picture 138" descr="j0152876">
            <a:extLst>
              <a:ext uri="{FF2B5EF4-FFF2-40B4-BE49-F238E27FC236}">
                <a16:creationId xmlns:a16="http://schemas.microsoft.com/office/drawing/2014/main" id="{00000000-0008-0000-0300-000020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3" name="Picture 139" descr="j0152876">
            <a:extLst>
              <a:ext uri="{FF2B5EF4-FFF2-40B4-BE49-F238E27FC236}">
                <a16:creationId xmlns:a16="http://schemas.microsoft.com/office/drawing/2014/main" id="{00000000-0008-0000-0300-000021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4" name="Picture 140" descr="j0152876">
            <a:extLst>
              <a:ext uri="{FF2B5EF4-FFF2-40B4-BE49-F238E27FC236}">
                <a16:creationId xmlns:a16="http://schemas.microsoft.com/office/drawing/2014/main" id="{00000000-0008-0000-0300-00002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5" name="Picture 141" descr="j0152876">
            <a:extLst>
              <a:ext uri="{FF2B5EF4-FFF2-40B4-BE49-F238E27FC236}">
                <a16:creationId xmlns:a16="http://schemas.microsoft.com/office/drawing/2014/main" id="{00000000-0008-0000-0300-00002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6" name="Picture 142" descr="j0152876">
            <a:extLst>
              <a:ext uri="{FF2B5EF4-FFF2-40B4-BE49-F238E27FC236}">
                <a16:creationId xmlns:a16="http://schemas.microsoft.com/office/drawing/2014/main" id="{00000000-0008-0000-0300-00002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7" name="Picture 143" descr="j0152876">
            <a:extLst>
              <a:ext uri="{FF2B5EF4-FFF2-40B4-BE49-F238E27FC236}">
                <a16:creationId xmlns:a16="http://schemas.microsoft.com/office/drawing/2014/main" id="{00000000-0008-0000-0300-00002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8" name="Picture 144" descr="j0152876">
            <a:extLst>
              <a:ext uri="{FF2B5EF4-FFF2-40B4-BE49-F238E27FC236}">
                <a16:creationId xmlns:a16="http://schemas.microsoft.com/office/drawing/2014/main" id="{00000000-0008-0000-0300-00002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9" name="Picture 145" descr="j0152876">
            <a:extLst>
              <a:ext uri="{FF2B5EF4-FFF2-40B4-BE49-F238E27FC236}">
                <a16:creationId xmlns:a16="http://schemas.microsoft.com/office/drawing/2014/main" id="{00000000-0008-0000-0300-000027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0" name="Picture 146" descr="j0152876">
            <a:extLst>
              <a:ext uri="{FF2B5EF4-FFF2-40B4-BE49-F238E27FC236}">
                <a16:creationId xmlns:a16="http://schemas.microsoft.com/office/drawing/2014/main" id="{00000000-0008-0000-0300-00002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1" name="Picture 147" descr="j0152876">
            <a:extLst>
              <a:ext uri="{FF2B5EF4-FFF2-40B4-BE49-F238E27FC236}">
                <a16:creationId xmlns:a16="http://schemas.microsoft.com/office/drawing/2014/main" id="{00000000-0008-0000-0300-00002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2" name="Picture 148" descr="j0152876">
            <a:extLst>
              <a:ext uri="{FF2B5EF4-FFF2-40B4-BE49-F238E27FC236}">
                <a16:creationId xmlns:a16="http://schemas.microsoft.com/office/drawing/2014/main" id="{00000000-0008-0000-0300-00002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3" name="Picture 149" descr="j0152876">
            <a:extLst>
              <a:ext uri="{FF2B5EF4-FFF2-40B4-BE49-F238E27FC236}">
                <a16:creationId xmlns:a16="http://schemas.microsoft.com/office/drawing/2014/main" id="{00000000-0008-0000-0300-00002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editAs="oneCell">
    <xdr:from>
      <xdr:col>17</xdr:col>
      <xdr:colOff>16565</xdr:colOff>
      <xdr:row>0</xdr:row>
      <xdr:rowOff>41413</xdr:rowOff>
    </xdr:from>
    <xdr:to>
      <xdr:col>25</xdr:col>
      <xdr:colOff>107674</xdr:colOff>
      <xdr:row>4</xdr:row>
      <xdr:rowOff>56389</xdr:rowOff>
    </xdr:to>
    <xdr:pic>
      <xdr:nvPicPr>
        <xdr:cNvPr id="44" name="Imagen 43">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31365" y="41413"/>
          <a:ext cx="2072309" cy="776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65446</xdr:colOff>
      <xdr:row>39</xdr:row>
      <xdr:rowOff>270079</xdr:rowOff>
    </xdr:from>
    <xdr:to>
      <xdr:col>11</xdr:col>
      <xdr:colOff>452</xdr:colOff>
      <xdr:row>46</xdr:row>
      <xdr:rowOff>139870</xdr:rowOff>
    </xdr:to>
    <xdr:pic>
      <xdr:nvPicPr>
        <xdr:cNvPr id="46" name="Imagen 45">
          <a:extLst>
            <a:ext uri="{FF2B5EF4-FFF2-40B4-BE49-F238E27FC236}">
              <a16:creationId xmlns:a16="http://schemas.microsoft.com/office/drawing/2014/main" id="{00000000-0008-0000-0300-00002E00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4153" b="3418"/>
        <a:stretch/>
      </xdr:blipFill>
      <xdr:spPr bwMode="auto">
        <a:xfrm rot="10674012">
          <a:off x="65446" y="8266470"/>
          <a:ext cx="2546700" cy="130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125056</xdr:colOff>
      <xdr:row>34</xdr:row>
      <xdr:rowOff>41172</xdr:rowOff>
    </xdr:from>
    <xdr:to>
      <xdr:col>27</xdr:col>
      <xdr:colOff>203260</xdr:colOff>
      <xdr:row>39</xdr:row>
      <xdr:rowOff>195109</xdr:rowOff>
    </xdr:to>
    <xdr:pic>
      <xdr:nvPicPr>
        <xdr:cNvPr id="47" name="Imagen 4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4">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rot="21121264">
          <a:off x="4239856" y="6937272"/>
          <a:ext cx="2554704" cy="12016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114300</xdr:colOff>
      <xdr:row>157</xdr:row>
      <xdr:rowOff>104775</xdr:rowOff>
    </xdr:from>
    <xdr:to>
      <xdr:col>21</xdr:col>
      <xdr:colOff>38100</xdr:colOff>
      <xdr:row>157</xdr:row>
      <xdr:rowOff>104775</xdr:rowOff>
    </xdr:to>
    <xdr:sp macro="" textlink="">
      <xdr:nvSpPr>
        <xdr:cNvPr id="2" name="Line 17">
          <a:extLst>
            <a:ext uri="{FF2B5EF4-FFF2-40B4-BE49-F238E27FC236}">
              <a16:creationId xmlns:a16="http://schemas.microsoft.com/office/drawing/2014/main" id="{C6FEE01A-50AB-4907-BC5C-0B09AA4BF8F5}"/>
            </a:ext>
          </a:extLst>
        </xdr:cNvPr>
        <xdr:cNvSpPr>
          <a:spLocks noChangeShapeType="1"/>
        </xdr:cNvSpPr>
      </xdr:nvSpPr>
      <xdr:spPr bwMode="auto">
        <a:xfrm>
          <a:off x="2838450" y="25107900"/>
          <a:ext cx="24193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82999</xdr:colOff>
      <xdr:row>164</xdr:row>
      <xdr:rowOff>77187</xdr:rowOff>
    </xdr:from>
    <xdr:to>
      <xdr:col>12</xdr:col>
      <xdr:colOff>177563</xdr:colOff>
      <xdr:row>170</xdr:row>
      <xdr:rowOff>14655</xdr:rowOff>
    </xdr:to>
    <xdr:pic>
      <xdr:nvPicPr>
        <xdr:cNvPr id="3" name="Imagen 2">
          <a:extLst>
            <a:ext uri="{FF2B5EF4-FFF2-40B4-BE49-F238E27FC236}">
              <a16:creationId xmlns:a16="http://schemas.microsoft.com/office/drawing/2014/main" id="{8AA00E9B-0EC3-4ED7-B728-89637D111630}"/>
            </a:ext>
          </a:extLst>
        </xdr:cNvPr>
        <xdr:cNvPicPr>
          <a:picLocks noChangeAspect="1"/>
        </xdr:cNvPicPr>
      </xdr:nvPicPr>
      <xdr:blipFill>
        <a:blip xmlns:r="http://schemas.openxmlformats.org/officeDocument/2006/relationships" r:embed="rId1"/>
        <a:stretch>
          <a:fillRect/>
        </a:stretch>
      </xdr:blipFill>
      <xdr:spPr>
        <a:xfrm>
          <a:off x="330649" y="26604312"/>
          <a:ext cx="2571064" cy="1080468"/>
        </a:xfrm>
        <a:prstGeom prst="rect">
          <a:avLst/>
        </a:prstGeom>
      </xdr:spPr>
    </xdr:pic>
    <xdr:clientData/>
  </xdr:twoCellAnchor>
  <xdr:oneCellAnchor>
    <xdr:from>
      <xdr:col>2</xdr:col>
      <xdr:colOff>132405</xdr:colOff>
      <xdr:row>0</xdr:row>
      <xdr:rowOff>104021</xdr:rowOff>
    </xdr:from>
    <xdr:ext cx="1343024" cy="514350"/>
    <xdr:pic>
      <xdr:nvPicPr>
        <xdr:cNvPr id="4" name="2 Imagen">
          <a:extLst>
            <a:ext uri="{FF2B5EF4-FFF2-40B4-BE49-F238E27FC236}">
              <a16:creationId xmlns:a16="http://schemas.microsoft.com/office/drawing/2014/main" id="{6B264C19-62B6-4992-8CE5-BA9A109936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0055" y="104021"/>
          <a:ext cx="13430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14</xdr:col>
      <xdr:colOff>19050</xdr:colOff>
      <xdr:row>121</xdr:row>
      <xdr:rowOff>38100</xdr:rowOff>
    </xdr:from>
    <xdr:to>
      <xdr:col>26</xdr:col>
      <xdr:colOff>180975</xdr:colOff>
      <xdr:row>132</xdr:row>
      <xdr:rowOff>142875</xdr:rowOff>
    </xdr:to>
    <xdr:pic>
      <xdr:nvPicPr>
        <xdr:cNvPr id="6" name="Imagen 5">
          <a:extLst>
            <a:ext uri="{FF2B5EF4-FFF2-40B4-BE49-F238E27FC236}">
              <a16:creationId xmlns:a16="http://schemas.microsoft.com/office/drawing/2014/main" id="{02A4F21A-B07F-A9DD-1D29-4FBBF80061FB}"/>
            </a:ext>
            <a:ext uri="{147F2762-F138-4A5C-976F-8EAC2B608ADB}">
              <a16:predDERef xmlns:a16="http://schemas.microsoft.com/office/drawing/2014/main" pred="{6B264C19-62B6-4992-8CE5-BA9A10993601}"/>
            </a:ext>
          </a:extLst>
        </xdr:cNvPr>
        <xdr:cNvPicPr>
          <a:picLocks noChangeAspect="1"/>
        </xdr:cNvPicPr>
      </xdr:nvPicPr>
      <xdr:blipFill>
        <a:blip xmlns:r="http://schemas.openxmlformats.org/officeDocument/2006/relationships" r:embed="rId3"/>
        <a:stretch>
          <a:fillRect/>
        </a:stretch>
      </xdr:blipFill>
      <xdr:spPr>
        <a:xfrm>
          <a:off x="3343275" y="17802225"/>
          <a:ext cx="3295650" cy="2200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4419600</xdr:colOff>
      <xdr:row>601</xdr:row>
      <xdr:rowOff>285750</xdr:rowOff>
    </xdr:from>
    <xdr:to>
      <xdr:col>4</xdr:col>
      <xdr:colOff>276225</xdr:colOff>
      <xdr:row>609</xdr:row>
      <xdr:rowOff>238125</xdr:rowOff>
    </xdr:to>
    <xdr:pic>
      <xdr:nvPicPr>
        <xdr:cNvPr id="2" name="2 Imagen">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81600" y="257556000"/>
          <a:ext cx="6972300" cy="3457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514350</xdr:colOff>
      <xdr:row>333</xdr:row>
      <xdr:rowOff>133350</xdr:rowOff>
    </xdr:from>
    <xdr:to>
      <xdr:col>11</xdr:col>
      <xdr:colOff>105656</xdr:colOff>
      <xdr:row>342</xdr:row>
      <xdr:rowOff>210111</xdr:rowOff>
    </xdr:to>
    <xdr:pic>
      <xdr:nvPicPr>
        <xdr:cNvPr id="4" name="Imagen 3">
          <a:extLst>
            <a:ext uri="{FF2B5EF4-FFF2-40B4-BE49-F238E27FC236}">
              <a16:creationId xmlns:a16="http://schemas.microsoft.com/office/drawing/2014/main" id="{4F974A7C-562B-3EED-2DF7-02C8091E0EAB}"/>
            </a:ext>
          </a:extLst>
        </xdr:cNvPr>
        <xdr:cNvPicPr>
          <a:picLocks noChangeAspect="1"/>
        </xdr:cNvPicPr>
      </xdr:nvPicPr>
      <xdr:blipFill>
        <a:blip xmlns:r="http://schemas.openxmlformats.org/officeDocument/2006/relationships" r:embed="rId2"/>
        <a:stretch>
          <a:fillRect/>
        </a:stretch>
      </xdr:blipFill>
      <xdr:spPr>
        <a:xfrm>
          <a:off x="21526500" y="146627850"/>
          <a:ext cx="6315956" cy="40201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466725</xdr:colOff>
      <xdr:row>0</xdr:row>
      <xdr:rowOff>114300</xdr:rowOff>
    </xdr:from>
    <xdr:to>
      <xdr:col>22</xdr:col>
      <xdr:colOff>123825</xdr:colOff>
      <xdr:row>12</xdr:row>
      <xdr:rowOff>28575</xdr:rowOff>
    </xdr:to>
    <xdr:pic>
      <xdr:nvPicPr>
        <xdr:cNvPr id="2" name="Imagen 1">
          <a:extLst>
            <a:ext uri="{FF2B5EF4-FFF2-40B4-BE49-F238E27FC236}">
              <a16:creationId xmlns:a16="http://schemas.microsoft.com/office/drawing/2014/main" id="{87FD92C5-23DC-6B9A-2C7C-86010E892321}"/>
            </a:ext>
          </a:extLst>
        </xdr:cNvPr>
        <xdr:cNvPicPr>
          <a:picLocks noChangeAspect="1"/>
        </xdr:cNvPicPr>
      </xdr:nvPicPr>
      <xdr:blipFill>
        <a:blip xmlns:r="http://schemas.openxmlformats.org/officeDocument/2006/relationships" r:embed="rId1"/>
        <a:stretch>
          <a:fillRect/>
        </a:stretch>
      </xdr:blipFill>
      <xdr:spPr>
        <a:xfrm>
          <a:off x="7696200" y="114300"/>
          <a:ext cx="7867650" cy="18859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66675</xdr:colOff>
      <xdr:row>1</xdr:row>
      <xdr:rowOff>47625</xdr:rowOff>
    </xdr:from>
    <xdr:to>
      <xdr:col>24</xdr:col>
      <xdr:colOff>171450</xdr:colOff>
      <xdr:row>12</xdr:row>
      <xdr:rowOff>104775</xdr:rowOff>
    </xdr:to>
    <xdr:pic>
      <xdr:nvPicPr>
        <xdr:cNvPr id="9" name="Imagen 1">
          <a:extLst>
            <a:ext uri="{FF2B5EF4-FFF2-40B4-BE49-F238E27FC236}">
              <a16:creationId xmlns:a16="http://schemas.microsoft.com/office/drawing/2014/main" id="{877AAAE6-D49A-B82D-0291-AE2617CCD15C}"/>
            </a:ext>
          </a:extLst>
        </xdr:cNvPr>
        <xdr:cNvPicPr>
          <a:picLocks noChangeAspect="1"/>
        </xdr:cNvPicPr>
      </xdr:nvPicPr>
      <xdr:blipFill>
        <a:blip xmlns:r="http://schemas.openxmlformats.org/officeDocument/2006/relationships" r:embed="rId1"/>
        <a:stretch>
          <a:fillRect/>
        </a:stretch>
      </xdr:blipFill>
      <xdr:spPr>
        <a:xfrm>
          <a:off x="6162675" y="209550"/>
          <a:ext cx="8639175" cy="18383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114300</xdr:colOff>
      <xdr:row>0</xdr:row>
      <xdr:rowOff>142875</xdr:rowOff>
    </xdr:from>
    <xdr:to>
      <xdr:col>7</xdr:col>
      <xdr:colOff>838200</xdr:colOff>
      <xdr:row>13</xdr:row>
      <xdr:rowOff>47625</xdr:rowOff>
    </xdr:to>
    <xdr:pic>
      <xdr:nvPicPr>
        <xdr:cNvPr id="2" name="Imagen 1">
          <a:extLst>
            <a:ext uri="{FF2B5EF4-FFF2-40B4-BE49-F238E27FC236}">
              <a16:creationId xmlns:a16="http://schemas.microsoft.com/office/drawing/2014/main" id="{C27DF242-4F19-9096-2173-004FAC61EF84}"/>
            </a:ext>
          </a:extLst>
        </xdr:cNvPr>
        <xdr:cNvPicPr>
          <a:picLocks noChangeAspect="1"/>
        </xdr:cNvPicPr>
      </xdr:nvPicPr>
      <xdr:blipFill>
        <a:blip xmlns:r="http://schemas.openxmlformats.org/officeDocument/2006/relationships" r:embed="rId1"/>
        <a:stretch>
          <a:fillRect/>
        </a:stretch>
      </xdr:blipFill>
      <xdr:spPr>
        <a:xfrm>
          <a:off x="723900" y="142875"/>
          <a:ext cx="4572000" cy="20097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50.3\respaldos\Proceso%20Servicios%20Ciudadanos%20y%20T&#233;cnicos\2021\Respaldo%20Cobros%20y%20Patentes\EXP-PMR-FMT-104-2021\EXP-000-PMR-FMT-104-000000000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INCIAS"/>
      <sheetName val="REQUISITOS FMT 104"/>
      <sheetName val=" FMT 104 TOMA DATOS"/>
      <sheetName val="DECLARACIÓN JURADA"/>
      <sheetName val="CONSTANCIA INS"/>
      <sheetName val="CONSTANCIA REQUISITOS"/>
      <sheetName val="ANTIGUA DECLARA"/>
      <sheetName val="RMU"/>
      <sheetName val="RESOLUCIÓN PSF"/>
      <sheetName val="CERTIFICADO PSF"/>
      <sheetName val="CALCULO LICENCIA"/>
      <sheetName val="RESOLUCION COMERCIAL"/>
      <sheetName val="TRASLADO"/>
      <sheetName val="CERTIFICADO"/>
      <sheetName val="PARÁMETROS"/>
      <sheetName val="INFORME LICORES"/>
      <sheetName val="RESOLUCION LICORES"/>
      <sheetName val="CERTIFICADO LICORES "/>
      <sheetName val="DECLARACIÓN JURADA  (3)"/>
      <sheetName val="FMT 021"/>
      <sheetName val="CIUU"/>
      <sheetName val="SIGRAM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F8:F33" totalsRowShown="0" headerRowDxfId="30" dataDxfId="29">
  <autoFilter ref="F8:F33" xr:uid="{00000000-0009-0000-0100-000001000000}"/>
  <tableColumns count="1">
    <tableColumn id="1" xr3:uid="{00000000-0010-0000-0000-000001000000}" name="HORARIO" dataDxfId="28"/>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a4" displayName="Tabla4" ref="F49:F54" totalsRowShown="0" headerRowDxfId="27" dataDxfId="26">
  <autoFilter ref="F49:F54" xr:uid="{00000000-0009-0000-0100-000004000000}"/>
  <tableColumns count="1">
    <tableColumn id="1" xr3:uid="{00000000-0010-0000-0100-000001000000}" name="SENASA" dataDxfId="25"/>
  </tableColumns>
  <tableStyleInfo name="TableStyleDark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a5" displayName="Tabla5" ref="Q10:R52" totalsRowShown="0" headerRowDxfId="24" headerRowBorderDxfId="23" tableBorderDxfId="22" totalsRowBorderDxfId="21">
  <autoFilter ref="Q10:R52" xr:uid="{00000000-0009-0000-0100-000005000000}"/>
  <tableColumns count="2">
    <tableColumn id="2" xr3:uid="{00000000-0010-0000-0200-000002000000}" name="Columna2" dataDxfId="20"/>
    <tableColumn id="3" xr3:uid="{00000000-0010-0000-0200-000003000000}" name="Columna12" dataDxfId="19"/>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a2" displayName="Tabla2" ref="M8:N152" totalsRowShown="0" headerRowBorderDxfId="18" tableBorderDxfId="17">
  <autoFilter ref="M8:N152" xr:uid="{00000000-0009-0000-0100-000002000000}"/>
  <tableColumns count="2">
    <tableColumn id="1" xr3:uid="{00000000-0010-0000-0300-000001000000}" name="El Permiso Sanitario de Funcionamiento se otorga a los establecimientos que albergan las siguientes actividades" dataDxfId="16" dataCellStyle="Normal 2"/>
    <tableColumn id="2" xr3:uid="{00000000-0010-0000-0300-000002000000}" name="Equivalencia al CIIU 3" dataDxfId="15"/>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a3" displayName="Tabla3" ref="I154:I181" totalsRowShown="0" dataDxfId="14">
  <autoFilter ref="I154:I181" xr:uid="{00000000-0009-0000-0100-000003000000}"/>
  <tableColumns count="1">
    <tableColumn id="1" xr3:uid="{00000000-0010-0000-0400-000001000000}" name="Columna1" dataDxfId="1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E155:F205" totalsRowShown="0" headerRowDxfId="12" dataDxfId="11">
  <autoFilter ref="E155:F205" xr:uid="{00000000-0009-0000-0100-000006000000}"/>
  <tableColumns count="2">
    <tableColumn id="1" xr3:uid="{00000000-0010-0000-0500-000001000000}" name="Columna1" dataDxfId="10"/>
    <tableColumn id="2" xr3:uid="{00000000-0010-0000-0500-000002000000}" name="Columna2" dataDxfId="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7" displayName="Tabla7" ref="D155:D157" totalsRowShown="0" headerRowDxfId="8" dataDxfId="7">
  <autoFilter ref="D155:D157" xr:uid="{00000000-0009-0000-0100-000007000000}"/>
  <tableColumns count="1">
    <tableColumn id="1" xr3:uid="{00000000-0010-0000-0600-000001000000}" name="Columna1" dataDxfId="6"/>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a9" displayName="Tabla9" ref="M335:P344" totalsRowShown="0" tableBorderDxfId="5">
  <autoFilter ref="M335:P344" xr:uid="{00000000-0009-0000-0100-000009000000}"/>
  <tableColumns count="4">
    <tableColumn id="1" xr3:uid="{00000000-0010-0000-0700-000001000000}" name="CATEGORÍAS" dataDxfId="4"/>
    <tableColumn id="2" xr3:uid="{00000000-0010-0000-0700-000002000000}" name="SIGLAS" dataDxfId="3"/>
    <tableColumn id="3" xr3:uid="{00000000-0010-0000-0700-000003000000}" name="SALARIOS" dataDxfId="2"/>
    <tableColumn id="4" xr3:uid="{00000000-0010-0000-0700-000004000000}" name="Columna1" dataDxfId="1"/>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a11" displayName="Tabla11" ref="B590:D602" headerRowCount="0" totalsRowShown="0">
  <tableColumns count="3">
    <tableColumn id="1" xr3:uid="{00000000-0010-0000-0900-000001000000}" name="Columna1"/>
    <tableColumn id="2" xr3:uid="{00000000-0010-0000-0900-000002000000}" name="Columna2" dataDxfId="0"/>
    <tableColumn id="3" xr3:uid="{00000000-0010-0000-0900-000003000000}" name="Columna3"/>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table" Target="../tables/table3.xml"/><Relationship Id="rId13" Type="http://schemas.openxmlformats.org/officeDocument/2006/relationships/table" Target="../tables/table8.xml"/><Relationship Id="rId3" Type="http://schemas.openxmlformats.org/officeDocument/2006/relationships/hyperlink" Target="mailto:kristyporrasarias@gmail.com" TargetMode="External"/><Relationship Id="rId7" Type="http://schemas.openxmlformats.org/officeDocument/2006/relationships/table" Target="../tables/table2.xml"/><Relationship Id="rId12" Type="http://schemas.openxmlformats.org/officeDocument/2006/relationships/table" Target="../tables/table7.xml"/><Relationship Id="rId2" Type="http://schemas.openxmlformats.org/officeDocument/2006/relationships/hyperlink" Target="mailto:fperez@tilaran.go.cr" TargetMode="External"/><Relationship Id="rId1" Type="http://schemas.openxmlformats.org/officeDocument/2006/relationships/hyperlink" Target="mailto:fperez@tilaran.go.cr" TargetMode="External"/><Relationship Id="rId6" Type="http://schemas.openxmlformats.org/officeDocument/2006/relationships/table" Target="../tables/table1.xml"/><Relationship Id="rId11" Type="http://schemas.openxmlformats.org/officeDocument/2006/relationships/table" Target="../tables/table6.xml"/><Relationship Id="rId5" Type="http://schemas.openxmlformats.org/officeDocument/2006/relationships/drawing" Target="../drawings/drawing4.xml"/><Relationship Id="rId10" Type="http://schemas.openxmlformats.org/officeDocument/2006/relationships/table" Target="../tables/table5.xml"/><Relationship Id="rId4" Type="http://schemas.openxmlformats.org/officeDocument/2006/relationships/printerSettings" Target="../printerSettings/printerSettings4.bin"/><Relationship Id="rId9" Type="http://schemas.openxmlformats.org/officeDocument/2006/relationships/table" Target="../tables/table4.xml"/><Relationship Id="rId1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5360-3AC1-47C4-B316-514DA09284D3}">
  <dimension ref="A1:AH61"/>
  <sheetViews>
    <sheetView tabSelected="1" topLeftCell="A41" zoomScale="115" zoomScaleNormal="115" workbookViewId="0">
      <selection activeCell="T21" sqref="T21"/>
    </sheetView>
  </sheetViews>
  <sheetFormatPr baseColWidth="10" defaultColWidth="4.7109375" defaultRowHeight="20.100000000000001" customHeight="1" x14ac:dyDescent="0.25"/>
  <cols>
    <col min="1" max="13" width="4.7109375" style="302" customWidth="1"/>
    <col min="14" max="14" width="6.140625" style="302" customWidth="1"/>
    <col min="15" max="15" width="5.7109375" style="302" customWidth="1"/>
    <col min="16" max="21" width="4.7109375" style="302" customWidth="1"/>
    <col min="22" max="24" width="4.7109375" style="302"/>
    <col min="25" max="39" width="4.7109375" style="302" customWidth="1"/>
    <col min="40" max="16384" width="4.7109375" style="302"/>
  </cols>
  <sheetData>
    <row r="1" spans="1:21" ht="20.100000000000001" customHeight="1" x14ac:dyDescent="0.25">
      <c r="A1" s="478" t="s">
        <v>0</v>
      </c>
      <c r="B1" s="478"/>
      <c r="C1" s="478"/>
      <c r="D1" s="478"/>
      <c r="E1" s="478"/>
      <c r="F1" s="478"/>
      <c r="G1" s="478"/>
      <c r="H1" s="478"/>
      <c r="I1" s="478"/>
      <c r="J1" s="478"/>
      <c r="K1" s="478"/>
      <c r="L1" s="478"/>
      <c r="M1" s="478"/>
      <c r="N1" s="478"/>
      <c r="O1" s="478"/>
      <c r="P1" s="478"/>
      <c r="Q1" s="478"/>
      <c r="R1" s="478"/>
      <c r="S1" s="478"/>
      <c r="T1" s="478"/>
      <c r="U1" s="478"/>
    </row>
    <row r="2" spans="1:21" ht="20.100000000000001" customHeight="1" x14ac:dyDescent="0.25">
      <c r="A2" s="479" t="s">
        <v>1</v>
      </c>
      <c r="B2" s="479"/>
      <c r="C2" s="479"/>
      <c r="D2" s="479"/>
      <c r="E2" s="479"/>
      <c r="F2" s="479"/>
      <c r="G2" s="479"/>
      <c r="H2" s="479"/>
      <c r="I2" s="479"/>
      <c r="J2" s="479"/>
      <c r="K2" s="479"/>
      <c r="L2" s="479"/>
      <c r="M2" s="479"/>
      <c r="N2" s="479"/>
      <c r="O2" s="479"/>
      <c r="P2" s="479"/>
      <c r="Q2" s="479"/>
      <c r="R2" s="479"/>
      <c r="S2" s="479"/>
      <c r="T2" s="479"/>
      <c r="U2" s="479"/>
    </row>
    <row r="3" spans="1:21" ht="20.100000000000001" customHeight="1" x14ac:dyDescent="0.25">
      <c r="A3" s="314"/>
      <c r="B3" s="314"/>
      <c r="C3" s="314"/>
      <c r="D3" s="314"/>
      <c r="E3" s="314"/>
      <c r="F3" s="314"/>
      <c r="G3" s="314"/>
      <c r="H3" s="314"/>
      <c r="I3" s="314"/>
      <c r="J3" s="314"/>
      <c r="K3" s="314"/>
      <c r="L3" s="314"/>
      <c r="M3" s="314"/>
      <c r="N3" s="314"/>
      <c r="O3" s="314"/>
      <c r="P3" s="314"/>
      <c r="Q3" s="314"/>
      <c r="R3" s="480">
        <v>2026</v>
      </c>
      <c r="S3" s="480"/>
      <c r="T3" s="480"/>
      <c r="U3" s="480"/>
    </row>
    <row r="4" spans="1:21" ht="20.100000000000001" customHeight="1" x14ac:dyDescent="0.25">
      <c r="A4" s="472" t="s">
        <v>2</v>
      </c>
      <c r="B4" s="472"/>
      <c r="C4" s="472"/>
      <c r="D4" s="472"/>
      <c r="E4" s="472"/>
      <c r="F4" s="472"/>
      <c r="G4" s="472"/>
      <c r="H4" s="472"/>
      <c r="I4" s="472"/>
      <c r="J4" s="472"/>
      <c r="K4" s="472"/>
      <c r="L4" s="472"/>
      <c r="M4" s="472"/>
      <c r="N4" s="472"/>
      <c r="O4" s="472"/>
      <c r="P4" s="472"/>
      <c r="Q4" s="472"/>
      <c r="R4" s="472"/>
      <c r="S4" s="472"/>
      <c r="T4" s="472"/>
      <c r="U4" s="472"/>
    </row>
    <row r="5" spans="1:21" ht="20.100000000000001" customHeight="1" x14ac:dyDescent="0.25">
      <c r="A5" s="481" t="str">
        <f>VLOOKUP(R3,PARÁMETROS!D613:E617,2)</f>
        <v>Del 01 de enero 2025al 31 de diciembre de 2025</v>
      </c>
      <c r="B5" s="481"/>
      <c r="C5" s="481"/>
      <c r="D5" s="481"/>
      <c r="E5" s="481"/>
      <c r="F5" s="481"/>
      <c r="G5" s="481"/>
      <c r="H5" s="481"/>
      <c r="I5" s="481"/>
      <c r="J5" s="481"/>
      <c r="K5" s="481"/>
      <c r="L5" s="481"/>
      <c r="M5" s="481"/>
      <c r="N5" s="481"/>
      <c r="O5" s="481"/>
      <c r="P5" s="481"/>
      <c r="Q5" s="481"/>
      <c r="R5" s="481"/>
      <c r="S5" s="481"/>
      <c r="T5" s="481"/>
      <c r="U5" s="481"/>
    </row>
    <row r="6" spans="1:21" ht="20.100000000000001" customHeight="1" x14ac:dyDescent="0.25">
      <c r="A6" s="316"/>
      <c r="B6" s="316"/>
      <c r="C6" s="316"/>
      <c r="D6" s="316"/>
      <c r="E6" s="316"/>
      <c r="F6" s="316"/>
      <c r="G6" s="316"/>
      <c r="H6" s="316"/>
      <c r="I6" s="316"/>
      <c r="J6" s="316"/>
      <c r="K6" s="316"/>
      <c r="L6" s="316"/>
      <c r="M6" s="316"/>
      <c r="N6" s="316"/>
      <c r="O6" s="316"/>
      <c r="P6" s="316"/>
      <c r="Q6" s="316"/>
      <c r="R6" s="316"/>
      <c r="S6" s="316"/>
      <c r="T6" s="316"/>
      <c r="U6" s="316"/>
    </row>
    <row r="7" spans="1:21" ht="20.100000000000001" customHeight="1" x14ac:dyDescent="0.25">
      <c r="A7" s="484"/>
      <c r="B7" s="484"/>
      <c r="C7" s="484"/>
      <c r="D7" s="484"/>
      <c r="E7" s="484"/>
      <c r="F7" s="484"/>
      <c r="G7" s="484"/>
      <c r="H7" s="484"/>
      <c r="I7" s="484"/>
      <c r="J7" s="484"/>
      <c r="K7" s="484"/>
      <c r="L7" s="484"/>
      <c r="M7" s="484"/>
      <c r="N7" s="484"/>
      <c r="O7" s="484"/>
      <c r="P7" s="484"/>
      <c r="Q7" s="484"/>
      <c r="R7" s="484"/>
      <c r="S7" s="484"/>
      <c r="T7" s="484"/>
      <c r="U7" s="315"/>
    </row>
    <row r="8" spans="1:21" s="208" customFormat="1" ht="20.100000000000001" customHeight="1" x14ac:dyDescent="0.2">
      <c r="A8" s="317"/>
      <c r="B8" s="317"/>
      <c r="C8" s="317"/>
      <c r="D8" s="317"/>
      <c r="E8" s="317"/>
      <c r="F8" s="317"/>
      <c r="G8" s="317"/>
      <c r="H8" s="317"/>
      <c r="I8" s="317"/>
      <c r="J8" s="317"/>
      <c r="K8" s="317"/>
      <c r="L8" s="317"/>
      <c r="M8" s="317"/>
      <c r="N8" s="317"/>
      <c r="O8" s="317"/>
      <c r="P8" s="317"/>
      <c r="Q8" s="317"/>
      <c r="R8" s="317"/>
      <c r="S8" s="317"/>
      <c r="T8" s="317"/>
      <c r="U8" s="317"/>
    </row>
    <row r="9" spans="1:21" ht="20.100000000000001" customHeight="1" x14ac:dyDescent="0.25">
      <c r="A9" s="329" t="s">
        <v>3</v>
      </c>
      <c r="B9" s="318"/>
      <c r="C9" s="318"/>
      <c r="D9" s="318"/>
      <c r="E9" s="318"/>
      <c r="F9" s="482"/>
      <c r="G9" s="482"/>
      <c r="H9" s="482"/>
      <c r="I9" s="482"/>
      <c r="J9" s="482"/>
      <c r="K9" s="482"/>
      <c r="L9" s="482"/>
      <c r="M9" s="482"/>
      <c r="N9" s="482"/>
      <c r="O9" s="482"/>
      <c r="P9" s="329" t="s">
        <v>4</v>
      </c>
      <c r="Q9" s="208"/>
      <c r="R9" s="482"/>
      <c r="S9" s="482"/>
      <c r="T9" s="482"/>
      <c r="U9" s="482"/>
    </row>
    <row r="10" spans="1:21" ht="20.100000000000001" customHeight="1" x14ac:dyDescent="0.25">
      <c r="A10" s="329" t="s">
        <v>5</v>
      </c>
      <c r="B10" s="318"/>
      <c r="C10" s="318"/>
      <c r="D10" s="318"/>
      <c r="E10" s="318"/>
      <c r="F10" s="459"/>
      <c r="G10" s="459"/>
      <c r="H10" s="459"/>
      <c r="I10" s="459"/>
      <c r="J10" s="459"/>
      <c r="K10" s="459"/>
      <c r="L10" s="459"/>
      <c r="M10" s="459"/>
      <c r="N10" s="459"/>
      <c r="O10" s="459"/>
      <c r="P10" s="329" t="s">
        <v>4</v>
      </c>
      <c r="Q10" s="208"/>
      <c r="R10" s="483"/>
      <c r="S10" s="483"/>
      <c r="T10" s="483"/>
      <c r="U10" s="483"/>
    </row>
    <row r="11" spans="1:21" s="319" customFormat="1" ht="20.100000000000001" customHeight="1" x14ac:dyDescent="0.2">
      <c r="A11" s="329" t="s">
        <v>6</v>
      </c>
      <c r="B11" s="301"/>
      <c r="C11" s="301"/>
      <c r="D11" s="301"/>
      <c r="E11" s="301"/>
      <c r="F11" s="301"/>
      <c r="G11" s="301"/>
      <c r="H11" s="460" t="s">
        <v>7</v>
      </c>
      <c r="I11" s="460"/>
      <c r="J11" s="460"/>
      <c r="K11" s="460"/>
      <c r="L11" s="460"/>
      <c r="M11" s="460"/>
      <c r="N11" s="460"/>
      <c r="O11" s="460"/>
      <c r="P11" s="458" t="s">
        <v>8</v>
      </c>
      <c r="Q11" s="458"/>
      <c r="R11" s="459"/>
      <c r="S11" s="459"/>
      <c r="T11" s="459"/>
      <c r="U11" s="459"/>
    </row>
    <row r="12" spans="1:21" s="319" customFormat="1" ht="20.100000000000001" customHeight="1" x14ac:dyDescent="0.2">
      <c r="A12" s="329" t="s">
        <v>9</v>
      </c>
      <c r="B12" s="318"/>
      <c r="C12" s="318"/>
      <c r="D12" s="320"/>
      <c r="E12" s="320"/>
      <c r="F12" s="461"/>
      <c r="G12" s="462"/>
      <c r="H12" s="462"/>
      <c r="I12" s="462"/>
      <c r="J12" s="462"/>
      <c r="K12" s="462"/>
      <c r="L12" s="462"/>
      <c r="M12" s="462"/>
      <c r="N12" s="462"/>
      <c r="O12" s="462"/>
      <c r="P12" s="462"/>
      <c r="Q12" s="462"/>
      <c r="R12" s="462"/>
      <c r="S12" s="462"/>
      <c r="T12" s="462"/>
      <c r="U12" s="462"/>
    </row>
    <row r="13" spans="1:21" ht="20.100000000000001" customHeight="1" x14ac:dyDescent="0.25">
      <c r="A13" s="329" t="s">
        <v>10</v>
      </c>
      <c r="F13" s="474"/>
      <c r="G13" s="474"/>
      <c r="H13" s="474"/>
      <c r="I13" s="474"/>
      <c r="J13" s="474"/>
      <c r="K13" s="474"/>
      <c r="L13" s="474"/>
      <c r="M13" s="474"/>
      <c r="N13" s="474"/>
      <c r="O13" s="474"/>
      <c r="P13" s="329" t="s">
        <v>11</v>
      </c>
      <c r="R13" s="474"/>
      <c r="S13" s="474"/>
      <c r="T13" s="474"/>
      <c r="U13" s="474"/>
    </row>
    <row r="14" spans="1:21" ht="20.100000000000001" customHeight="1" x14ac:dyDescent="0.25">
      <c r="A14" s="329" t="s">
        <v>12</v>
      </c>
      <c r="B14" s="322"/>
      <c r="C14" s="322"/>
      <c r="D14" s="322"/>
      <c r="E14" s="322"/>
      <c r="F14" s="459"/>
      <c r="G14" s="459"/>
      <c r="H14" s="459"/>
      <c r="I14" s="329" t="s">
        <v>13</v>
      </c>
      <c r="K14" s="323"/>
      <c r="L14" s="475"/>
      <c r="M14" s="475"/>
      <c r="N14" s="475"/>
      <c r="O14" s="329" t="s">
        <v>14</v>
      </c>
      <c r="P14" s="324"/>
      <c r="Q14" s="324"/>
      <c r="R14" s="475"/>
      <c r="S14" s="475"/>
      <c r="T14" s="475"/>
      <c r="U14" s="475"/>
    </row>
    <row r="15" spans="1:21" ht="20.100000000000001" customHeight="1" x14ac:dyDescent="0.25">
      <c r="A15" s="476" t="s">
        <v>15</v>
      </c>
      <c r="B15" s="476"/>
      <c r="C15" s="476"/>
      <c r="D15" s="476"/>
      <c r="E15" s="476"/>
      <c r="F15" s="476"/>
      <c r="G15" s="476"/>
      <c r="H15" s="476"/>
      <c r="I15" s="476"/>
      <c r="J15" s="476"/>
      <c r="K15" s="476"/>
      <c r="L15" s="476"/>
      <c r="M15" s="476"/>
      <c r="N15" s="476"/>
      <c r="O15" s="476"/>
      <c r="P15" s="476"/>
      <c r="Q15" s="476"/>
      <c r="R15" s="476"/>
      <c r="S15" s="476"/>
      <c r="T15" s="476"/>
      <c r="U15" s="476"/>
    </row>
    <row r="16" spans="1:21" ht="20.100000000000001" customHeight="1" x14ac:dyDescent="0.25">
      <c r="A16" s="476"/>
      <c r="B16" s="476"/>
      <c r="C16" s="476"/>
      <c r="D16" s="476"/>
      <c r="E16" s="476"/>
      <c r="F16" s="476"/>
      <c r="G16" s="476"/>
      <c r="H16" s="476"/>
      <c r="I16" s="476"/>
      <c r="J16" s="476"/>
      <c r="K16" s="476"/>
      <c r="L16" s="476"/>
      <c r="M16" s="476"/>
      <c r="N16" s="476"/>
      <c r="O16" s="476"/>
      <c r="P16" s="476"/>
      <c r="Q16" s="476"/>
      <c r="R16" s="476"/>
      <c r="S16" s="476"/>
      <c r="T16" s="476"/>
      <c r="U16" s="476"/>
    </row>
    <row r="17" spans="1:34" ht="20.100000000000001" customHeight="1" x14ac:dyDescent="0.25">
      <c r="A17" s="476"/>
      <c r="B17" s="476"/>
      <c r="C17" s="476"/>
      <c r="D17" s="476"/>
      <c r="E17" s="476"/>
      <c r="F17" s="476"/>
      <c r="G17" s="476"/>
      <c r="H17" s="476"/>
      <c r="I17" s="476"/>
      <c r="J17" s="476"/>
      <c r="K17" s="476"/>
      <c r="L17" s="476"/>
      <c r="M17" s="476"/>
      <c r="N17" s="476"/>
      <c r="O17" s="476"/>
      <c r="P17" s="476"/>
      <c r="Q17" s="476"/>
      <c r="R17" s="476"/>
      <c r="S17" s="476"/>
      <c r="T17" s="476"/>
      <c r="U17" s="476"/>
    </row>
    <row r="18" spans="1:34" ht="20.100000000000001" customHeight="1" x14ac:dyDescent="0.25">
      <c r="A18" s="476"/>
      <c r="B18" s="476"/>
      <c r="C18" s="476"/>
      <c r="D18" s="476"/>
      <c r="E18" s="476"/>
      <c r="F18" s="476"/>
      <c r="G18" s="476"/>
      <c r="H18" s="476"/>
      <c r="I18" s="476"/>
      <c r="J18" s="476"/>
      <c r="K18" s="476"/>
      <c r="L18" s="476"/>
      <c r="M18" s="476"/>
      <c r="N18" s="476"/>
      <c r="O18" s="476"/>
      <c r="P18" s="476"/>
      <c r="Q18" s="476"/>
      <c r="R18" s="476"/>
      <c r="S18" s="476"/>
      <c r="T18" s="476"/>
      <c r="U18" s="476"/>
    </row>
    <row r="19" spans="1:34" ht="20.100000000000001" customHeight="1" x14ac:dyDescent="0.25">
      <c r="E19" s="302" t="s">
        <v>16</v>
      </c>
      <c r="G19" s="321"/>
      <c r="H19" s="303" t="s">
        <v>17</v>
      </c>
      <c r="I19" s="474"/>
      <c r="J19" s="474"/>
      <c r="K19" s="474"/>
      <c r="L19" s="302" t="s">
        <v>18</v>
      </c>
      <c r="N19" s="474"/>
      <c r="O19" s="474"/>
      <c r="P19" s="474"/>
      <c r="Q19" s="474"/>
      <c r="R19" s="325"/>
      <c r="S19" s="325"/>
      <c r="T19" s="325"/>
      <c r="U19" s="325"/>
    </row>
    <row r="20" spans="1:34" ht="20.100000000000001" customHeight="1" x14ac:dyDescent="0.25">
      <c r="G20" s="310"/>
      <c r="H20" s="303"/>
      <c r="I20" s="310"/>
      <c r="J20" s="310"/>
      <c r="K20" s="310"/>
      <c r="N20" s="310"/>
      <c r="O20" s="310"/>
      <c r="P20" s="310"/>
      <c r="Q20" s="310"/>
      <c r="R20" s="325"/>
      <c r="S20" s="325"/>
      <c r="T20" s="325"/>
      <c r="U20" s="325"/>
      <c r="AH20" s="209"/>
    </row>
    <row r="21" spans="1:34" ht="20.100000000000001" customHeight="1" x14ac:dyDescent="0.25">
      <c r="G21" s="310"/>
      <c r="H21" s="303"/>
      <c r="I21" s="310"/>
      <c r="J21" s="310"/>
      <c r="K21" s="310"/>
      <c r="N21" s="310"/>
      <c r="O21" s="310"/>
      <c r="P21" s="310"/>
      <c r="Q21" s="310"/>
      <c r="R21" s="325"/>
      <c r="S21" s="325"/>
      <c r="T21" s="325"/>
      <c r="U21" s="325"/>
    </row>
    <row r="22" spans="1:34" ht="20.100000000000001" customHeight="1" x14ac:dyDescent="0.25">
      <c r="A22" s="326"/>
      <c r="H22" s="327"/>
      <c r="I22" s="327"/>
      <c r="J22" s="327"/>
      <c r="K22" s="327"/>
      <c r="L22" s="327"/>
      <c r="M22" s="327"/>
      <c r="N22" s="327"/>
    </row>
    <row r="23" spans="1:34" s="328" customFormat="1" ht="20.100000000000001" customHeight="1" x14ac:dyDescent="0.2">
      <c r="A23" s="458" t="s">
        <v>19</v>
      </c>
      <c r="B23" s="458"/>
      <c r="C23" s="458"/>
      <c r="D23" s="458"/>
      <c r="E23" s="458"/>
      <c r="F23" s="458"/>
      <c r="G23" s="458"/>
      <c r="H23" s="458"/>
      <c r="I23" s="458"/>
      <c r="J23" s="458"/>
      <c r="K23" s="458"/>
      <c r="L23" s="458"/>
      <c r="M23" s="458"/>
      <c r="N23" s="458"/>
      <c r="O23" s="458"/>
      <c r="P23" s="458"/>
      <c r="Q23" s="458"/>
      <c r="R23" s="458"/>
      <c r="S23" s="458"/>
      <c r="T23" s="458"/>
      <c r="U23" s="458"/>
    </row>
    <row r="24" spans="1:34" s="328" customFormat="1" ht="20.100000000000001" customHeight="1" x14ac:dyDescent="0.2">
      <c r="A24" s="458" t="s">
        <v>20</v>
      </c>
      <c r="B24" s="458"/>
      <c r="C24" s="458"/>
      <c r="D24" s="458"/>
      <c r="E24" s="458"/>
      <c r="F24" s="458"/>
      <c r="G24" s="458"/>
      <c r="H24" s="458"/>
      <c r="I24" s="458"/>
      <c r="J24" s="458"/>
      <c r="K24" s="458"/>
      <c r="L24" s="458"/>
      <c r="M24" s="458"/>
      <c r="N24" s="458"/>
      <c r="O24" s="458"/>
      <c r="P24" s="458"/>
      <c r="Q24" s="458"/>
      <c r="R24" s="458"/>
      <c r="S24" s="458"/>
      <c r="T24" s="458"/>
      <c r="U24" s="458"/>
    </row>
    <row r="25" spans="1:34" ht="20.100000000000001" customHeight="1" x14ac:dyDescent="0.25">
      <c r="A25" s="326"/>
    </row>
    <row r="26" spans="1:34" ht="24.95" customHeight="1" x14ac:dyDescent="0.25">
      <c r="A26" s="329" t="s">
        <v>21</v>
      </c>
      <c r="B26" s="319"/>
      <c r="C26" s="319"/>
      <c r="D26" s="319"/>
      <c r="E26" s="319"/>
      <c r="F26" s="319"/>
      <c r="G26" s="319"/>
      <c r="H26" s="319"/>
      <c r="P26" s="302" t="s">
        <v>22</v>
      </c>
      <c r="Q26" s="470"/>
      <c r="R26" s="470"/>
      <c r="S26" s="470"/>
      <c r="T26" s="470"/>
      <c r="U26" s="470"/>
    </row>
    <row r="27" spans="1:34" ht="24.95" customHeight="1" x14ac:dyDescent="0.25">
      <c r="A27" s="329" t="s">
        <v>23</v>
      </c>
      <c r="B27" s="319"/>
      <c r="C27" s="319"/>
      <c r="D27" s="319"/>
      <c r="E27" s="319"/>
      <c r="F27" s="319"/>
      <c r="G27" s="319"/>
      <c r="H27" s="319"/>
      <c r="P27" s="302" t="s">
        <v>22</v>
      </c>
      <c r="Q27" s="470"/>
      <c r="R27" s="470"/>
      <c r="S27" s="470"/>
      <c r="T27" s="470"/>
      <c r="U27" s="470"/>
    </row>
    <row r="28" spans="1:34" ht="24.95" customHeight="1" x14ac:dyDescent="0.25">
      <c r="A28" s="329" t="s">
        <v>24</v>
      </c>
      <c r="P28" s="302" t="s">
        <v>22</v>
      </c>
      <c r="Q28" s="470"/>
      <c r="R28" s="470"/>
      <c r="S28" s="470"/>
      <c r="T28" s="470"/>
      <c r="U28" s="470"/>
    </row>
    <row r="29" spans="1:34" ht="24.95" customHeight="1" x14ac:dyDescent="0.25">
      <c r="A29" s="329" t="s">
        <v>25</v>
      </c>
      <c r="Q29" s="471"/>
      <c r="R29" s="471"/>
      <c r="S29" s="466" t="s">
        <v>26</v>
      </c>
      <c r="T29" s="466"/>
      <c r="U29" s="466"/>
    </row>
    <row r="30" spans="1:34" ht="20.100000000000001" customHeight="1" x14ac:dyDescent="0.25">
      <c r="A30" s="329"/>
      <c r="Q30" s="303"/>
      <c r="R30" s="303"/>
      <c r="S30" s="303"/>
      <c r="T30" s="303"/>
      <c r="U30" s="303"/>
    </row>
    <row r="31" spans="1:34" ht="20.100000000000001" customHeight="1" x14ac:dyDescent="0.25">
      <c r="A31" s="472"/>
      <c r="B31" s="472"/>
      <c r="C31" s="472"/>
      <c r="D31" s="472"/>
      <c r="E31" s="472"/>
      <c r="F31" s="472"/>
      <c r="G31" s="472"/>
      <c r="H31" s="472"/>
      <c r="I31" s="472"/>
      <c r="J31" s="472"/>
      <c r="K31" s="472"/>
      <c r="L31" s="472"/>
      <c r="M31" s="472"/>
      <c r="N31" s="472"/>
      <c r="O31" s="472"/>
      <c r="P31" s="472"/>
      <c r="Q31" s="472"/>
      <c r="R31" s="472"/>
      <c r="S31" s="472"/>
      <c r="T31" s="472"/>
      <c r="U31" s="315"/>
    </row>
    <row r="32" spans="1:34" ht="20.100000000000001" customHeight="1" x14ac:dyDescent="0.25">
      <c r="A32" s="326"/>
    </row>
    <row r="33" spans="1:21" ht="24.95" customHeight="1" x14ac:dyDescent="0.25">
      <c r="A33" s="477" t="s">
        <v>27</v>
      </c>
      <c r="B33" s="477"/>
      <c r="C33" s="477"/>
      <c r="D33" s="477"/>
      <c r="E33" s="477"/>
      <c r="F33" s="477"/>
      <c r="G33" s="477"/>
      <c r="H33" s="477"/>
      <c r="I33" s="477"/>
      <c r="J33" s="209"/>
      <c r="K33" s="209"/>
      <c r="L33" s="209"/>
      <c r="M33" s="209"/>
      <c r="O33" s="303"/>
      <c r="P33" s="303"/>
      <c r="Q33" s="468"/>
      <c r="R33" s="468"/>
      <c r="S33" s="468"/>
      <c r="T33" s="468"/>
      <c r="U33" s="468"/>
    </row>
    <row r="34" spans="1:21" ht="24.95" customHeight="1" x14ac:dyDescent="0.25">
      <c r="A34" s="477" t="s">
        <v>28</v>
      </c>
      <c r="B34" s="477"/>
      <c r="C34" s="477"/>
      <c r="D34" s="477"/>
      <c r="E34" s="477"/>
      <c r="F34" s="477"/>
      <c r="G34" s="477"/>
      <c r="H34" s="477"/>
      <c r="J34" s="209"/>
      <c r="K34" s="209"/>
      <c r="L34" s="209"/>
      <c r="M34" s="209"/>
      <c r="O34" s="303"/>
      <c r="P34" s="302" t="s">
        <v>22</v>
      </c>
      <c r="Q34" s="468"/>
      <c r="R34" s="468"/>
      <c r="S34" s="468"/>
      <c r="T34" s="468"/>
      <c r="U34" s="468"/>
    </row>
    <row r="35" spans="1:21" ht="20.100000000000001" customHeight="1" x14ac:dyDescent="0.25">
      <c r="A35" s="330"/>
      <c r="C35" s="469" t="s">
        <v>29</v>
      </c>
      <c r="D35" s="469"/>
      <c r="E35" s="469"/>
      <c r="F35" s="469"/>
      <c r="G35" s="469"/>
      <c r="H35" s="469"/>
      <c r="I35" s="469"/>
      <c r="J35" s="469"/>
      <c r="K35" s="469"/>
      <c r="L35" s="469"/>
      <c r="M35" s="469"/>
      <c r="N35" s="469"/>
      <c r="O35" s="469"/>
      <c r="P35" s="469"/>
      <c r="Q35" s="469"/>
      <c r="R35" s="469"/>
      <c r="S35" s="469"/>
    </row>
    <row r="36" spans="1:21" ht="20.100000000000001" customHeight="1" x14ac:dyDescent="0.25">
      <c r="A36" s="330"/>
    </row>
    <row r="37" spans="1:21" ht="20.100000000000001" customHeight="1" x14ac:dyDescent="0.25">
      <c r="A37" s="330"/>
    </row>
    <row r="38" spans="1:21" ht="20.100000000000001" customHeight="1" x14ac:dyDescent="0.25">
      <c r="A38" s="330"/>
    </row>
    <row r="39" spans="1:21" ht="20.100000000000001" customHeight="1" x14ac:dyDescent="0.25">
      <c r="A39" s="473" t="s">
        <v>30</v>
      </c>
      <c r="B39" s="473"/>
      <c r="C39" s="473"/>
      <c r="D39" s="473"/>
    </row>
    <row r="40" spans="1:21" ht="20.100000000000001" customHeight="1" x14ac:dyDescent="0.25">
      <c r="A40" s="332"/>
    </row>
    <row r="41" spans="1:21" ht="20.100000000000001" customHeight="1" x14ac:dyDescent="0.4">
      <c r="A41" s="333"/>
      <c r="B41" s="334"/>
      <c r="C41" s="319" t="s">
        <v>31</v>
      </c>
    </row>
    <row r="42" spans="1:21" ht="20.100000000000001" customHeight="1" x14ac:dyDescent="0.4">
      <c r="A42" s="335"/>
      <c r="B42" s="334"/>
      <c r="C42" s="319" t="s">
        <v>32</v>
      </c>
    </row>
    <row r="43" spans="1:21" ht="20.100000000000001" customHeight="1" x14ac:dyDescent="0.4">
      <c r="A43" s="333"/>
      <c r="B43" s="334"/>
      <c r="C43" s="319" t="s">
        <v>33</v>
      </c>
    </row>
    <row r="44" spans="1:21" ht="20.100000000000001" customHeight="1" x14ac:dyDescent="0.4">
      <c r="A44" s="331"/>
      <c r="B44" s="334"/>
      <c r="C44" s="319" t="s">
        <v>34</v>
      </c>
    </row>
    <row r="45" spans="1:21" ht="20.100000000000001" customHeight="1" x14ac:dyDescent="0.4">
      <c r="A45" s="331"/>
      <c r="B45" s="334"/>
      <c r="C45" s="319" t="s">
        <v>35</v>
      </c>
    </row>
    <row r="46" spans="1:21" ht="20.100000000000001" customHeight="1" x14ac:dyDescent="0.4">
      <c r="A46" s="333"/>
      <c r="B46" s="334"/>
      <c r="C46" s="319" t="s">
        <v>36</v>
      </c>
    </row>
    <row r="47" spans="1:21" ht="20.100000000000001" customHeight="1" x14ac:dyDescent="0.4">
      <c r="A47" s="331"/>
      <c r="B47" s="334"/>
      <c r="C47" s="319" t="s">
        <v>37</v>
      </c>
    </row>
    <row r="48" spans="1:21" ht="20.100000000000001" customHeight="1" x14ac:dyDescent="0.25">
      <c r="A48" s="473" t="s">
        <v>38</v>
      </c>
      <c r="B48" s="473"/>
      <c r="C48" s="473"/>
      <c r="D48" s="473"/>
    </row>
    <row r="50" spans="1:21" ht="20.100000000000001" customHeight="1" x14ac:dyDescent="0.25">
      <c r="A50" s="467" t="s">
        <v>39</v>
      </c>
      <c r="B50" s="467"/>
      <c r="C50" s="467"/>
      <c r="D50" s="467"/>
      <c r="E50" s="467"/>
      <c r="F50" s="467"/>
      <c r="G50" s="467"/>
      <c r="H50" s="467"/>
      <c r="I50" s="467"/>
      <c r="J50" s="467"/>
      <c r="K50" s="467"/>
      <c r="L50" s="467"/>
      <c r="M50" s="467"/>
      <c r="N50" s="467"/>
      <c r="O50" s="467"/>
      <c r="P50" s="467"/>
      <c r="Q50" s="467"/>
      <c r="R50" s="467"/>
      <c r="S50" s="467"/>
      <c r="T50" s="304"/>
      <c r="U50" s="304"/>
    </row>
    <row r="51" spans="1:21" ht="29.25" customHeight="1" x14ac:dyDescent="0.25">
      <c r="A51" s="319" t="s">
        <v>40</v>
      </c>
      <c r="B51" s="319"/>
      <c r="C51" s="319"/>
      <c r="D51" s="319"/>
      <c r="E51" s="304"/>
      <c r="F51" s="304"/>
      <c r="G51" s="304"/>
      <c r="H51" s="304"/>
      <c r="I51" s="304"/>
      <c r="J51" s="304"/>
      <c r="K51" s="304"/>
      <c r="N51" s="464">
        <f>VLOOKUP(R3,PARÁMETROS!D613:F617,3,0)</f>
        <v>46142</v>
      </c>
      <c r="O51" s="464"/>
      <c r="P51" s="464"/>
      <c r="Q51" s="464"/>
      <c r="R51" s="464"/>
      <c r="S51" s="464"/>
      <c r="T51" s="304"/>
      <c r="U51" s="304"/>
    </row>
    <row r="52" spans="1:21" ht="20.100000000000001" customHeight="1" x14ac:dyDescent="0.25">
      <c r="A52" s="319" t="s">
        <v>41</v>
      </c>
      <c r="B52" s="304"/>
      <c r="C52" s="304"/>
      <c r="D52" s="304"/>
      <c r="E52" s="304"/>
      <c r="F52" s="304"/>
      <c r="G52" s="304"/>
      <c r="H52" s="304"/>
      <c r="I52" s="304"/>
      <c r="J52" s="304"/>
      <c r="K52" s="304"/>
      <c r="L52" s="336"/>
      <c r="M52" s="336"/>
      <c r="N52" s="336"/>
      <c r="O52" s="336"/>
      <c r="P52" s="336"/>
      <c r="Q52" s="336"/>
      <c r="R52" s="336"/>
      <c r="S52" s="304"/>
      <c r="T52" s="304"/>
      <c r="U52" s="304"/>
    </row>
    <row r="53" spans="1:21" ht="20.100000000000001" customHeight="1" x14ac:dyDescent="0.25">
      <c r="A53" s="304"/>
      <c r="B53" s="304"/>
      <c r="C53" s="304"/>
      <c r="D53" s="304"/>
      <c r="E53" s="304"/>
      <c r="F53" s="304"/>
      <c r="G53" s="304"/>
      <c r="H53" s="304"/>
      <c r="I53" s="304"/>
      <c r="J53" s="304"/>
      <c r="K53" s="304"/>
      <c r="L53" s="304"/>
      <c r="M53" s="304"/>
      <c r="N53" s="304"/>
      <c r="O53" s="304"/>
      <c r="P53" s="304"/>
      <c r="Q53" s="304"/>
      <c r="R53" s="304"/>
      <c r="S53" s="304"/>
      <c r="T53" s="304"/>
      <c r="U53" s="304"/>
    </row>
    <row r="54" spans="1:21" ht="20.100000000000001" customHeight="1" x14ac:dyDescent="0.25">
      <c r="A54" s="304"/>
      <c r="B54" s="304"/>
      <c r="C54" s="304"/>
      <c r="D54" s="304"/>
      <c r="E54" s="304"/>
      <c r="F54" s="304"/>
      <c r="G54" s="304"/>
      <c r="H54" s="304"/>
      <c r="I54" s="304"/>
      <c r="J54" s="304"/>
      <c r="K54" s="304"/>
      <c r="L54" s="304"/>
      <c r="S54" s="304"/>
      <c r="T54" s="304"/>
      <c r="U54" s="304"/>
    </row>
    <row r="55" spans="1:21" ht="20.100000000000001" customHeight="1" x14ac:dyDescent="0.25">
      <c r="A55" s="304"/>
      <c r="B55" s="304"/>
      <c r="C55" s="304"/>
      <c r="D55" s="304"/>
      <c r="E55" s="304"/>
      <c r="F55" s="304"/>
      <c r="G55" s="304"/>
      <c r="H55" s="304"/>
      <c r="I55" s="304"/>
      <c r="J55" s="304"/>
      <c r="K55" s="304"/>
      <c r="L55" s="304"/>
      <c r="M55" s="304"/>
      <c r="N55" s="304"/>
      <c r="O55" s="304"/>
      <c r="P55" s="304"/>
      <c r="Q55" s="304"/>
      <c r="R55" s="304"/>
      <c r="S55" s="304"/>
      <c r="T55" s="304"/>
      <c r="U55" s="304"/>
    </row>
    <row r="56" spans="1:21" ht="20.100000000000001" customHeight="1" x14ac:dyDescent="0.25">
      <c r="A56" s="304"/>
      <c r="B56" s="304"/>
      <c r="C56" s="304"/>
      <c r="D56" s="304"/>
      <c r="E56" s="304"/>
      <c r="F56" s="304"/>
      <c r="G56" s="304"/>
      <c r="H56" s="304"/>
      <c r="I56" s="304"/>
      <c r="J56" s="304"/>
      <c r="K56" s="304"/>
      <c r="L56" s="304"/>
      <c r="M56" s="304"/>
      <c r="N56" s="304"/>
      <c r="O56" s="304"/>
      <c r="P56" s="304"/>
      <c r="Q56" s="304"/>
      <c r="R56" s="304"/>
      <c r="S56" s="304"/>
      <c r="T56" s="304"/>
      <c r="U56" s="304"/>
    </row>
    <row r="57" spans="1:21" ht="20.100000000000001" customHeight="1" x14ac:dyDescent="0.25">
      <c r="A57" s="304"/>
      <c r="B57" s="304"/>
      <c r="C57" s="304"/>
      <c r="D57" s="304"/>
      <c r="E57" s="304"/>
      <c r="F57" s="304"/>
      <c r="G57" s="304"/>
      <c r="H57" s="304"/>
      <c r="I57" s="304"/>
      <c r="J57" s="304"/>
      <c r="K57" s="304"/>
      <c r="L57" s="304"/>
      <c r="M57" s="304"/>
      <c r="N57" s="304"/>
      <c r="O57" s="304"/>
      <c r="P57" s="304"/>
      <c r="Q57" s="304"/>
      <c r="R57" s="304"/>
      <c r="S57" s="304"/>
      <c r="T57" s="304"/>
      <c r="U57" s="304"/>
    </row>
    <row r="59" spans="1:21" ht="20.100000000000001" customHeight="1" x14ac:dyDescent="0.25">
      <c r="A59" s="465"/>
      <c r="B59" s="465"/>
      <c r="C59" s="465"/>
      <c r="D59" s="465"/>
      <c r="E59" s="465"/>
      <c r="F59" s="465"/>
      <c r="H59" s="465"/>
      <c r="I59" s="465"/>
      <c r="J59" s="465"/>
      <c r="K59" s="465"/>
      <c r="L59" s="465"/>
    </row>
    <row r="60" spans="1:21" ht="20.100000000000001" customHeight="1" x14ac:dyDescent="0.25">
      <c r="A60" s="466"/>
      <c r="B60" s="466"/>
      <c r="C60" s="466"/>
      <c r="D60" s="463"/>
      <c r="E60" s="463"/>
      <c r="F60" s="463"/>
      <c r="H60" s="466"/>
      <c r="I60" s="466"/>
      <c r="J60" s="463"/>
      <c r="K60" s="463"/>
      <c r="L60" s="463"/>
    </row>
    <row r="61" spans="1:21" ht="20.100000000000001" customHeight="1" x14ac:dyDescent="0.25">
      <c r="A61" s="463"/>
      <c r="B61" s="463"/>
      <c r="C61" s="463"/>
      <c r="D61" s="463"/>
      <c r="E61" s="463"/>
      <c r="F61" s="463"/>
      <c r="H61" s="463"/>
      <c r="I61" s="463"/>
      <c r="J61" s="463"/>
      <c r="K61" s="463"/>
      <c r="L61" s="463"/>
    </row>
  </sheetData>
  <protectedRanges>
    <protectedRange sqref="R3 F9:F10 A46:A47 R13:R14 F13:F14 L14 R9:R10 G19 I19 N19 Q26:Q29 Q33:Q34 A41:A43" name="Rango1"/>
    <protectedRange sqref="D11:D12 K11:K12 R11" name="Rango1_1"/>
  </protectedRanges>
  <mergeCells count="49">
    <mergeCell ref="F9:O9"/>
    <mergeCell ref="R9:U9"/>
    <mergeCell ref="F10:O10"/>
    <mergeCell ref="R10:U10"/>
    <mergeCell ref="A7:T7"/>
    <mergeCell ref="A1:U1"/>
    <mergeCell ref="A2:U2"/>
    <mergeCell ref="R3:U3"/>
    <mergeCell ref="A4:U4"/>
    <mergeCell ref="A5:U5"/>
    <mergeCell ref="A39:D39"/>
    <mergeCell ref="A48:D48"/>
    <mergeCell ref="Q26:U26"/>
    <mergeCell ref="F13:O13"/>
    <mergeCell ref="R13:U13"/>
    <mergeCell ref="F14:H14"/>
    <mergeCell ref="L14:N14"/>
    <mergeCell ref="R14:U14"/>
    <mergeCell ref="A15:U18"/>
    <mergeCell ref="I19:K19"/>
    <mergeCell ref="N19:Q19"/>
    <mergeCell ref="A23:U23"/>
    <mergeCell ref="A24:U24"/>
    <mergeCell ref="A33:I33"/>
    <mergeCell ref="Q33:U33"/>
    <mergeCell ref="A34:H34"/>
    <mergeCell ref="Q34:U34"/>
    <mergeCell ref="C35:S35"/>
    <mergeCell ref="Q27:U27"/>
    <mergeCell ref="Q28:U28"/>
    <mergeCell ref="Q29:R29"/>
    <mergeCell ref="S29:U29"/>
    <mergeCell ref="A31:T31"/>
    <mergeCell ref="P11:Q11"/>
    <mergeCell ref="R11:U11"/>
    <mergeCell ref="H11:O11"/>
    <mergeCell ref="F12:U12"/>
    <mergeCell ref="A61:C61"/>
    <mergeCell ref="D61:F61"/>
    <mergeCell ref="H61:I61"/>
    <mergeCell ref="J61:L61"/>
    <mergeCell ref="N51:S51"/>
    <mergeCell ref="A59:F59"/>
    <mergeCell ref="H59:L59"/>
    <mergeCell ref="A60:C60"/>
    <mergeCell ref="D60:F60"/>
    <mergeCell ref="H60:I60"/>
    <mergeCell ref="J60:L60"/>
    <mergeCell ref="A50:S50"/>
  </mergeCells>
  <printOptions horizontalCentered="1"/>
  <pageMargins left="0.31496062992125984" right="0.31496062992125984" top="0.74803149606299213" bottom="0.74803149606299213" header="0.31496062992125984" footer="0.31496062992125984"/>
  <pageSetup scale="90" orientation="portrait" horizontalDpi="1200" verticalDpi="300" r:id="rId1"/>
  <headerFooter alignWithMargins="0">
    <oddHeader xml:space="preserve">&amp;L&amp;F   &amp;20 </oddHead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26C2085-9C98-4E77-9392-B495F5DE7775}">
          <x14:formula1>
            <xm:f>PARÁMETROS!$D$613:$D$617</xm:f>
          </x14:formula1>
          <xm:sqref>R3:U3</xm:sqref>
        </x14:dataValidation>
        <x14:dataValidation type="list" allowBlank="1" showInputMessage="1" showErrorMessage="1" xr:uid="{9038FCCA-2A48-4294-BECA-72F135C32A27}">
          <x14:formula1>
            <xm:f>PARÁMETROS!$B$620:$B$623</xm:f>
          </x14:formula1>
          <xm:sqref>A41 A43 A46:A47</xm:sqref>
        </x14:dataValidation>
        <x14:dataValidation type="list" allowBlank="1" showInputMessage="1" showErrorMessage="1" xr:uid="{C409F40F-AFA4-4285-BAE7-0894D95BF760}">
          <x14:formula1>
            <xm:f>PARÁMETROS!$E$4:$E$6</xm:f>
          </x14:formula1>
          <xm:sqref>H11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F40"/>
  <sheetViews>
    <sheetView workbookViewId="0">
      <selection activeCell="B10" sqref="B10"/>
    </sheetView>
  </sheetViews>
  <sheetFormatPr baseColWidth="10" defaultColWidth="3.7109375" defaultRowHeight="15" customHeight="1" x14ac:dyDescent="0.25"/>
  <cols>
    <col min="1" max="1" width="2.28515625" style="307" customWidth="1"/>
    <col min="2" max="2" width="3.7109375" style="309"/>
    <col min="3" max="16384" width="3.7109375" style="307"/>
  </cols>
  <sheetData>
    <row r="2" spans="2:32" ht="15" customHeight="1" x14ac:dyDescent="0.25">
      <c r="B2" s="305" t="s">
        <v>0</v>
      </c>
      <c r="C2" s="306"/>
      <c r="D2" s="306"/>
      <c r="E2" s="306"/>
      <c r="F2" s="306"/>
      <c r="G2" s="306"/>
      <c r="H2" s="306"/>
      <c r="I2" s="306"/>
      <c r="J2" s="306"/>
      <c r="K2" s="306"/>
      <c r="L2" s="306"/>
      <c r="M2" s="306"/>
      <c r="N2" s="306"/>
      <c r="O2" s="306"/>
      <c r="P2" s="306"/>
      <c r="Q2" s="306"/>
      <c r="R2" s="306"/>
      <c r="S2" s="306"/>
      <c r="T2" s="306"/>
      <c r="U2" s="306"/>
      <c r="V2" s="306"/>
      <c r="W2" s="306"/>
      <c r="X2" s="306"/>
      <c r="Y2" s="306"/>
      <c r="Z2" s="306"/>
      <c r="AA2" s="306"/>
      <c r="AB2" s="306"/>
      <c r="AC2" s="306"/>
      <c r="AD2" s="306"/>
      <c r="AE2" s="306"/>
      <c r="AF2" s="306"/>
    </row>
    <row r="3" spans="2:32" ht="15" customHeight="1" x14ac:dyDescent="0.25">
      <c r="B3" s="306" t="s">
        <v>42</v>
      </c>
      <c r="C3" s="306"/>
      <c r="D3" s="306"/>
      <c r="E3" s="306"/>
      <c r="F3" s="306"/>
      <c r="G3" s="306"/>
      <c r="H3" s="306"/>
      <c r="I3" s="306"/>
      <c r="J3" s="306"/>
      <c r="K3" s="306"/>
      <c r="L3" s="306"/>
      <c r="M3" s="306"/>
      <c r="N3" s="306"/>
      <c r="O3" s="306"/>
      <c r="P3" s="306"/>
      <c r="Q3" s="306"/>
      <c r="R3" s="306"/>
      <c r="S3" s="306"/>
      <c r="T3" s="306"/>
      <c r="U3" s="306"/>
      <c r="V3" s="306"/>
      <c r="W3" s="306"/>
      <c r="X3" s="306"/>
      <c r="Y3" s="306"/>
      <c r="Z3" s="306"/>
      <c r="AA3" s="306"/>
      <c r="AB3" s="306"/>
      <c r="AC3" s="306"/>
      <c r="AD3" s="306"/>
      <c r="AE3" s="306"/>
      <c r="AF3" s="306"/>
    </row>
    <row r="4" spans="2:32" ht="15" customHeight="1" x14ac:dyDescent="0.25">
      <c r="B4" s="305" t="s">
        <v>43</v>
      </c>
      <c r="C4" s="306"/>
      <c r="D4" s="306"/>
      <c r="E4" s="306"/>
      <c r="F4" s="306"/>
      <c r="G4" s="306"/>
      <c r="H4" s="306"/>
      <c r="I4" s="306"/>
      <c r="J4" s="306"/>
      <c r="K4" s="306"/>
      <c r="L4" s="306"/>
      <c r="M4" s="306"/>
      <c r="N4" s="306"/>
      <c r="O4" s="306"/>
      <c r="P4" s="306"/>
      <c r="Q4" s="306"/>
      <c r="R4" s="306"/>
      <c r="S4" s="306"/>
      <c r="T4" s="306"/>
      <c r="U4" s="306"/>
      <c r="V4" s="306"/>
      <c r="W4" s="306"/>
      <c r="X4" s="306"/>
      <c r="Y4" s="306"/>
      <c r="Z4" s="306"/>
      <c r="AA4" s="306"/>
      <c r="AB4" s="306"/>
      <c r="AC4" s="306"/>
      <c r="AD4" s="306"/>
      <c r="AE4" s="306"/>
      <c r="AF4" s="306"/>
    </row>
    <row r="5" spans="2:32" ht="11.25" customHeight="1" x14ac:dyDescent="0.25">
      <c r="B5" s="308"/>
      <c r="C5" s="308"/>
      <c r="D5" s="308"/>
      <c r="E5" s="308"/>
      <c r="F5" s="308"/>
      <c r="G5" s="308"/>
      <c r="H5" s="308"/>
    </row>
    <row r="6" spans="2:32" ht="21.75" customHeight="1" x14ac:dyDescent="0.25">
      <c r="B6" s="484" t="s">
        <v>44</v>
      </c>
      <c r="C6" s="484"/>
      <c r="D6" s="484"/>
      <c r="E6" s="484"/>
      <c r="F6" s="484"/>
      <c r="G6" s="484"/>
      <c r="H6" s="484"/>
      <c r="I6" s="484"/>
      <c r="J6" s="484"/>
      <c r="K6" s="484"/>
      <c r="L6" s="484"/>
      <c r="M6" s="484"/>
      <c r="N6" s="484"/>
      <c r="O6" s="484"/>
      <c r="P6" s="484"/>
      <c r="Q6" s="484"/>
      <c r="R6" s="484"/>
      <c r="S6" s="484"/>
      <c r="T6" s="484"/>
      <c r="U6" s="484"/>
      <c r="V6" s="484"/>
      <c r="W6" s="484"/>
      <c r="X6" s="484"/>
      <c r="Y6" s="484"/>
      <c r="Z6" s="484"/>
      <c r="AA6" s="306"/>
      <c r="AB6" s="306"/>
      <c r="AC6" s="306"/>
      <c r="AD6" s="306"/>
      <c r="AE6" s="306"/>
      <c r="AF6" s="306"/>
    </row>
    <row r="7" spans="2:32" ht="9" customHeight="1" x14ac:dyDescent="0.25">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row>
    <row r="8" spans="2:32" ht="21.75" customHeight="1" x14ac:dyDescent="0.25">
      <c r="B8" s="306" t="s">
        <v>45</v>
      </c>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row>
    <row r="9" spans="2:32" ht="21.75" customHeight="1" x14ac:dyDescent="0.25">
      <c r="B9" s="306" t="s">
        <v>46</v>
      </c>
      <c r="C9" s="308"/>
      <c r="D9" s="308"/>
      <c r="E9" s="308"/>
      <c r="G9" s="308"/>
      <c r="H9" s="308"/>
      <c r="I9" s="308"/>
      <c r="J9" s="308"/>
      <c r="K9" s="308"/>
      <c r="L9" s="308"/>
      <c r="M9" s="308"/>
      <c r="N9" s="308"/>
      <c r="O9" s="308"/>
      <c r="P9" s="308"/>
      <c r="Q9" s="308"/>
      <c r="R9" s="308"/>
      <c r="S9" s="308"/>
      <c r="T9" s="308"/>
      <c r="U9" s="308"/>
      <c r="V9" s="308"/>
      <c r="W9" s="308"/>
      <c r="X9" s="308"/>
      <c r="Y9" s="308"/>
      <c r="Z9" s="308"/>
      <c r="AA9" s="308"/>
      <c r="AB9" s="308"/>
      <c r="AC9" s="308"/>
      <c r="AD9" s="308"/>
      <c r="AE9" s="308"/>
      <c r="AF9" s="308"/>
    </row>
    <row r="10" spans="2:32" ht="9" customHeight="1" x14ac:dyDescent="0.25">
      <c r="C10" s="310"/>
      <c r="D10" s="310"/>
      <c r="E10" s="310"/>
      <c r="F10" s="310"/>
      <c r="G10" s="310"/>
      <c r="H10" s="310"/>
    </row>
    <row r="11" spans="2:32" ht="15" customHeight="1" x14ac:dyDescent="0.25">
      <c r="B11" s="485" t="s">
        <v>47</v>
      </c>
      <c r="C11" s="485"/>
      <c r="D11" s="485"/>
      <c r="E11" s="485"/>
      <c r="F11" s="485"/>
      <c r="G11" s="485"/>
      <c r="H11" s="485"/>
      <c r="I11" s="486">
        <f>+FORMULARIO!F9</f>
        <v>0</v>
      </c>
      <c r="J11" s="487"/>
      <c r="K11" s="487"/>
      <c r="L11" s="487"/>
      <c r="M11" s="487"/>
      <c r="N11" s="487"/>
      <c r="O11" s="487"/>
      <c r="P11" s="487"/>
      <c r="Q11" s="487"/>
      <c r="R11" s="487"/>
      <c r="S11" s="487"/>
      <c r="T11" s="487"/>
      <c r="U11" s="487"/>
      <c r="V11" s="487"/>
      <c r="W11" s="487"/>
      <c r="X11" s="487"/>
      <c r="Y11" s="487"/>
      <c r="Z11" s="487"/>
      <c r="AA11" s="310"/>
      <c r="AB11" s="310"/>
      <c r="AC11" s="310"/>
      <c r="AD11" s="310"/>
      <c r="AE11" s="310"/>
    </row>
    <row r="12" spans="2:32" ht="15" customHeight="1" x14ac:dyDescent="0.25">
      <c r="B12" s="305" t="s">
        <v>48</v>
      </c>
      <c r="C12" s="306"/>
      <c r="D12" s="306"/>
      <c r="E12" s="306"/>
      <c r="F12" s="306"/>
      <c r="G12" s="306"/>
      <c r="H12" s="488">
        <f>+FORMULARIO!R9</f>
        <v>0</v>
      </c>
      <c r="I12" s="488"/>
      <c r="J12" s="488"/>
      <c r="K12" s="488"/>
      <c r="L12" s="488"/>
      <c r="M12" s="305"/>
      <c r="N12" s="311"/>
      <c r="O12" s="311"/>
      <c r="P12" s="312"/>
      <c r="Q12" s="312"/>
      <c r="R12" s="312"/>
      <c r="S12" s="312"/>
      <c r="T12" s="312"/>
      <c r="U12" s="312"/>
      <c r="V12" s="312"/>
      <c r="W12" s="312"/>
      <c r="X12" s="312"/>
      <c r="Y12" s="312"/>
      <c r="Z12" s="312"/>
      <c r="AA12" s="310"/>
      <c r="AB12" s="310"/>
      <c r="AC12" s="310"/>
      <c r="AD12" s="310"/>
      <c r="AE12" s="310"/>
    </row>
    <row r="13" spans="2:32" ht="6" customHeight="1" x14ac:dyDescent="0.25">
      <c r="B13" s="306"/>
      <c r="C13" s="312"/>
      <c r="D13" s="312"/>
      <c r="E13" s="308"/>
      <c r="F13" s="308"/>
      <c r="G13" s="308"/>
      <c r="H13" s="308"/>
      <c r="I13" s="308"/>
      <c r="J13" s="308"/>
      <c r="K13" s="308"/>
      <c r="L13" s="312"/>
      <c r="M13" s="312"/>
      <c r="N13" s="312"/>
      <c r="O13" s="312"/>
      <c r="P13" s="312"/>
      <c r="Q13" s="312"/>
      <c r="R13" s="310"/>
      <c r="S13" s="310"/>
      <c r="T13" s="310"/>
      <c r="U13" s="310"/>
      <c r="V13" s="310"/>
      <c r="W13" s="310"/>
      <c r="X13" s="310"/>
      <c r="Y13" s="310"/>
      <c r="Z13" s="310"/>
      <c r="AC13" s="310"/>
      <c r="AD13" s="310"/>
      <c r="AE13" s="310"/>
    </row>
    <row r="14" spans="2:32" ht="15" customHeight="1" x14ac:dyDescent="0.25">
      <c r="B14" s="306" t="s">
        <v>49</v>
      </c>
      <c r="C14" s="312"/>
      <c r="D14" s="312"/>
      <c r="E14" s="308"/>
      <c r="F14" s="308"/>
      <c r="G14" s="308"/>
      <c r="H14" s="308"/>
      <c r="I14" s="308"/>
      <c r="J14" s="308"/>
      <c r="K14" s="308"/>
      <c r="L14" s="312"/>
      <c r="M14" s="312"/>
      <c r="N14" s="312"/>
      <c r="O14" s="312"/>
      <c r="P14" s="312"/>
      <c r="Q14" s="312"/>
      <c r="R14" s="310"/>
      <c r="S14" s="310"/>
      <c r="T14" s="310"/>
      <c r="U14" s="310"/>
      <c r="V14" s="310"/>
      <c r="W14" s="310"/>
      <c r="X14" s="310"/>
      <c r="Y14" s="310"/>
      <c r="Z14" s="310"/>
      <c r="AC14" s="310"/>
      <c r="AD14" s="310"/>
      <c r="AE14" s="310"/>
    </row>
    <row r="15" spans="2:32" ht="7.5" customHeight="1" x14ac:dyDescent="0.25">
      <c r="B15" s="306"/>
      <c r="C15" s="312"/>
      <c r="D15" s="312"/>
      <c r="E15" s="308"/>
      <c r="F15" s="308"/>
      <c r="G15" s="308"/>
      <c r="H15" s="308"/>
      <c r="I15" s="308"/>
      <c r="J15" s="308"/>
      <c r="K15" s="308"/>
      <c r="L15" s="312"/>
      <c r="M15" s="312"/>
      <c r="N15" s="312"/>
      <c r="O15" s="312"/>
      <c r="P15" s="312"/>
      <c r="Q15" s="312"/>
      <c r="R15" s="310"/>
      <c r="S15" s="310"/>
      <c r="T15" s="310"/>
      <c r="U15" s="310"/>
      <c r="V15" s="310"/>
      <c r="W15" s="310"/>
      <c r="X15" s="310"/>
      <c r="Y15" s="310"/>
      <c r="Z15" s="310"/>
      <c r="AC15" s="310"/>
      <c r="AD15" s="310"/>
      <c r="AE15" s="310"/>
    </row>
    <row r="16" spans="2:32" ht="15" customHeight="1" x14ac:dyDescent="0.25">
      <c r="B16" s="313"/>
      <c r="Z16" s="484" t="s">
        <v>50</v>
      </c>
      <c r="AA16" s="484"/>
      <c r="AB16" s="484"/>
      <c r="AC16" s="310"/>
      <c r="AD16" s="310"/>
      <c r="AE16" s="310"/>
    </row>
    <row r="17" spans="2:31" ht="15" customHeight="1" x14ac:dyDescent="0.25">
      <c r="B17" s="489" t="s">
        <v>51</v>
      </c>
      <c r="C17" s="489"/>
      <c r="D17" s="489"/>
      <c r="E17" s="489"/>
      <c r="F17" s="489"/>
      <c r="G17" s="489"/>
      <c r="H17" s="489"/>
      <c r="I17" s="489"/>
      <c r="J17" s="489"/>
      <c r="K17" s="489"/>
      <c r="L17" s="489"/>
      <c r="M17" s="489"/>
      <c r="N17" s="489"/>
      <c r="O17" s="489"/>
      <c r="P17" s="489"/>
      <c r="Q17" s="489"/>
      <c r="R17" s="489"/>
      <c r="S17" s="489"/>
      <c r="T17" s="489"/>
      <c r="U17" s="489"/>
      <c r="V17" s="489"/>
      <c r="W17" s="489"/>
      <c r="X17" s="489"/>
      <c r="Y17" s="489"/>
      <c r="Z17" s="490" t="s">
        <v>52</v>
      </c>
      <c r="AA17" s="490"/>
      <c r="AB17" s="490"/>
      <c r="AC17" s="310"/>
      <c r="AD17" s="310"/>
      <c r="AE17" s="310"/>
    </row>
    <row r="18" spans="2:31" ht="15" customHeight="1" x14ac:dyDescent="0.25">
      <c r="B18" s="489" t="s">
        <v>53</v>
      </c>
      <c r="C18" s="489"/>
      <c r="D18" s="489"/>
      <c r="E18" s="489"/>
      <c r="F18" s="489"/>
      <c r="G18" s="489"/>
      <c r="H18" s="489"/>
      <c r="I18" s="489"/>
      <c r="J18" s="489"/>
      <c r="K18" s="489"/>
      <c r="L18" s="489"/>
      <c r="M18" s="489"/>
      <c r="N18" s="489"/>
      <c r="O18" s="489"/>
      <c r="P18" s="489"/>
      <c r="Q18" s="489"/>
      <c r="R18" s="489"/>
      <c r="S18" s="489"/>
      <c r="T18" s="489"/>
      <c r="U18" s="489"/>
      <c r="V18" s="489"/>
      <c r="W18" s="489"/>
      <c r="X18" s="489"/>
      <c r="Y18" s="489"/>
      <c r="Z18" s="490" t="s">
        <v>54</v>
      </c>
      <c r="AA18" s="490"/>
      <c r="AB18" s="490"/>
      <c r="AC18" s="310"/>
      <c r="AD18" s="310"/>
      <c r="AE18" s="310"/>
    </row>
    <row r="19" spans="2:31" ht="15" customHeight="1" x14ac:dyDescent="0.25">
      <c r="B19" s="489" t="s">
        <v>55</v>
      </c>
      <c r="C19" s="489"/>
      <c r="D19" s="489"/>
      <c r="E19" s="489"/>
      <c r="F19" s="489"/>
      <c r="G19" s="489"/>
      <c r="H19" s="489"/>
      <c r="I19" s="489"/>
      <c r="J19" s="489"/>
      <c r="K19" s="489"/>
      <c r="L19" s="489"/>
      <c r="M19" s="489"/>
      <c r="N19" s="489"/>
      <c r="O19" s="489"/>
      <c r="P19" s="489"/>
      <c r="Q19" s="489"/>
      <c r="R19" s="489"/>
      <c r="S19" s="489"/>
      <c r="T19" s="489"/>
      <c r="U19" s="489"/>
      <c r="V19" s="489"/>
      <c r="W19" s="489"/>
      <c r="X19" s="489"/>
      <c r="Y19" s="489"/>
      <c r="Z19" s="490" t="s">
        <v>52</v>
      </c>
      <c r="AA19" s="490"/>
      <c r="AB19" s="490"/>
      <c r="AC19" s="310"/>
      <c r="AD19" s="310"/>
      <c r="AE19" s="310"/>
    </row>
    <row r="20" spans="2:31" ht="15" customHeight="1" x14ac:dyDescent="0.25">
      <c r="B20" s="489" t="s">
        <v>56</v>
      </c>
      <c r="C20" s="489"/>
      <c r="D20" s="489"/>
      <c r="E20" s="489"/>
      <c r="F20" s="489"/>
      <c r="G20" s="489"/>
      <c r="H20" s="489"/>
      <c r="I20" s="489"/>
      <c r="J20" s="489"/>
      <c r="K20" s="489"/>
      <c r="L20" s="489"/>
      <c r="M20" s="489"/>
      <c r="N20" s="489"/>
      <c r="O20" s="489"/>
      <c r="P20" s="489"/>
      <c r="Q20" s="489"/>
      <c r="R20" s="489"/>
      <c r="S20" s="489"/>
      <c r="T20" s="489"/>
      <c r="U20" s="489"/>
      <c r="V20" s="489"/>
      <c r="W20" s="489"/>
      <c r="X20" s="489"/>
      <c r="Y20" s="489"/>
      <c r="Z20" s="490" t="s">
        <v>57</v>
      </c>
      <c r="AA20" s="490"/>
      <c r="AB20" s="490"/>
      <c r="AC20" s="310"/>
      <c r="AD20" s="310"/>
      <c r="AE20" s="310"/>
    </row>
    <row r="21" spans="2:31" ht="15" customHeight="1" x14ac:dyDescent="0.25">
      <c r="B21" s="491" t="s">
        <v>58</v>
      </c>
      <c r="C21" s="492"/>
      <c r="D21" s="492"/>
      <c r="E21" s="492"/>
      <c r="F21" s="492"/>
      <c r="G21" s="492"/>
      <c r="H21" s="492"/>
      <c r="I21" s="492"/>
      <c r="J21" s="492"/>
      <c r="K21" s="492"/>
      <c r="L21" s="492"/>
      <c r="M21" s="492"/>
      <c r="N21" s="492"/>
      <c r="O21" s="492"/>
      <c r="P21" s="492"/>
      <c r="Q21" s="492"/>
      <c r="R21" s="492"/>
      <c r="S21" s="492"/>
      <c r="T21" s="492"/>
      <c r="U21" s="492"/>
      <c r="V21" s="492"/>
      <c r="W21" s="492"/>
      <c r="X21" s="492"/>
      <c r="Y21" s="492"/>
      <c r="Z21" s="492"/>
      <c r="AA21" s="492"/>
      <c r="AC21" s="310"/>
      <c r="AD21" s="310"/>
      <c r="AE21" s="310"/>
    </row>
    <row r="22" spans="2:31" ht="15" customHeight="1" x14ac:dyDescent="0.25">
      <c r="B22" s="492"/>
      <c r="C22" s="492"/>
      <c r="D22" s="492"/>
      <c r="E22" s="492"/>
      <c r="F22" s="492"/>
      <c r="G22" s="492"/>
      <c r="H22" s="492"/>
      <c r="I22" s="492"/>
      <c r="J22" s="492"/>
      <c r="K22" s="492"/>
      <c r="L22" s="492"/>
      <c r="M22" s="492"/>
      <c r="N22" s="492"/>
      <c r="O22" s="492"/>
      <c r="P22" s="492"/>
      <c r="Q22" s="492"/>
      <c r="R22" s="492"/>
      <c r="S22" s="492"/>
      <c r="T22" s="492"/>
      <c r="U22" s="492"/>
      <c r="V22" s="492"/>
      <c r="W22" s="492"/>
      <c r="X22" s="492"/>
      <c r="Y22" s="492"/>
      <c r="Z22" s="492"/>
      <c r="AA22" s="492"/>
      <c r="AC22" s="310"/>
      <c r="AD22" s="310"/>
      <c r="AE22" s="310"/>
    </row>
    <row r="23" spans="2:31" ht="15" customHeight="1" x14ac:dyDescent="0.25">
      <c r="B23" s="492"/>
      <c r="C23" s="492"/>
      <c r="D23" s="492"/>
      <c r="E23" s="492"/>
      <c r="F23" s="492"/>
      <c r="G23" s="492"/>
      <c r="H23" s="492"/>
      <c r="I23" s="492"/>
      <c r="J23" s="492"/>
      <c r="K23" s="492"/>
      <c r="L23" s="492"/>
      <c r="M23" s="492"/>
      <c r="N23" s="492"/>
      <c r="O23" s="492"/>
      <c r="P23" s="492"/>
      <c r="Q23" s="492"/>
      <c r="R23" s="492"/>
      <c r="S23" s="492"/>
      <c r="T23" s="492"/>
      <c r="U23" s="492"/>
      <c r="V23" s="492"/>
      <c r="W23" s="492"/>
      <c r="X23" s="492"/>
      <c r="Y23" s="492"/>
      <c r="Z23" s="492"/>
      <c r="AA23" s="492"/>
      <c r="AC23" s="310"/>
      <c r="AD23" s="310"/>
      <c r="AE23" s="310"/>
    </row>
    <row r="24" spans="2:31" ht="15" customHeight="1" x14ac:dyDescent="0.25">
      <c r="B24" s="492"/>
      <c r="C24" s="492"/>
      <c r="D24" s="492"/>
      <c r="E24" s="492"/>
      <c r="F24" s="492"/>
      <c r="G24" s="492"/>
      <c r="H24" s="492"/>
      <c r="I24" s="492"/>
      <c r="J24" s="492"/>
      <c r="K24" s="492"/>
      <c r="L24" s="492"/>
      <c r="M24" s="492"/>
      <c r="N24" s="492"/>
      <c r="O24" s="492"/>
      <c r="P24" s="492"/>
      <c r="Q24" s="492"/>
      <c r="R24" s="492"/>
      <c r="S24" s="492"/>
      <c r="T24" s="492"/>
      <c r="U24" s="492"/>
      <c r="V24" s="492"/>
      <c r="W24" s="492"/>
      <c r="X24" s="492"/>
      <c r="Y24" s="492"/>
      <c r="Z24" s="492"/>
      <c r="AA24" s="492"/>
      <c r="AC24" s="310"/>
      <c r="AD24" s="310"/>
      <c r="AE24" s="310"/>
    </row>
    <row r="25" spans="2:31" ht="15" customHeight="1" x14ac:dyDescent="0.25">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C25" s="310"/>
      <c r="AD25" s="310"/>
      <c r="AE25" s="310"/>
    </row>
    <row r="26" spans="2:31" ht="15"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C26" s="310"/>
      <c r="AD26" s="310"/>
      <c r="AE26" s="310"/>
    </row>
    <row r="27" spans="2:31" ht="15" customHeight="1" x14ac:dyDescent="0.25">
      <c r="B27" s="492"/>
      <c r="C27" s="492"/>
      <c r="D27" s="492"/>
      <c r="E27" s="492"/>
      <c r="F27" s="492"/>
      <c r="G27" s="492"/>
      <c r="H27" s="492"/>
      <c r="I27" s="492"/>
      <c r="J27" s="492"/>
      <c r="K27" s="492"/>
      <c r="L27" s="492"/>
      <c r="M27" s="492"/>
      <c r="N27" s="492"/>
      <c r="O27" s="492"/>
      <c r="P27" s="492"/>
      <c r="Q27" s="492"/>
      <c r="R27" s="492"/>
      <c r="S27" s="492"/>
      <c r="T27" s="492"/>
      <c r="U27" s="492"/>
      <c r="V27" s="492"/>
      <c r="W27" s="492"/>
      <c r="X27" s="492"/>
      <c r="Y27" s="492"/>
      <c r="Z27" s="492"/>
      <c r="AA27" s="492"/>
      <c r="AC27" s="310"/>
      <c r="AD27" s="310"/>
      <c r="AE27" s="310"/>
    </row>
    <row r="28" spans="2:31" ht="15" customHeight="1" x14ac:dyDescent="0.25">
      <c r="B28" s="492"/>
      <c r="C28" s="492"/>
      <c r="D28" s="492"/>
      <c r="E28" s="492"/>
      <c r="F28" s="492"/>
      <c r="G28" s="492"/>
      <c r="H28" s="492"/>
      <c r="I28" s="492"/>
      <c r="J28" s="492"/>
      <c r="K28" s="492"/>
      <c r="L28" s="492"/>
      <c r="M28" s="492"/>
      <c r="N28" s="492"/>
      <c r="O28" s="492"/>
      <c r="P28" s="492"/>
      <c r="Q28" s="492"/>
      <c r="R28" s="492"/>
      <c r="S28" s="492"/>
      <c r="T28" s="492"/>
      <c r="U28" s="492"/>
      <c r="V28" s="492"/>
      <c r="W28" s="492"/>
      <c r="X28" s="492"/>
      <c r="Y28" s="492"/>
      <c r="Z28" s="492"/>
      <c r="AA28" s="492"/>
      <c r="AC28" s="310"/>
      <c r="AD28" s="310"/>
      <c r="AE28" s="310"/>
    </row>
    <row r="29" spans="2:31" ht="15" customHeight="1" x14ac:dyDescent="0.25">
      <c r="B29" s="492"/>
      <c r="C29" s="492"/>
      <c r="D29" s="492"/>
      <c r="E29" s="492"/>
      <c r="F29" s="492"/>
      <c r="G29" s="492"/>
      <c r="H29" s="492"/>
      <c r="I29" s="492"/>
      <c r="J29" s="492"/>
      <c r="K29" s="492"/>
      <c r="L29" s="492"/>
      <c r="M29" s="492"/>
      <c r="N29" s="492"/>
      <c r="O29" s="492"/>
      <c r="P29" s="492"/>
      <c r="Q29" s="492"/>
      <c r="R29" s="492"/>
      <c r="S29" s="492"/>
      <c r="T29" s="492"/>
      <c r="U29" s="492"/>
      <c r="V29" s="492"/>
      <c r="W29" s="492"/>
      <c r="X29" s="492"/>
      <c r="Y29" s="492"/>
      <c r="Z29" s="492"/>
      <c r="AA29" s="492"/>
      <c r="AC29" s="310"/>
      <c r="AD29" s="310"/>
      <c r="AE29" s="310"/>
    </row>
    <row r="30" spans="2:31" ht="15" customHeight="1" x14ac:dyDescent="0.25">
      <c r="B30" s="492"/>
      <c r="C30" s="492"/>
      <c r="D30" s="492"/>
      <c r="E30" s="492"/>
      <c r="F30" s="492"/>
      <c r="G30" s="492"/>
      <c r="H30" s="492"/>
      <c r="I30" s="492"/>
      <c r="J30" s="492"/>
      <c r="K30" s="492"/>
      <c r="L30" s="492"/>
      <c r="M30" s="492"/>
      <c r="N30" s="492"/>
      <c r="O30" s="492"/>
      <c r="P30" s="492"/>
      <c r="Q30" s="492"/>
      <c r="R30" s="492"/>
      <c r="S30" s="492"/>
      <c r="T30" s="492"/>
      <c r="U30" s="492"/>
      <c r="V30" s="492"/>
      <c r="W30" s="492"/>
      <c r="X30" s="492"/>
      <c r="Y30" s="492"/>
      <c r="Z30" s="492"/>
      <c r="AA30" s="492"/>
      <c r="AC30" s="310"/>
      <c r="AD30" s="310"/>
      <c r="AE30" s="310"/>
    </row>
    <row r="31" spans="2:31" ht="15" customHeight="1" x14ac:dyDescent="0.25">
      <c r="B31" s="492"/>
      <c r="C31" s="492"/>
      <c r="D31" s="492"/>
      <c r="E31" s="492"/>
      <c r="F31" s="492"/>
      <c r="G31" s="492"/>
      <c r="H31" s="492"/>
      <c r="I31" s="492"/>
      <c r="J31" s="492"/>
      <c r="K31" s="492"/>
      <c r="L31" s="492"/>
      <c r="M31" s="492"/>
      <c r="N31" s="492"/>
      <c r="O31" s="492"/>
      <c r="P31" s="492"/>
      <c r="Q31" s="492"/>
      <c r="R31" s="492"/>
      <c r="S31" s="492"/>
      <c r="T31" s="492"/>
      <c r="U31" s="492"/>
      <c r="V31" s="492"/>
      <c r="W31" s="492"/>
      <c r="X31" s="492"/>
      <c r="Y31" s="492"/>
      <c r="Z31" s="492"/>
      <c r="AA31" s="492"/>
      <c r="AC31" s="310"/>
      <c r="AD31" s="310"/>
      <c r="AE31" s="310"/>
    </row>
    <row r="32" spans="2:31" ht="15" customHeight="1" x14ac:dyDescent="0.25">
      <c r="B32" s="492"/>
      <c r="C32" s="492"/>
      <c r="D32" s="492"/>
      <c r="E32" s="492"/>
      <c r="F32" s="492"/>
      <c r="G32" s="492"/>
      <c r="H32" s="492"/>
      <c r="I32" s="492"/>
      <c r="J32" s="492"/>
      <c r="K32" s="492"/>
      <c r="L32" s="492"/>
      <c r="M32" s="492"/>
      <c r="N32" s="492"/>
      <c r="O32" s="492"/>
      <c r="P32" s="492"/>
      <c r="Q32" s="492"/>
      <c r="R32" s="492"/>
      <c r="S32" s="492"/>
      <c r="T32" s="492"/>
      <c r="U32" s="492"/>
      <c r="V32" s="492"/>
      <c r="W32" s="492"/>
      <c r="X32" s="492"/>
      <c r="Y32" s="492"/>
      <c r="Z32" s="492"/>
      <c r="AA32" s="492"/>
      <c r="AC32" s="310"/>
      <c r="AD32" s="310"/>
      <c r="AE32" s="310"/>
    </row>
    <row r="33" spans="2:32" ht="15" customHeight="1" x14ac:dyDescent="0.25">
      <c r="B33" s="492"/>
      <c r="C33" s="492"/>
      <c r="D33" s="492"/>
      <c r="E33" s="492"/>
      <c r="F33" s="492"/>
      <c r="G33" s="492"/>
      <c r="H33" s="492"/>
      <c r="I33" s="492"/>
      <c r="J33" s="492"/>
      <c r="K33" s="492"/>
      <c r="L33" s="492"/>
      <c r="M33" s="492"/>
      <c r="N33" s="492"/>
      <c r="O33" s="492"/>
      <c r="P33" s="492"/>
      <c r="Q33" s="492"/>
      <c r="R33" s="492"/>
      <c r="S33" s="492"/>
      <c r="T33" s="492"/>
      <c r="U33" s="492"/>
      <c r="V33" s="492"/>
      <c r="W33" s="492"/>
      <c r="X33" s="492"/>
      <c r="Y33" s="492"/>
      <c r="Z33" s="492"/>
      <c r="AA33" s="492"/>
      <c r="AC33" s="310"/>
      <c r="AD33" s="310"/>
      <c r="AE33" s="310"/>
    </row>
    <row r="34" spans="2:32" ht="15" customHeight="1" x14ac:dyDescent="0.25">
      <c r="B34" s="492"/>
      <c r="C34" s="492"/>
      <c r="D34" s="492"/>
      <c r="E34" s="492"/>
      <c r="F34" s="492"/>
      <c r="G34" s="492"/>
      <c r="H34" s="492"/>
      <c r="I34" s="492"/>
      <c r="J34" s="492"/>
      <c r="K34" s="492"/>
      <c r="L34" s="492"/>
      <c r="M34" s="492"/>
      <c r="N34" s="492"/>
      <c r="O34" s="492"/>
      <c r="P34" s="492"/>
      <c r="Q34" s="492"/>
      <c r="R34" s="492"/>
      <c r="S34" s="492"/>
      <c r="T34" s="492"/>
      <c r="U34" s="492"/>
      <c r="V34" s="492"/>
      <c r="W34" s="492"/>
      <c r="X34" s="492"/>
      <c r="Y34" s="492"/>
      <c r="Z34" s="492"/>
      <c r="AA34" s="492"/>
      <c r="AC34" s="310"/>
      <c r="AD34" s="310"/>
      <c r="AE34" s="310"/>
    </row>
    <row r="35" spans="2:32" ht="15" customHeight="1" x14ac:dyDescent="0.25">
      <c r="B35" s="492"/>
      <c r="C35" s="492"/>
      <c r="D35" s="492"/>
      <c r="E35" s="492"/>
      <c r="F35" s="492"/>
      <c r="G35" s="492"/>
      <c r="H35" s="492"/>
      <c r="I35" s="492"/>
      <c r="J35" s="492"/>
      <c r="K35" s="492"/>
      <c r="L35" s="492"/>
      <c r="M35" s="492"/>
      <c r="N35" s="492"/>
      <c r="O35" s="492"/>
      <c r="P35" s="492"/>
      <c r="Q35" s="492"/>
      <c r="R35" s="492"/>
      <c r="S35" s="492"/>
      <c r="T35" s="492"/>
      <c r="U35" s="492"/>
      <c r="V35" s="492"/>
      <c r="W35" s="492"/>
      <c r="X35" s="492"/>
      <c r="Y35" s="492"/>
      <c r="Z35" s="492"/>
      <c r="AA35" s="492"/>
      <c r="AC35" s="310"/>
      <c r="AD35" s="310"/>
      <c r="AE35" s="310"/>
    </row>
    <row r="36" spans="2:32" ht="15" customHeight="1" x14ac:dyDescent="0.25">
      <c r="B36" s="492"/>
      <c r="C36" s="492"/>
      <c r="D36" s="492"/>
      <c r="E36" s="492"/>
      <c r="F36" s="492"/>
      <c r="G36" s="492"/>
      <c r="H36" s="492"/>
      <c r="I36" s="492"/>
      <c r="J36" s="492"/>
      <c r="K36" s="492"/>
      <c r="L36" s="492"/>
      <c r="M36" s="492"/>
      <c r="N36" s="492"/>
      <c r="O36" s="492"/>
      <c r="P36" s="492"/>
      <c r="Q36" s="492"/>
      <c r="R36" s="492"/>
      <c r="S36" s="492"/>
      <c r="T36" s="492"/>
      <c r="U36" s="492"/>
      <c r="V36" s="492"/>
      <c r="W36" s="492"/>
      <c r="X36" s="492"/>
      <c r="Y36" s="492"/>
      <c r="Z36" s="492"/>
      <c r="AA36" s="492"/>
      <c r="AC36" s="310"/>
      <c r="AD36" s="310"/>
      <c r="AE36" s="310"/>
    </row>
    <row r="37" spans="2:32" ht="15" customHeight="1" x14ac:dyDescent="0.25">
      <c r="B37" s="492"/>
      <c r="C37" s="492"/>
      <c r="D37" s="492"/>
      <c r="E37" s="492"/>
      <c r="F37" s="492"/>
      <c r="G37" s="492"/>
      <c r="H37" s="492"/>
      <c r="I37" s="492"/>
      <c r="J37" s="492"/>
      <c r="K37" s="492"/>
      <c r="L37" s="492"/>
      <c r="M37" s="492"/>
      <c r="N37" s="492"/>
      <c r="O37" s="492"/>
      <c r="P37" s="492"/>
      <c r="Q37" s="492"/>
      <c r="R37" s="492"/>
      <c r="S37" s="492"/>
      <c r="T37" s="492"/>
      <c r="U37" s="492"/>
      <c r="V37" s="492"/>
      <c r="W37" s="492"/>
      <c r="X37" s="492"/>
      <c r="Y37" s="492"/>
      <c r="Z37" s="492"/>
      <c r="AA37" s="492"/>
      <c r="AC37" s="310"/>
      <c r="AD37" s="310"/>
      <c r="AE37" s="310"/>
    </row>
    <row r="38" spans="2:32" ht="15" customHeight="1" x14ac:dyDescent="0.25">
      <c r="B38" s="306"/>
      <c r="C38" s="312"/>
      <c r="D38" s="312"/>
      <c r="E38" s="308"/>
      <c r="F38" s="308"/>
      <c r="G38" s="308"/>
      <c r="H38" s="308"/>
      <c r="I38" s="308"/>
      <c r="J38" s="308"/>
      <c r="K38" s="308"/>
      <c r="L38" s="312"/>
      <c r="M38" s="312"/>
      <c r="N38" s="312"/>
      <c r="O38" s="312"/>
      <c r="P38" s="312"/>
      <c r="Q38" s="312"/>
      <c r="R38" s="310"/>
      <c r="S38" s="310"/>
      <c r="T38" s="310"/>
      <c r="U38" s="310"/>
      <c r="V38" s="310"/>
      <c r="W38" s="310"/>
      <c r="X38" s="310"/>
      <c r="Y38" s="310"/>
      <c r="Z38" s="310"/>
      <c r="AC38" s="310"/>
      <c r="AD38" s="310"/>
      <c r="AE38" s="310"/>
    </row>
    <row r="39" spans="2:32" ht="22.5" customHeight="1" x14ac:dyDescent="0.25">
      <c r="B39" s="490" t="s">
        <v>59</v>
      </c>
      <c r="C39" s="490"/>
      <c r="D39" s="490"/>
      <c r="E39" s="490"/>
      <c r="F39" s="490"/>
      <c r="G39" s="490"/>
      <c r="H39" s="490"/>
      <c r="I39" s="490"/>
      <c r="J39" s="490"/>
      <c r="K39" s="490"/>
      <c r="L39" s="490"/>
      <c r="M39" s="490"/>
      <c r="N39" s="490"/>
      <c r="O39" s="490"/>
      <c r="P39" s="490"/>
      <c r="Q39" s="490"/>
      <c r="R39" s="490"/>
      <c r="S39" s="490"/>
      <c r="T39" s="490"/>
      <c r="U39" s="490"/>
      <c r="V39" s="490"/>
      <c r="W39" s="490"/>
      <c r="X39" s="490"/>
      <c r="Y39" s="490"/>
      <c r="Z39" s="490"/>
      <c r="AA39" s="490"/>
      <c r="AB39" s="306"/>
      <c r="AC39" s="306"/>
      <c r="AD39" s="306"/>
      <c r="AE39" s="306"/>
      <c r="AF39" s="306"/>
    </row>
    <row r="40" spans="2:32" ht="22.5" customHeight="1" x14ac:dyDescent="0.25">
      <c r="B40" s="490" t="str">
        <f>VLOOKUP(B39,PARÁMETROS!E107:H129,4,0)</f>
        <v>PLATAFORMISTA</v>
      </c>
      <c r="C40" s="490"/>
      <c r="D40" s="490"/>
      <c r="E40" s="490"/>
      <c r="F40" s="490"/>
      <c r="G40" s="490"/>
      <c r="H40" s="490"/>
      <c r="I40" s="490"/>
      <c r="J40" s="490"/>
      <c r="K40" s="490"/>
      <c r="L40" s="490"/>
      <c r="M40" s="490"/>
      <c r="N40" s="490"/>
      <c r="O40" s="490"/>
      <c r="P40" s="490"/>
      <c r="Q40" s="490"/>
      <c r="R40" s="490"/>
      <c r="S40" s="490"/>
      <c r="T40" s="490"/>
      <c r="U40" s="490"/>
      <c r="V40" s="490"/>
      <c r="W40" s="490"/>
      <c r="X40" s="490"/>
      <c r="Y40" s="490"/>
      <c r="Z40" s="490"/>
      <c r="AA40" s="490"/>
      <c r="AB40" s="306"/>
      <c r="AC40" s="306"/>
      <c r="AD40" s="306"/>
      <c r="AE40" s="306"/>
      <c r="AF40" s="306"/>
    </row>
  </sheetData>
  <mergeCells count="16">
    <mergeCell ref="B39:AA39"/>
    <mergeCell ref="B40:AA40"/>
    <mergeCell ref="B19:Y19"/>
    <mergeCell ref="Z19:AB19"/>
    <mergeCell ref="Z20:AB20"/>
    <mergeCell ref="B20:Y20"/>
    <mergeCell ref="B17:Y17"/>
    <mergeCell ref="Z17:AB17"/>
    <mergeCell ref="B18:Y18"/>
    <mergeCell ref="Z18:AB18"/>
    <mergeCell ref="B21:AA37"/>
    <mergeCell ref="Z16:AB16"/>
    <mergeCell ref="B6:Z6"/>
    <mergeCell ref="B11:H11"/>
    <mergeCell ref="I11:Z11"/>
    <mergeCell ref="H12:L12"/>
  </mergeCells>
  <dataValidations count="1">
    <dataValidation type="list" allowBlank="1" showInputMessage="1" showErrorMessage="1" sqref="AB39:AF39" xr:uid="{00000000-0002-0000-0300-000000000000}">
      <formula1>$E$107:$E$124</formula1>
    </dataValidation>
  </dataValidations>
  <printOptions horizontalCentered="1" verticalCentered="1"/>
  <pageMargins left="0.31496062992125984" right="0" top="0.59055118110236227" bottom="0.39370078740157483" header="0.39370078740157483" footer="0"/>
  <pageSetup scale="96" orientation="portrait" r:id="rId1"/>
  <headerFooter alignWithMargins="0">
    <oddHeader>&amp;L&amp;F  &amp;D  &amp;P</oddHead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808907C-055D-46B4-8FC1-4253D00CADAE}">
          <x14:formula1>
            <xm:f>PARÁMETROS!$E$107:$E$124</xm:f>
          </x14:formula1>
          <xm:sqref>B39:AA39</xm:sqref>
        </x14:dataValidation>
        <x14:dataValidation type="list" allowBlank="1" showInputMessage="1" showErrorMessage="1" xr:uid="{B24353D6-9EB6-443F-9461-0665A8FFC56C}">
          <x14:formula1>
            <xm:f>PARÁMETROS!$B$620:$B$623</xm:f>
          </x14:formula1>
          <xm:sqref>Z17:AB20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048C-89AD-4125-92D6-C0B11332F2E5}">
  <dimension ref="C2:AM180"/>
  <sheetViews>
    <sheetView topLeftCell="A57" zoomScale="130" zoomScaleNormal="130" workbookViewId="0">
      <selection activeCell="B10" sqref="B10"/>
    </sheetView>
  </sheetViews>
  <sheetFormatPr baseColWidth="10" defaultColWidth="3.7109375" defaultRowHeight="15" customHeight="1" x14ac:dyDescent="0.25"/>
  <cols>
    <col min="1" max="1" width="2.28515625" style="173" customWidth="1"/>
    <col min="2" max="2" width="1.42578125" style="173" customWidth="1"/>
    <col min="3" max="3" width="3.7109375" style="192" customWidth="1"/>
    <col min="4" max="12" width="3.7109375" style="173" customWidth="1"/>
    <col min="13" max="13" width="5.28515625" style="173" customWidth="1"/>
    <col min="14" max="14" width="3.7109375" style="173" customWidth="1"/>
    <col min="15" max="15" width="4.140625" style="173" customWidth="1"/>
    <col min="16" max="17" width="3.7109375" style="173" customWidth="1"/>
    <col min="18" max="18" width="4.140625" style="173" customWidth="1"/>
    <col min="19" max="19" width="5.28515625" style="173" customWidth="1"/>
    <col min="20" max="20" width="3.7109375" style="173"/>
    <col min="21" max="21" width="3.7109375" style="173" customWidth="1"/>
    <col min="22" max="27" width="3.7109375" style="173"/>
    <col min="28" max="28" width="6.140625" style="173" bestFit="1" customWidth="1"/>
    <col min="29" max="29" width="4" style="173" bestFit="1" customWidth="1"/>
    <col min="30" max="32" width="3.7109375" style="173"/>
    <col min="33" max="33" width="3.28515625" style="173" customWidth="1"/>
    <col min="34" max="36" width="3.7109375" style="173"/>
    <col min="37" max="37" width="3.28515625" style="173" customWidth="1"/>
    <col min="38" max="38" width="2.5703125" style="173" customWidth="1"/>
    <col min="39" max="247" width="3.7109375" style="173"/>
    <col min="248" max="263" width="3.7109375" style="173" customWidth="1"/>
    <col min="264" max="264" width="4.140625" style="173" customWidth="1"/>
    <col min="265" max="265" width="5.28515625" style="173" customWidth="1"/>
    <col min="266" max="503" width="3.7109375" style="173"/>
    <col min="504" max="519" width="3.7109375" style="173" customWidth="1"/>
    <col min="520" max="520" width="4.140625" style="173" customWidth="1"/>
    <col min="521" max="521" width="5.28515625" style="173" customWidth="1"/>
    <col min="522" max="759" width="3.7109375" style="173"/>
    <col min="760" max="775" width="3.7109375" style="173" customWidth="1"/>
    <col min="776" max="776" width="4.140625" style="173" customWidth="1"/>
    <col min="777" max="777" width="5.28515625" style="173" customWidth="1"/>
    <col min="778" max="1015" width="3.7109375" style="173"/>
    <col min="1016" max="1031" width="3.7109375" style="173" customWidth="1"/>
    <col min="1032" max="1032" width="4.140625" style="173" customWidth="1"/>
    <col min="1033" max="1033" width="5.28515625" style="173" customWidth="1"/>
    <col min="1034" max="1271" width="3.7109375" style="173"/>
    <col min="1272" max="1287" width="3.7109375" style="173" customWidth="1"/>
    <col min="1288" max="1288" width="4.140625" style="173" customWidth="1"/>
    <col min="1289" max="1289" width="5.28515625" style="173" customWidth="1"/>
    <col min="1290" max="1527" width="3.7109375" style="173"/>
    <col min="1528" max="1543" width="3.7109375" style="173" customWidth="1"/>
    <col min="1544" max="1544" width="4.140625" style="173" customWidth="1"/>
    <col min="1545" max="1545" width="5.28515625" style="173" customWidth="1"/>
    <col min="1546" max="1783" width="3.7109375" style="173"/>
    <col min="1784" max="1799" width="3.7109375" style="173" customWidth="1"/>
    <col min="1800" max="1800" width="4.140625" style="173" customWidth="1"/>
    <col min="1801" max="1801" width="5.28515625" style="173" customWidth="1"/>
    <col min="1802" max="2039" width="3.7109375" style="173"/>
    <col min="2040" max="2055" width="3.7109375" style="173" customWidth="1"/>
    <col min="2056" max="2056" width="4.140625" style="173" customWidth="1"/>
    <col min="2057" max="2057" width="5.28515625" style="173" customWidth="1"/>
    <col min="2058" max="2295" width="3.7109375" style="173"/>
    <col min="2296" max="2311" width="3.7109375" style="173" customWidth="1"/>
    <col min="2312" max="2312" width="4.140625" style="173" customWidth="1"/>
    <col min="2313" max="2313" width="5.28515625" style="173" customWidth="1"/>
    <col min="2314" max="2551" width="3.7109375" style="173"/>
    <col min="2552" max="2567" width="3.7109375" style="173" customWidth="1"/>
    <col min="2568" max="2568" width="4.140625" style="173" customWidth="1"/>
    <col min="2569" max="2569" width="5.28515625" style="173" customWidth="1"/>
    <col min="2570" max="2807" width="3.7109375" style="173"/>
    <col min="2808" max="2823" width="3.7109375" style="173" customWidth="1"/>
    <col min="2824" max="2824" width="4.140625" style="173" customWidth="1"/>
    <col min="2825" max="2825" width="5.28515625" style="173" customWidth="1"/>
    <col min="2826" max="3063" width="3.7109375" style="173"/>
    <col min="3064" max="3079" width="3.7109375" style="173" customWidth="1"/>
    <col min="3080" max="3080" width="4.140625" style="173" customWidth="1"/>
    <col min="3081" max="3081" width="5.28515625" style="173" customWidth="1"/>
    <col min="3082" max="3319" width="3.7109375" style="173"/>
    <col min="3320" max="3335" width="3.7109375" style="173" customWidth="1"/>
    <col min="3336" max="3336" width="4.140625" style="173" customWidth="1"/>
    <col min="3337" max="3337" width="5.28515625" style="173" customWidth="1"/>
    <col min="3338" max="3575" width="3.7109375" style="173"/>
    <col min="3576" max="3591" width="3.7109375" style="173" customWidth="1"/>
    <col min="3592" max="3592" width="4.140625" style="173" customWidth="1"/>
    <col min="3593" max="3593" width="5.28515625" style="173" customWidth="1"/>
    <col min="3594" max="3831" width="3.7109375" style="173"/>
    <col min="3832" max="3847" width="3.7109375" style="173" customWidth="1"/>
    <col min="3848" max="3848" width="4.140625" style="173" customWidth="1"/>
    <col min="3849" max="3849" width="5.28515625" style="173" customWidth="1"/>
    <col min="3850" max="4087" width="3.7109375" style="173"/>
    <col min="4088" max="4103" width="3.7109375" style="173" customWidth="1"/>
    <col min="4104" max="4104" width="4.140625" style="173" customWidth="1"/>
    <col min="4105" max="4105" width="5.28515625" style="173" customWidth="1"/>
    <col min="4106" max="4343" width="3.7109375" style="173"/>
    <col min="4344" max="4359" width="3.7109375" style="173" customWidth="1"/>
    <col min="4360" max="4360" width="4.140625" style="173" customWidth="1"/>
    <col min="4361" max="4361" width="5.28515625" style="173" customWidth="1"/>
    <col min="4362" max="4599" width="3.7109375" style="173"/>
    <col min="4600" max="4615" width="3.7109375" style="173" customWidth="1"/>
    <col min="4616" max="4616" width="4.140625" style="173" customWidth="1"/>
    <col min="4617" max="4617" width="5.28515625" style="173" customWidth="1"/>
    <col min="4618" max="4855" width="3.7109375" style="173"/>
    <col min="4856" max="4871" width="3.7109375" style="173" customWidth="1"/>
    <col min="4872" max="4872" width="4.140625" style="173" customWidth="1"/>
    <col min="4873" max="4873" width="5.28515625" style="173" customWidth="1"/>
    <col min="4874" max="5111" width="3.7109375" style="173"/>
    <col min="5112" max="5127" width="3.7109375" style="173" customWidth="1"/>
    <col min="5128" max="5128" width="4.140625" style="173" customWidth="1"/>
    <col min="5129" max="5129" width="5.28515625" style="173" customWidth="1"/>
    <col min="5130" max="5367" width="3.7109375" style="173"/>
    <col min="5368" max="5383" width="3.7109375" style="173" customWidth="1"/>
    <col min="5384" max="5384" width="4.140625" style="173" customWidth="1"/>
    <col min="5385" max="5385" width="5.28515625" style="173" customWidth="1"/>
    <col min="5386" max="5623" width="3.7109375" style="173"/>
    <col min="5624" max="5639" width="3.7109375" style="173" customWidth="1"/>
    <col min="5640" max="5640" width="4.140625" style="173" customWidth="1"/>
    <col min="5641" max="5641" width="5.28515625" style="173" customWidth="1"/>
    <col min="5642" max="5879" width="3.7109375" style="173"/>
    <col min="5880" max="5895" width="3.7109375" style="173" customWidth="1"/>
    <col min="5896" max="5896" width="4.140625" style="173" customWidth="1"/>
    <col min="5897" max="5897" width="5.28515625" style="173" customWidth="1"/>
    <col min="5898" max="6135" width="3.7109375" style="173"/>
    <col min="6136" max="6151" width="3.7109375" style="173" customWidth="1"/>
    <col min="6152" max="6152" width="4.140625" style="173" customWidth="1"/>
    <col min="6153" max="6153" width="5.28515625" style="173" customWidth="1"/>
    <col min="6154" max="6391" width="3.7109375" style="173"/>
    <col min="6392" max="6407" width="3.7109375" style="173" customWidth="1"/>
    <col min="6408" max="6408" width="4.140625" style="173" customWidth="1"/>
    <col min="6409" max="6409" width="5.28515625" style="173" customWidth="1"/>
    <col min="6410" max="6647" width="3.7109375" style="173"/>
    <col min="6648" max="6663" width="3.7109375" style="173" customWidth="1"/>
    <col min="6664" max="6664" width="4.140625" style="173" customWidth="1"/>
    <col min="6665" max="6665" width="5.28515625" style="173" customWidth="1"/>
    <col min="6666" max="6903" width="3.7109375" style="173"/>
    <col min="6904" max="6919" width="3.7109375" style="173" customWidth="1"/>
    <col min="6920" max="6920" width="4.140625" style="173" customWidth="1"/>
    <col min="6921" max="6921" width="5.28515625" style="173" customWidth="1"/>
    <col min="6922" max="7159" width="3.7109375" style="173"/>
    <col min="7160" max="7175" width="3.7109375" style="173" customWidth="1"/>
    <col min="7176" max="7176" width="4.140625" style="173" customWidth="1"/>
    <col min="7177" max="7177" width="5.28515625" style="173" customWidth="1"/>
    <col min="7178" max="7415" width="3.7109375" style="173"/>
    <col min="7416" max="7431" width="3.7109375" style="173" customWidth="1"/>
    <col min="7432" max="7432" width="4.140625" style="173" customWidth="1"/>
    <col min="7433" max="7433" width="5.28515625" style="173" customWidth="1"/>
    <col min="7434" max="7671" width="3.7109375" style="173"/>
    <col min="7672" max="7687" width="3.7109375" style="173" customWidth="1"/>
    <col min="7688" max="7688" width="4.140625" style="173" customWidth="1"/>
    <col min="7689" max="7689" width="5.28515625" style="173" customWidth="1"/>
    <col min="7690" max="7927" width="3.7109375" style="173"/>
    <col min="7928" max="7943" width="3.7109375" style="173" customWidth="1"/>
    <col min="7944" max="7944" width="4.140625" style="173" customWidth="1"/>
    <col min="7945" max="7945" width="5.28515625" style="173" customWidth="1"/>
    <col min="7946" max="8183" width="3.7109375" style="173"/>
    <col min="8184" max="8199" width="3.7109375" style="173" customWidth="1"/>
    <col min="8200" max="8200" width="4.140625" style="173" customWidth="1"/>
    <col min="8201" max="8201" width="5.28515625" style="173" customWidth="1"/>
    <col min="8202" max="8439" width="3.7109375" style="173"/>
    <col min="8440" max="8455" width="3.7109375" style="173" customWidth="1"/>
    <col min="8456" max="8456" width="4.140625" style="173" customWidth="1"/>
    <col min="8457" max="8457" width="5.28515625" style="173" customWidth="1"/>
    <col min="8458" max="8695" width="3.7109375" style="173"/>
    <col min="8696" max="8711" width="3.7109375" style="173" customWidth="1"/>
    <col min="8712" max="8712" width="4.140625" style="173" customWidth="1"/>
    <col min="8713" max="8713" width="5.28515625" style="173" customWidth="1"/>
    <col min="8714" max="8951" width="3.7109375" style="173"/>
    <col min="8952" max="8967" width="3.7109375" style="173" customWidth="1"/>
    <col min="8968" max="8968" width="4.140625" style="173" customWidth="1"/>
    <col min="8969" max="8969" width="5.28515625" style="173" customWidth="1"/>
    <col min="8970" max="9207" width="3.7109375" style="173"/>
    <col min="9208" max="9223" width="3.7109375" style="173" customWidth="1"/>
    <col min="9224" max="9224" width="4.140625" style="173" customWidth="1"/>
    <col min="9225" max="9225" width="5.28515625" style="173" customWidth="1"/>
    <col min="9226" max="9463" width="3.7109375" style="173"/>
    <col min="9464" max="9479" width="3.7109375" style="173" customWidth="1"/>
    <col min="9480" max="9480" width="4.140625" style="173" customWidth="1"/>
    <col min="9481" max="9481" width="5.28515625" style="173" customWidth="1"/>
    <col min="9482" max="9719" width="3.7109375" style="173"/>
    <col min="9720" max="9735" width="3.7109375" style="173" customWidth="1"/>
    <col min="9736" max="9736" width="4.140625" style="173" customWidth="1"/>
    <col min="9737" max="9737" width="5.28515625" style="173" customWidth="1"/>
    <col min="9738" max="9975" width="3.7109375" style="173"/>
    <col min="9976" max="9991" width="3.7109375" style="173" customWidth="1"/>
    <col min="9992" max="9992" width="4.140625" style="173" customWidth="1"/>
    <col min="9993" max="9993" width="5.28515625" style="173" customWidth="1"/>
    <col min="9994" max="10231" width="3.7109375" style="173"/>
    <col min="10232" max="10247" width="3.7109375" style="173" customWidth="1"/>
    <col min="10248" max="10248" width="4.140625" style="173" customWidth="1"/>
    <col min="10249" max="10249" width="5.28515625" style="173" customWidth="1"/>
    <col min="10250" max="10487" width="3.7109375" style="173"/>
    <col min="10488" max="10503" width="3.7109375" style="173" customWidth="1"/>
    <col min="10504" max="10504" width="4.140625" style="173" customWidth="1"/>
    <col min="10505" max="10505" width="5.28515625" style="173" customWidth="1"/>
    <col min="10506" max="10743" width="3.7109375" style="173"/>
    <col min="10744" max="10759" width="3.7109375" style="173" customWidth="1"/>
    <col min="10760" max="10760" width="4.140625" style="173" customWidth="1"/>
    <col min="10761" max="10761" width="5.28515625" style="173" customWidth="1"/>
    <col min="10762" max="10999" width="3.7109375" style="173"/>
    <col min="11000" max="11015" width="3.7109375" style="173" customWidth="1"/>
    <col min="11016" max="11016" width="4.140625" style="173" customWidth="1"/>
    <col min="11017" max="11017" width="5.28515625" style="173" customWidth="1"/>
    <col min="11018" max="11255" width="3.7109375" style="173"/>
    <col min="11256" max="11271" width="3.7109375" style="173" customWidth="1"/>
    <col min="11272" max="11272" width="4.140625" style="173" customWidth="1"/>
    <col min="11273" max="11273" width="5.28515625" style="173" customWidth="1"/>
    <col min="11274" max="11511" width="3.7109375" style="173"/>
    <col min="11512" max="11527" width="3.7109375" style="173" customWidth="1"/>
    <col min="11528" max="11528" width="4.140625" style="173" customWidth="1"/>
    <col min="11529" max="11529" width="5.28515625" style="173" customWidth="1"/>
    <col min="11530" max="11767" width="3.7109375" style="173"/>
    <col min="11768" max="11783" width="3.7109375" style="173" customWidth="1"/>
    <col min="11784" max="11784" width="4.140625" style="173" customWidth="1"/>
    <col min="11785" max="11785" width="5.28515625" style="173" customWidth="1"/>
    <col min="11786" max="12023" width="3.7109375" style="173"/>
    <col min="12024" max="12039" width="3.7109375" style="173" customWidth="1"/>
    <col min="12040" max="12040" width="4.140625" style="173" customWidth="1"/>
    <col min="12041" max="12041" width="5.28515625" style="173" customWidth="1"/>
    <col min="12042" max="12279" width="3.7109375" style="173"/>
    <col min="12280" max="12295" width="3.7109375" style="173" customWidth="1"/>
    <col min="12296" max="12296" width="4.140625" style="173" customWidth="1"/>
    <col min="12297" max="12297" width="5.28515625" style="173" customWidth="1"/>
    <col min="12298" max="12535" width="3.7109375" style="173"/>
    <col min="12536" max="12551" width="3.7109375" style="173" customWidth="1"/>
    <col min="12552" max="12552" width="4.140625" style="173" customWidth="1"/>
    <col min="12553" max="12553" width="5.28515625" style="173" customWidth="1"/>
    <col min="12554" max="12791" width="3.7109375" style="173"/>
    <col min="12792" max="12807" width="3.7109375" style="173" customWidth="1"/>
    <col min="12808" max="12808" width="4.140625" style="173" customWidth="1"/>
    <col min="12809" max="12809" width="5.28515625" style="173" customWidth="1"/>
    <col min="12810" max="13047" width="3.7109375" style="173"/>
    <col min="13048" max="13063" width="3.7109375" style="173" customWidth="1"/>
    <col min="13064" max="13064" width="4.140625" style="173" customWidth="1"/>
    <col min="13065" max="13065" width="5.28515625" style="173" customWidth="1"/>
    <col min="13066" max="13303" width="3.7109375" style="173"/>
    <col min="13304" max="13319" width="3.7109375" style="173" customWidth="1"/>
    <col min="13320" max="13320" width="4.140625" style="173" customWidth="1"/>
    <col min="13321" max="13321" width="5.28515625" style="173" customWidth="1"/>
    <col min="13322" max="13559" width="3.7109375" style="173"/>
    <col min="13560" max="13575" width="3.7109375" style="173" customWidth="1"/>
    <col min="13576" max="13576" width="4.140625" style="173" customWidth="1"/>
    <col min="13577" max="13577" width="5.28515625" style="173" customWidth="1"/>
    <col min="13578" max="13815" width="3.7109375" style="173"/>
    <col min="13816" max="13831" width="3.7109375" style="173" customWidth="1"/>
    <col min="13832" max="13832" width="4.140625" style="173" customWidth="1"/>
    <col min="13833" max="13833" width="5.28515625" style="173" customWidth="1"/>
    <col min="13834" max="14071" width="3.7109375" style="173"/>
    <col min="14072" max="14087" width="3.7109375" style="173" customWidth="1"/>
    <col min="14088" max="14088" width="4.140625" style="173" customWidth="1"/>
    <col min="14089" max="14089" width="5.28515625" style="173" customWidth="1"/>
    <col min="14090" max="14327" width="3.7109375" style="173"/>
    <col min="14328" max="14343" width="3.7109375" style="173" customWidth="1"/>
    <col min="14344" max="14344" width="4.140625" style="173" customWidth="1"/>
    <col min="14345" max="14345" width="5.28515625" style="173" customWidth="1"/>
    <col min="14346" max="14583" width="3.7109375" style="173"/>
    <col min="14584" max="14599" width="3.7109375" style="173" customWidth="1"/>
    <col min="14600" max="14600" width="4.140625" style="173" customWidth="1"/>
    <col min="14601" max="14601" width="5.28515625" style="173" customWidth="1"/>
    <col min="14602" max="14839" width="3.7109375" style="173"/>
    <col min="14840" max="14855" width="3.7109375" style="173" customWidth="1"/>
    <col min="14856" max="14856" width="4.140625" style="173" customWidth="1"/>
    <col min="14857" max="14857" width="5.28515625" style="173" customWidth="1"/>
    <col min="14858" max="15095" width="3.7109375" style="173"/>
    <col min="15096" max="15111" width="3.7109375" style="173" customWidth="1"/>
    <col min="15112" max="15112" width="4.140625" style="173" customWidth="1"/>
    <col min="15113" max="15113" width="5.28515625" style="173" customWidth="1"/>
    <col min="15114" max="15351" width="3.7109375" style="173"/>
    <col min="15352" max="15367" width="3.7109375" style="173" customWidth="1"/>
    <col min="15368" max="15368" width="4.140625" style="173" customWidth="1"/>
    <col min="15369" max="15369" width="5.28515625" style="173" customWidth="1"/>
    <col min="15370" max="15607" width="3.7109375" style="173"/>
    <col min="15608" max="15623" width="3.7109375" style="173" customWidth="1"/>
    <col min="15624" max="15624" width="4.140625" style="173" customWidth="1"/>
    <col min="15625" max="15625" width="5.28515625" style="173" customWidth="1"/>
    <col min="15626" max="15863" width="3.7109375" style="173"/>
    <col min="15864" max="15879" width="3.7109375" style="173" customWidth="1"/>
    <col min="15880" max="15880" width="4.140625" style="173" customWidth="1"/>
    <col min="15881" max="15881" width="5.28515625" style="173" customWidth="1"/>
    <col min="15882" max="16119" width="3.7109375" style="173"/>
    <col min="16120" max="16135" width="3.7109375" style="173" customWidth="1"/>
    <col min="16136" max="16136" width="4.140625" style="173" customWidth="1"/>
    <col min="16137" max="16137" width="5.28515625" style="173" customWidth="1"/>
    <col min="16138" max="16384" width="3.7109375" style="173"/>
  </cols>
  <sheetData>
    <row r="2" spans="3:34" ht="15" customHeight="1" x14ac:dyDescent="0.25">
      <c r="C2" s="172"/>
      <c r="D2" s="172"/>
      <c r="E2" s="172"/>
      <c r="F2" s="172"/>
      <c r="G2" s="172"/>
      <c r="H2" s="172"/>
      <c r="I2" s="172"/>
      <c r="J2" s="172"/>
      <c r="K2" s="172"/>
      <c r="L2" s="172"/>
      <c r="M2" s="172"/>
      <c r="N2" s="172"/>
      <c r="O2" s="172"/>
      <c r="P2" s="172"/>
      <c r="Q2" s="172"/>
      <c r="R2" s="172"/>
      <c r="S2" s="172"/>
      <c r="T2" s="172"/>
      <c r="U2" s="172"/>
      <c r="V2" s="172"/>
      <c r="W2" s="172"/>
      <c r="X2" s="172"/>
      <c r="Y2" s="172"/>
      <c r="Z2" s="172"/>
      <c r="AA2" s="172"/>
    </row>
    <row r="3" spans="3:34" ht="15" customHeight="1" x14ac:dyDescent="0.25">
      <c r="C3" s="449" t="s">
        <v>0</v>
      </c>
      <c r="D3" s="449"/>
      <c r="E3" s="449"/>
      <c r="F3" s="449"/>
      <c r="G3" s="449"/>
      <c r="H3" s="449"/>
      <c r="I3" s="449"/>
      <c r="J3" s="449"/>
      <c r="K3" s="449"/>
      <c r="L3" s="449"/>
      <c r="M3" s="449"/>
      <c r="N3" s="449"/>
      <c r="O3" s="449"/>
      <c r="P3" s="449"/>
      <c r="Q3" s="449"/>
      <c r="R3" s="449"/>
      <c r="S3" s="449"/>
      <c r="T3" s="449"/>
      <c r="U3" s="449"/>
      <c r="V3" s="449"/>
      <c r="W3" s="449"/>
      <c r="X3" s="449"/>
      <c r="Y3" s="449"/>
      <c r="Z3" s="449"/>
      <c r="AA3" s="449"/>
    </row>
    <row r="4" spans="3:34" ht="15" customHeight="1" x14ac:dyDescent="0.25">
      <c r="C4" s="450" t="s">
        <v>1</v>
      </c>
      <c r="D4" s="450"/>
      <c r="E4" s="450"/>
      <c r="F4" s="450"/>
      <c r="G4" s="450"/>
      <c r="H4" s="450"/>
      <c r="I4" s="450"/>
      <c r="J4" s="450"/>
      <c r="K4" s="450"/>
      <c r="L4" s="450"/>
      <c r="M4" s="450"/>
      <c r="N4" s="450"/>
      <c r="O4" s="450"/>
      <c r="P4" s="450"/>
      <c r="Q4" s="450"/>
      <c r="R4" s="450"/>
      <c r="S4" s="450"/>
      <c r="T4" s="450"/>
      <c r="U4" s="450"/>
      <c r="V4" s="450"/>
      <c r="W4" s="450"/>
      <c r="X4" s="450"/>
      <c r="Y4" s="450"/>
      <c r="Z4" s="450"/>
      <c r="AA4" s="450"/>
    </row>
    <row r="5" spans="3:34" ht="15" customHeight="1" x14ac:dyDescent="0.25">
      <c r="C5" s="450" t="s">
        <v>60</v>
      </c>
      <c r="D5" s="450"/>
      <c r="E5" s="450"/>
      <c r="F5" s="450"/>
      <c r="G5" s="450"/>
      <c r="H5" s="450"/>
      <c r="I5" s="450"/>
      <c r="J5" s="450"/>
      <c r="K5" s="450"/>
      <c r="L5" s="450"/>
      <c r="M5" s="450"/>
      <c r="N5" s="450"/>
      <c r="O5" s="450"/>
      <c r="P5" s="450"/>
      <c r="Q5" s="450"/>
      <c r="R5" s="450"/>
      <c r="S5" s="450"/>
      <c r="T5" s="450"/>
      <c r="U5" s="450"/>
      <c r="V5" s="450"/>
      <c r="W5" s="450"/>
      <c r="X5" s="450"/>
      <c r="Y5" s="450"/>
      <c r="Z5" s="450"/>
      <c r="AA5" s="450"/>
    </row>
    <row r="6" spans="3:34" ht="15" customHeight="1" x14ac:dyDescent="0.25">
      <c r="C6" s="174"/>
      <c r="D6" s="174"/>
      <c r="E6" s="174"/>
      <c r="F6" s="174"/>
      <c r="G6" s="174"/>
      <c r="H6" s="174"/>
      <c r="I6" s="174"/>
      <c r="J6" s="174"/>
      <c r="K6" s="174"/>
      <c r="L6" s="174"/>
      <c r="M6" s="174"/>
      <c r="N6" s="174"/>
      <c r="O6" s="174"/>
      <c r="P6" s="174"/>
      <c r="Q6" s="174"/>
      <c r="R6" s="174"/>
      <c r="S6" s="174"/>
      <c r="T6" s="174"/>
      <c r="U6" s="174"/>
      <c r="V6" s="174"/>
      <c r="W6" s="174"/>
      <c r="X6" s="174"/>
      <c r="Y6" s="174"/>
      <c r="Z6" s="174"/>
      <c r="AA6" s="174"/>
    </row>
    <row r="7" spans="3:34" ht="15" customHeight="1" thickBot="1" x14ac:dyDescent="0.3">
      <c r="C7" s="451" t="s">
        <v>61</v>
      </c>
      <c r="D7" s="451"/>
      <c r="E7" s="451"/>
      <c r="F7" s="451"/>
      <c r="G7" s="451"/>
      <c r="H7" s="451"/>
      <c r="I7" s="451"/>
      <c r="J7" s="451"/>
      <c r="K7" s="451"/>
      <c r="L7" s="451"/>
      <c r="M7" s="451"/>
      <c r="N7" s="451"/>
      <c r="O7" s="451"/>
      <c r="P7" s="451"/>
      <c r="Q7" s="451"/>
      <c r="R7" s="451"/>
      <c r="S7" s="451"/>
      <c r="T7" s="451"/>
      <c r="U7" s="451"/>
      <c r="V7" s="451"/>
      <c r="W7" s="451"/>
      <c r="X7" s="451"/>
      <c r="Y7" s="451"/>
      <c r="Z7" s="451"/>
      <c r="AA7" s="451"/>
    </row>
    <row r="8" spans="3:34" ht="15" customHeight="1" x14ac:dyDescent="0.25">
      <c r="C8" s="175" t="s">
        <v>62</v>
      </c>
      <c r="D8" s="176"/>
      <c r="E8" s="176"/>
      <c r="F8" s="176"/>
      <c r="G8" s="176"/>
      <c r="H8" s="176"/>
      <c r="I8" s="176"/>
      <c r="J8" s="177"/>
      <c r="K8" s="178"/>
      <c r="L8" s="178"/>
      <c r="M8" s="178"/>
      <c r="N8" s="178"/>
      <c r="O8" s="178"/>
      <c r="P8" s="178"/>
      <c r="Q8" s="178"/>
      <c r="R8" s="178"/>
      <c r="S8" s="178"/>
      <c r="T8" s="452">
        <v>501930016</v>
      </c>
      <c r="U8" s="452"/>
      <c r="V8" s="452"/>
      <c r="W8" s="452"/>
      <c r="X8" s="452"/>
      <c r="Y8" s="452"/>
      <c r="Z8" s="452"/>
      <c r="AA8" s="453"/>
    </row>
    <row r="9" spans="3:34" ht="15" customHeight="1" x14ac:dyDescent="0.25">
      <c r="C9" s="179"/>
      <c r="D9" s="180"/>
      <c r="E9" s="180"/>
      <c r="F9" s="180"/>
      <c r="G9" s="180"/>
      <c r="H9" s="180"/>
      <c r="I9" s="180"/>
      <c r="J9" s="181"/>
      <c r="K9" s="447" t="str">
        <f>VLOOKUP(T8,ACTIVAS!$A$3:$AK$916,2,FALSE)</f>
        <v>JORGE ARTURO  CHAVARRIA MONGE</v>
      </c>
      <c r="L9" s="447"/>
      <c r="M9" s="447"/>
      <c r="N9" s="447"/>
      <c r="O9" s="447"/>
      <c r="P9" s="447"/>
      <c r="Q9" s="447"/>
      <c r="R9" s="447"/>
      <c r="S9" s="447"/>
      <c r="T9" s="447"/>
      <c r="U9" s="447"/>
      <c r="V9" s="447"/>
      <c r="W9" s="447"/>
      <c r="X9" s="447"/>
      <c r="Y9" s="447"/>
      <c r="Z9" s="447"/>
      <c r="AA9" s="448"/>
    </row>
    <row r="10" spans="3:34" ht="15" customHeight="1" x14ac:dyDescent="0.25">
      <c r="C10" s="179" t="s">
        <v>63</v>
      </c>
      <c r="D10" s="174"/>
      <c r="E10" s="174"/>
      <c r="F10" s="174"/>
      <c r="G10" s="174"/>
      <c r="H10" s="174"/>
      <c r="I10" s="174"/>
      <c r="J10" s="174"/>
      <c r="K10" s="181"/>
      <c r="L10" s="181"/>
      <c r="M10" s="181"/>
      <c r="N10" s="181"/>
      <c r="O10" s="181"/>
      <c r="P10" s="181"/>
      <c r="Q10" s="181"/>
      <c r="R10" s="181"/>
      <c r="S10" s="181"/>
      <c r="T10" s="447">
        <f>VLOOKUP(T8,ACTIVAS!A3:AK916,37,FALSE)</f>
        <v>1</v>
      </c>
      <c r="U10" s="447"/>
      <c r="V10" s="447"/>
      <c r="W10" s="447"/>
      <c r="X10" s="447"/>
      <c r="Y10" s="447"/>
      <c r="Z10" s="447"/>
      <c r="AA10" s="448"/>
    </row>
    <row r="11" spans="3:34" ht="15" customHeight="1" x14ac:dyDescent="0.25">
      <c r="C11" s="179" t="s">
        <v>64</v>
      </c>
      <c r="D11" s="174"/>
      <c r="E11" s="174"/>
      <c r="F11" s="174"/>
      <c r="G11" s="174"/>
      <c r="H11" s="174"/>
      <c r="I11" s="174"/>
      <c r="J11" s="174"/>
      <c r="K11" s="183"/>
      <c r="L11" s="183"/>
      <c r="M11" s="183"/>
      <c r="N11" s="183"/>
      <c r="O11" s="183"/>
      <c r="P11" s="183"/>
      <c r="Q11" s="183"/>
      <c r="R11" s="183"/>
      <c r="S11" s="183"/>
      <c r="T11" s="442" t="s">
        <v>65</v>
      </c>
      <c r="U11" s="442"/>
      <c r="V11" s="442"/>
      <c r="W11" s="442"/>
      <c r="X11" s="442"/>
      <c r="Y11" s="442"/>
      <c r="Z11" s="442"/>
      <c r="AA11" s="443"/>
      <c r="AE11" s="338">
        <v>501930016</v>
      </c>
      <c r="AF11" s="338"/>
      <c r="AG11" s="338"/>
      <c r="AH11" s="338"/>
    </row>
    <row r="12" spans="3:34" ht="15" customHeight="1" x14ac:dyDescent="0.25">
      <c r="C12" s="179" t="s">
        <v>66</v>
      </c>
      <c r="D12" s="184"/>
      <c r="E12" s="184"/>
      <c r="F12" s="184"/>
      <c r="G12" s="182"/>
      <c r="H12" s="182"/>
      <c r="I12" s="172"/>
      <c r="J12" s="172"/>
      <c r="K12" s="183"/>
      <c r="L12" s="183"/>
      <c r="M12" s="183"/>
      <c r="N12" s="183"/>
      <c r="O12" s="183"/>
      <c r="P12" s="183"/>
      <c r="Q12" s="183"/>
      <c r="R12" s="183"/>
      <c r="S12" s="183"/>
      <c r="T12" s="444">
        <v>0.29166666666666669</v>
      </c>
      <c r="U12" s="445"/>
      <c r="V12" s="445"/>
      <c r="W12" s="445"/>
      <c r="X12" s="445"/>
      <c r="Y12" s="445"/>
      <c r="Z12" s="445"/>
      <c r="AA12" s="446"/>
    </row>
    <row r="13" spans="3:34" ht="15" customHeight="1" x14ac:dyDescent="0.25">
      <c r="C13" s="179" t="s">
        <v>67</v>
      </c>
      <c r="D13" s="184"/>
      <c r="E13" s="184"/>
      <c r="F13" s="184"/>
      <c r="G13" s="182"/>
      <c r="H13" s="182"/>
      <c r="I13" s="172"/>
      <c r="J13" s="172"/>
      <c r="K13" s="183"/>
      <c r="L13" s="183"/>
      <c r="M13" s="183"/>
      <c r="N13" s="183"/>
      <c r="O13" s="183"/>
      <c r="P13" s="183"/>
      <c r="Q13" s="183"/>
      <c r="R13" s="183"/>
      <c r="S13" s="183"/>
      <c r="T13" s="444">
        <v>0.70833333333333337</v>
      </c>
      <c r="U13" s="445"/>
      <c r="V13" s="445"/>
      <c r="W13" s="445"/>
      <c r="X13" s="445"/>
      <c r="Y13" s="445"/>
      <c r="Z13" s="445"/>
      <c r="AA13" s="446"/>
    </row>
    <row r="14" spans="3:34" ht="15" customHeight="1" x14ac:dyDescent="0.25">
      <c r="C14" s="179" t="s">
        <v>68</v>
      </c>
      <c r="D14" s="184"/>
      <c r="E14" s="184"/>
      <c r="F14" s="184"/>
      <c r="G14" s="184"/>
      <c r="H14" s="184"/>
      <c r="I14" s="184"/>
      <c r="J14" s="184"/>
      <c r="K14" s="185"/>
      <c r="L14" s="185"/>
      <c r="M14" s="185"/>
      <c r="N14" s="185"/>
      <c r="O14" s="185"/>
      <c r="P14" s="185"/>
      <c r="Q14" s="185"/>
      <c r="R14" s="185"/>
      <c r="S14" s="185"/>
      <c r="T14" s="445">
        <v>2</v>
      </c>
      <c r="U14" s="445"/>
      <c r="V14" s="445"/>
      <c r="W14" s="445"/>
      <c r="X14" s="445"/>
      <c r="Y14" s="445"/>
      <c r="Z14" s="445"/>
      <c r="AA14" s="446"/>
    </row>
    <row r="15" spans="3:34" ht="15" customHeight="1" x14ac:dyDescent="0.25">
      <c r="C15" s="179" t="s">
        <v>69</v>
      </c>
      <c r="D15" s="172"/>
      <c r="E15" s="172"/>
      <c r="F15" s="172"/>
      <c r="G15" s="172"/>
      <c r="H15" s="172"/>
      <c r="I15" s="172"/>
      <c r="J15" s="172"/>
      <c r="K15" s="185"/>
      <c r="L15" s="185"/>
      <c r="M15" s="185"/>
      <c r="N15" s="185"/>
      <c r="O15" s="185"/>
      <c r="P15" s="185"/>
      <c r="Q15" s="185"/>
      <c r="R15" s="185"/>
      <c r="S15" s="185"/>
      <c r="T15" s="456">
        <v>4325000</v>
      </c>
      <c r="U15" s="456"/>
      <c r="V15" s="456"/>
      <c r="W15" s="456"/>
      <c r="X15" s="456"/>
      <c r="Y15" s="456"/>
      <c r="Z15" s="456"/>
      <c r="AA15" s="457"/>
    </row>
    <row r="16" spans="3:34" ht="15" customHeight="1" x14ac:dyDescent="0.25">
      <c r="C16" s="179" t="s">
        <v>70</v>
      </c>
      <c r="D16" s="172"/>
      <c r="E16" s="172"/>
      <c r="F16" s="172"/>
      <c r="G16" s="172"/>
      <c r="H16" s="172"/>
      <c r="I16" s="172"/>
      <c r="J16" s="172"/>
      <c r="K16" s="185"/>
      <c r="L16" s="185"/>
      <c r="M16" s="185"/>
      <c r="N16" s="185"/>
      <c r="O16" s="185"/>
      <c r="P16" s="185"/>
      <c r="Q16" s="185"/>
      <c r="R16" s="185"/>
      <c r="S16" s="185"/>
      <c r="T16" s="456">
        <v>12382000</v>
      </c>
      <c r="U16" s="456"/>
      <c r="V16" s="456"/>
      <c r="W16" s="456"/>
      <c r="X16" s="456"/>
      <c r="Y16" s="456"/>
      <c r="Z16" s="456"/>
      <c r="AA16" s="457"/>
    </row>
    <row r="17" spans="3:27" ht="15" customHeight="1" x14ac:dyDescent="0.25">
      <c r="C17" s="179" t="s">
        <v>71</v>
      </c>
      <c r="D17" s="172"/>
      <c r="E17" s="172"/>
      <c r="F17" s="172"/>
      <c r="G17" s="172"/>
      <c r="H17" s="172"/>
      <c r="I17" s="172"/>
      <c r="J17" s="172"/>
      <c r="K17" s="185"/>
      <c r="L17" s="185"/>
      <c r="M17" s="185"/>
      <c r="N17" s="185"/>
      <c r="O17" s="185"/>
      <c r="P17" s="185"/>
      <c r="Q17" s="185"/>
      <c r="R17" s="185"/>
      <c r="S17" s="185"/>
      <c r="T17" s="456">
        <v>0</v>
      </c>
      <c r="U17" s="456"/>
      <c r="V17" s="456"/>
      <c r="W17" s="456"/>
      <c r="X17" s="456"/>
      <c r="Y17" s="456"/>
      <c r="Z17" s="456"/>
      <c r="AA17" s="457"/>
    </row>
    <row r="18" spans="3:27" ht="15" customHeight="1" thickBot="1" x14ac:dyDescent="0.3">
      <c r="C18" s="451" t="s">
        <v>72</v>
      </c>
      <c r="D18" s="451"/>
      <c r="E18" s="451"/>
      <c r="F18" s="451"/>
      <c r="G18" s="451"/>
      <c r="H18" s="451"/>
      <c r="I18" s="451"/>
      <c r="J18" s="451"/>
      <c r="K18" s="451"/>
      <c r="L18" s="451"/>
      <c r="M18" s="451"/>
      <c r="N18" s="451"/>
      <c r="O18" s="451"/>
      <c r="P18" s="451"/>
      <c r="Q18" s="451"/>
      <c r="R18" s="451"/>
      <c r="S18" s="451"/>
      <c r="T18" s="451"/>
      <c r="U18" s="451"/>
      <c r="V18" s="451"/>
      <c r="W18" s="451"/>
      <c r="X18" s="451"/>
      <c r="Y18" s="451"/>
      <c r="Z18" s="451"/>
      <c r="AA18" s="451"/>
    </row>
    <row r="19" spans="3:27" ht="15" customHeight="1" x14ac:dyDescent="0.25">
      <c r="C19" s="186" t="s">
        <v>73</v>
      </c>
      <c r="D19" s="187"/>
      <c r="E19" s="187"/>
      <c r="F19" s="187"/>
      <c r="G19" s="187"/>
      <c r="H19" s="187"/>
      <c r="I19" s="187"/>
      <c r="J19" s="187"/>
      <c r="K19" s="187"/>
      <c r="L19" s="187"/>
      <c r="M19" s="187"/>
      <c r="N19" s="187"/>
      <c r="O19" s="187"/>
      <c r="P19" s="187"/>
      <c r="Q19" s="187"/>
      <c r="R19" s="187"/>
      <c r="S19" s="187"/>
      <c r="T19" s="187"/>
      <c r="U19" s="187"/>
      <c r="V19" s="187"/>
      <c r="W19" s="187"/>
      <c r="X19" s="187"/>
      <c r="Y19" s="187"/>
      <c r="Z19" s="187"/>
      <c r="AA19" s="188"/>
    </row>
    <row r="20" spans="3:27" ht="15" customHeight="1" x14ac:dyDescent="0.25">
      <c r="C20" s="189"/>
      <c r="D20" s="172"/>
      <c r="E20" s="172"/>
      <c r="F20" s="172"/>
      <c r="G20" s="172"/>
      <c r="H20" s="172"/>
      <c r="I20" s="172"/>
      <c r="J20" s="172"/>
      <c r="K20" s="172"/>
      <c r="L20" s="172"/>
      <c r="M20" s="172"/>
      <c r="N20" s="172"/>
      <c r="O20" s="172"/>
      <c r="P20" s="172"/>
      <c r="Q20" s="172"/>
      <c r="R20" s="172"/>
      <c r="S20" s="172"/>
      <c r="T20" s="172"/>
      <c r="U20" s="172"/>
      <c r="V20" s="172"/>
      <c r="W20" s="172"/>
      <c r="X20" s="172"/>
      <c r="Y20" s="454" t="s">
        <v>50</v>
      </c>
      <c r="Z20" s="454"/>
      <c r="AA20" s="455"/>
    </row>
    <row r="21" spans="3:27" ht="15" customHeight="1" x14ac:dyDescent="0.25">
      <c r="C21" s="378" t="s">
        <v>51</v>
      </c>
      <c r="D21" s="379"/>
      <c r="E21" s="379"/>
      <c r="F21" s="379"/>
      <c r="G21" s="379"/>
      <c r="H21" s="379"/>
      <c r="I21" s="379"/>
      <c r="J21" s="379"/>
      <c r="K21" s="379"/>
      <c r="L21" s="379"/>
      <c r="M21" s="379"/>
      <c r="N21" s="379"/>
      <c r="O21" s="379"/>
      <c r="P21" s="379"/>
      <c r="Q21" s="379"/>
      <c r="R21" s="379"/>
      <c r="S21" s="379"/>
      <c r="T21" s="379"/>
      <c r="U21" s="379"/>
      <c r="V21" s="379"/>
      <c r="W21" s="379"/>
      <c r="X21" s="379"/>
      <c r="Y21" s="380" t="s">
        <v>52</v>
      </c>
      <c r="Z21" s="380"/>
      <c r="AA21" s="381"/>
    </row>
    <row r="22" spans="3:27" ht="15" customHeight="1" x14ac:dyDescent="0.25">
      <c r="C22" s="378" t="s">
        <v>53</v>
      </c>
      <c r="D22" s="379"/>
      <c r="E22" s="379"/>
      <c r="F22" s="379"/>
      <c r="G22" s="379"/>
      <c r="H22" s="379"/>
      <c r="I22" s="379"/>
      <c r="J22" s="379"/>
      <c r="K22" s="379"/>
      <c r="L22" s="379"/>
      <c r="M22" s="379"/>
      <c r="N22" s="379"/>
      <c r="O22" s="379"/>
      <c r="P22" s="379"/>
      <c r="Q22" s="379"/>
      <c r="R22" s="379"/>
      <c r="S22" s="379"/>
      <c r="T22" s="379"/>
      <c r="U22" s="379"/>
      <c r="V22" s="379"/>
      <c r="W22" s="379"/>
      <c r="X22" s="379"/>
      <c r="Y22" s="380" t="s">
        <v>52</v>
      </c>
      <c r="Z22" s="380"/>
      <c r="AA22" s="381"/>
    </row>
    <row r="23" spans="3:27" ht="15" customHeight="1" x14ac:dyDescent="0.25">
      <c r="C23" s="378" t="s">
        <v>55</v>
      </c>
      <c r="D23" s="379"/>
      <c r="E23" s="379"/>
      <c r="F23" s="379"/>
      <c r="G23" s="379"/>
      <c r="H23" s="379"/>
      <c r="I23" s="379"/>
      <c r="J23" s="379"/>
      <c r="K23" s="379"/>
      <c r="L23" s="379"/>
      <c r="M23" s="379"/>
      <c r="N23" s="379"/>
      <c r="O23" s="379"/>
      <c r="P23" s="379"/>
      <c r="Q23" s="379"/>
      <c r="R23" s="379"/>
      <c r="S23" s="379"/>
      <c r="T23" s="379"/>
      <c r="U23" s="379"/>
      <c r="V23" s="379"/>
      <c r="W23" s="379"/>
      <c r="X23" s="379"/>
      <c r="Y23" s="380" t="s">
        <v>57</v>
      </c>
      <c r="Z23" s="380"/>
      <c r="AA23" s="381"/>
    </row>
    <row r="24" spans="3:27" ht="15" customHeight="1" thickBot="1" x14ac:dyDescent="0.3">
      <c r="C24" s="190" t="s">
        <v>56</v>
      </c>
      <c r="D24" s="191"/>
      <c r="E24" s="191"/>
      <c r="F24" s="191"/>
      <c r="G24" s="191"/>
      <c r="H24" s="191"/>
      <c r="I24" s="191"/>
      <c r="J24" s="191"/>
      <c r="K24" s="191"/>
      <c r="L24" s="191"/>
      <c r="M24" s="191"/>
      <c r="N24" s="191"/>
      <c r="O24" s="191"/>
      <c r="P24" s="191"/>
      <c r="Q24" s="191"/>
      <c r="R24" s="191"/>
      <c r="S24" s="191"/>
      <c r="T24" s="191"/>
      <c r="U24" s="191"/>
      <c r="V24" s="191"/>
      <c r="W24" s="191"/>
      <c r="X24" s="191"/>
      <c r="Y24" s="382" t="s">
        <v>52</v>
      </c>
      <c r="Z24" s="382"/>
      <c r="AA24" s="383"/>
    </row>
    <row r="26" spans="3:27" ht="15" hidden="1" customHeight="1" x14ac:dyDescent="0.25"/>
    <row r="27" spans="3:27" ht="15" hidden="1" customHeight="1" x14ac:dyDescent="0.25"/>
    <row r="28" spans="3:27" ht="15" hidden="1" customHeight="1" x14ac:dyDescent="0.25"/>
    <row r="29" spans="3:27" ht="15" hidden="1" customHeight="1" x14ac:dyDescent="0.25"/>
    <row r="30" spans="3:27" ht="15" hidden="1" customHeight="1" x14ac:dyDescent="0.25"/>
    <row r="31" spans="3:27" ht="15" hidden="1" customHeight="1" x14ac:dyDescent="0.25"/>
    <row r="32" spans="3:27" ht="15" hidden="1" customHeight="1" x14ac:dyDescent="0.25"/>
    <row r="33" ht="15" hidden="1" customHeight="1" x14ac:dyDescent="0.25"/>
    <row r="34" ht="15" hidden="1" customHeight="1" x14ac:dyDescent="0.25"/>
    <row r="35" ht="15" hidden="1" customHeight="1" x14ac:dyDescent="0.25"/>
    <row r="36" ht="15" hidden="1" customHeight="1" x14ac:dyDescent="0.25"/>
    <row r="37" ht="15" hidden="1" customHeight="1" x14ac:dyDescent="0.25"/>
    <row r="38" ht="15" hidden="1" customHeight="1" x14ac:dyDescent="0.25"/>
    <row r="39" ht="15" hidden="1" customHeight="1" x14ac:dyDescent="0.25"/>
    <row r="40" ht="15" hidden="1" customHeight="1" x14ac:dyDescent="0.25"/>
    <row r="41" ht="15" hidden="1" customHeight="1" x14ac:dyDescent="0.25"/>
    <row r="42" ht="15" hidden="1" customHeight="1" x14ac:dyDescent="0.25"/>
    <row r="43" ht="15" hidden="1" customHeight="1" x14ac:dyDescent="0.25"/>
    <row r="44" ht="15" hidden="1" customHeight="1" x14ac:dyDescent="0.25"/>
    <row r="45" ht="15" hidden="1" customHeight="1" x14ac:dyDescent="0.25"/>
    <row r="46" ht="15" hidden="1" customHeight="1" x14ac:dyDescent="0.25"/>
    <row r="47" ht="15" hidden="1" customHeight="1" x14ac:dyDescent="0.25"/>
    <row r="48" ht="15" hidden="1" customHeight="1" x14ac:dyDescent="0.25"/>
    <row r="50" spans="3:27" ht="15" customHeight="1" x14ac:dyDescent="0.25">
      <c r="C50" s="384" t="s">
        <v>74</v>
      </c>
      <c r="D50" s="384"/>
      <c r="E50" s="384"/>
      <c r="F50" s="384"/>
      <c r="G50" s="384"/>
      <c r="H50" s="384"/>
      <c r="I50" s="384"/>
      <c r="J50" s="384"/>
      <c r="K50" s="384"/>
      <c r="L50" s="384"/>
      <c r="M50" s="384"/>
      <c r="N50" s="384"/>
      <c r="O50" s="384"/>
      <c r="P50" s="384"/>
      <c r="Q50" s="384"/>
      <c r="R50" s="384"/>
      <c r="S50" s="384"/>
      <c r="T50" s="384"/>
      <c r="U50" s="384"/>
      <c r="V50" s="384"/>
      <c r="W50" s="384"/>
      <c r="X50" s="384"/>
      <c r="Y50" s="384"/>
      <c r="Z50" s="384"/>
    </row>
    <row r="51" spans="3:27" ht="15" customHeight="1" x14ac:dyDescent="0.25">
      <c r="C51" s="343" t="s">
        <v>1</v>
      </c>
      <c r="D51" s="343"/>
      <c r="E51" s="343"/>
      <c r="F51" s="343"/>
      <c r="G51" s="343"/>
      <c r="H51" s="343"/>
      <c r="I51" s="343"/>
      <c r="J51" s="343"/>
      <c r="K51" s="343"/>
      <c r="L51" s="343"/>
      <c r="M51" s="343"/>
      <c r="N51" s="343"/>
      <c r="O51" s="343"/>
      <c r="P51" s="343"/>
      <c r="Q51" s="343"/>
      <c r="R51" s="343"/>
      <c r="S51" s="343"/>
      <c r="T51" s="343"/>
      <c r="U51" s="343"/>
      <c r="V51" s="343"/>
      <c r="W51" s="343"/>
      <c r="X51" s="343"/>
      <c r="Y51" s="343"/>
      <c r="Z51" s="343"/>
    </row>
    <row r="52" spans="3:27" ht="15" customHeight="1" x14ac:dyDescent="0.25">
      <c r="C52" s="407" t="s">
        <v>75</v>
      </c>
      <c r="D52" s="407"/>
      <c r="E52" s="407"/>
      <c r="F52" s="407"/>
      <c r="G52" s="407"/>
      <c r="H52" s="407"/>
      <c r="I52" s="407"/>
      <c r="J52" s="407"/>
      <c r="K52" s="407"/>
      <c r="L52" s="407"/>
      <c r="M52" s="407"/>
      <c r="N52" s="407"/>
      <c r="O52" s="407"/>
      <c r="P52" s="407"/>
      <c r="Q52" s="407"/>
      <c r="R52" s="407"/>
      <c r="S52" s="407"/>
      <c r="T52" s="407"/>
      <c r="U52" s="407"/>
      <c r="V52" s="407"/>
      <c r="W52" s="407"/>
      <c r="X52" s="407"/>
      <c r="Y52" s="407"/>
      <c r="Z52" s="407"/>
    </row>
    <row r="53" spans="3:27" ht="15" customHeight="1" x14ac:dyDescent="0.3">
      <c r="I53" s="193"/>
      <c r="T53" s="437"/>
      <c r="U53" s="437"/>
      <c r="V53" s="437"/>
      <c r="W53" s="437"/>
      <c r="X53" s="437"/>
      <c r="Y53" s="437"/>
      <c r="Z53" s="437"/>
      <c r="AA53" s="437"/>
    </row>
    <row r="54" spans="3:27" ht="15" customHeight="1" x14ac:dyDescent="0.25">
      <c r="C54" s="438" t="s">
        <v>76</v>
      </c>
      <c r="D54" s="438"/>
      <c r="E54" s="438"/>
      <c r="F54" s="438"/>
      <c r="G54" s="438"/>
      <c r="H54" s="438"/>
      <c r="I54" s="438"/>
      <c r="J54" s="438"/>
      <c r="K54" s="438"/>
      <c r="L54" s="438"/>
      <c r="M54" s="438"/>
      <c r="N54" s="438"/>
      <c r="O54" s="438"/>
      <c r="P54" s="438"/>
      <c r="Q54" s="438"/>
      <c r="R54" s="438"/>
      <c r="S54" s="438"/>
      <c r="T54" s="438"/>
      <c r="U54" s="438"/>
      <c r="V54" s="438"/>
      <c r="W54" s="438"/>
      <c r="X54" s="438"/>
      <c r="Y54" s="438"/>
      <c r="Z54" s="438"/>
      <c r="AA54" s="438"/>
    </row>
    <row r="55" spans="3:27" ht="15" customHeight="1" x14ac:dyDescent="0.25">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c r="AA55" s="194"/>
    </row>
    <row r="56" spans="3:27" ht="15" customHeight="1" x14ac:dyDescent="0.25">
      <c r="C56" s="195" t="s">
        <v>77</v>
      </c>
      <c r="G56" s="439" t="str">
        <f>+'TOMA DATOS'!K9</f>
        <v>JORGE ARTURO  CHAVARRIA MONGE</v>
      </c>
      <c r="H56" s="439"/>
      <c r="I56" s="439"/>
      <c r="J56" s="439"/>
      <c r="K56" s="439"/>
      <c r="L56" s="439"/>
      <c r="M56" s="439"/>
      <c r="N56" s="439"/>
      <c r="O56" s="439"/>
      <c r="P56" s="439"/>
      <c r="Q56" s="439"/>
      <c r="R56" s="439"/>
      <c r="S56" s="439"/>
      <c r="T56" s="439"/>
      <c r="U56" s="439"/>
      <c r="V56" s="439"/>
      <c r="W56" s="439"/>
      <c r="X56" s="439"/>
      <c r="Y56" s="439"/>
      <c r="Z56" s="439"/>
      <c r="AA56" s="439"/>
    </row>
    <row r="57" spans="3:27" ht="15" customHeight="1" thickBot="1" x14ac:dyDescent="0.3">
      <c r="C57" s="196"/>
      <c r="D57" s="196"/>
      <c r="E57" s="196"/>
      <c r="F57" s="196"/>
      <c r="G57" s="196"/>
      <c r="H57" s="194"/>
      <c r="I57" s="192"/>
      <c r="J57" s="192"/>
      <c r="K57" s="192"/>
      <c r="L57" s="192"/>
      <c r="M57" s="192"/>
      <c r="N57" s="192"/>
      <c r="O57" s="192"/>
      <c r="P57" s="192"/>
      <c r="Q57" s="192"/>
      <c r="R57" s="192"/>
      <c r="S57" s="192"/>
      <c r="T57" s="192"/>
      <c r="U57" s="192"/>
      <c r="V57" s="192"/>
      <c r="W57" s="192"/>
      <c r="X57" s="192"/>
      <c r="Y57" s="192"/>
      <c r="Z57" s="192"/>
      <c r="AA57" s="192"/>
    </row>
    <row r="58" spans="3:27" ht="15" customHeight="1" thickBot="1" x14ac:dyDescent="0.3">
      <c r="C58" s="195" t="s">
        <v>78</v>
      </c>
      <c r="D58" s="196"/>
      <c r="E58" s="196"/>
      <c r="F58" s="196"/>
      <c r="G58" s="196"/>
      <c r="H58" s="194"/>
      <c r="I58" s="192"/>
      <c r="J58" s="197"/>
      <c r="K58" s="197"/>
      <c r="L58" s="197"/>
      <c r="M58" s="197"/>
      <c r="N58" s="197"/>
      <c r="O58" s="197"/>
      <c r="P58" s="197"/>
      <c r="Q58" s="197"/>
      <c r="R58" s="197"/>
      <c r="S58" s="197"/>
      <c r="T58" s="197"/>
      <c r="U58" s="197"/>
      <c r="V58" s="197"/>
      <c r="W58" s="197"/>
      <c r="X58" s="197"/>
      <c r="Y58" s="197"/>
      <c r="Z58" s="440">
        <f>+'TOMA DATOS'!T10</f>
        <v>1</v>
      </c>
      <c r="AA58" s="441"/>
    </row>
    <row r="59" spans="3:27" ht="15" customHeight="1" x14ac:dyDescent="0.25">
      <c r="C59" s="196"/>
      <c r="D59" s="196"/>
      <c r="E59" s="196"/>
      <c r="F59" s="196"/>
      <c r="G59" s="196"/>
      <c r="H59" s="194"/>
      <c r="I59" s="192"/>
      <c r="J59" s="192"/>
      <c r="K59" s="192"/>
      <c r="L59" s="192"/>
      <c r="M59" s="192"/>
      <c r="N59" s="192"/>
      <c r="O59" s="192"/>
      <c r="P59" s="192"/>
      <c r="Q59" s="192"/>
      <c r="R59" s="192"/>
      <c r="S59" s="192"/>
      <c r="T59" s="192"/>
      <c r="U59" s="192"/>
      <c r="V59" s="192"/>
      <c r="W59" s="192"/>
      <c r="X59" s="192"/>
      <c r="Y59" s="192"/>
      <c r="Z59" s="192"/>
      <c r="AA59" s="192"/>
    </row>
    <row r="60" spans="3:27" ht="15" customHeight="1" x14ac:dyDescent="0.25">
      <c r="C60" s="438" t="s">
        <v>79</v>
      </c>
      <c r="D60" s="438"/>
      <c r="E60" s="438"/>
      <c r="F60" s="438"/>
      <c r="G60" s="438"/>
      <c r="H60" s="438"/>
      <c r="I60" s="438"/>
      <c r="J60" s="438"/>
      <c r="K60" s="438"/>
      <c r="L60" s="438"/>
      <c r="M60" s="438"/>
      <c r="N60" s="438"/>
      <c r="O60" s="438"/>
      <c r="P60" s="438"/>
      <c r="Q60" s="438"/>
      <c r="R60" s="438"/>
      <c r="S60" s="438"/>
      <c r="T60" s="438"/>
      <c r="U60" s="438"/>
      <c r="V60" s="438"/>
      <c r="W60" s="438"/>
      <c r="X60" s="438"/>
      <c r="Y60" s="438"/>
      <c r="Z60" s="438"/>
      <c r="AA60" s="438"/>
    </row>
    <row r="61" spans="3:27" ht="15" customHeight="1" x14ac:dyDescent="0.25">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c r="AA61" s="194"/>
    </row>
    <row r="62" spans="3:27" ht="15" customHeight="1" x14ac:dyDescent="0.25">
      <c r="C62" s="198" t="s">
        <v>80</v>
      </c>
      <c r="D62" s="196"/>
      <c r="E62" s="196"/>
      <c r="F62" s="196"/>
      <c r="G62" s="196"/>
      <c r="H62" s="194"/>
      <c r="I62" s="192"/>
      <c r="J62" s="192"/>
      <c r="K62" s="192"/>
      <c r="L62" s="192"/>
      <c r="M62" s="192"/>
      <c r="N62" s="192"/>
      <c r="O62" s="192"/>
      <c r="P62" s="192"/>
      <c r="Q62" s="192"/>
      <c r="R62" s="192"/>
      <c r="S62" s="192"/>
      <c r="T62" s="192"/>
      <c r="U62" s="192"/>
      <c r="V62" s="192"/>
    </row>
    <row r="63" spans="3:27" ht="15" customHeight="1" thickBot="1" x14ac:dyDescent="0.3">
      <c r="C63" s="196"/>
      <c r="D63" s="196"/>
      <c r="E63" s="196"/>
      <c r="F63" s="196"/>
      <c r="G63" s="196"/>
      <c r="H63" s="194"/>
      <c r="I63" s="192"/>
      <c r="J63" s="192"/>
      <c r="K63" s="192"/>
      <c r="L63" s="192"/>
      <c r="M63" s="192"/>
      <c r="N63" s="192"/>
      <c r="O63" s="192"/>
      <c r="P63" s="192"/>
      <c r="Q63" s="192"/>
      <c r="R63" s="192"/>
      <c r="S63" s="192"/>
      <c r="T63" s="192"/>
      <c r="U63" s="192"/>
      <c r="V63" s="192"/>
      <c r="W63" s="192"/>
      <c r="X63" s="192"/>
      <c r="Y63" s="192"/>
      <c r="Z63" s="192"/>
      <c r="AA63" s="192"/>
    </row>
    <row r="64" spans="3:27" ht="15" customHeight="1" x14ac:dyDescent="0.25">
      <c r="C64" s="199" t="s">
        <v>81</v>
      </c>
      <c r="D64" s="200"/>
      <c r="E64" s="200"/>
      <c r="F64" s="200"/>
      <c r="G64" s="200"/>
      <c r="H64" s="201"/>
      <c r="I64" s="201"/>
      <c r="J64" s="201"/>
      <c r="K64" s="201"/>
      <c r="L64" s="201"/>
      <c r="M64" s="201"/>
      <c r="N64" s="201"/>
      <c r="O64" s="202">
        <v>1.75</v>
      </c>
      <c r="P64" s="203"/>
      <c r="Q64" s="203"/>
      <c r="R64" s="203"/>
      <c r="S64" s="203"/>
      <c r="T64" s="203"/>
      <c r="U64" s="201"/>
      <c r="V64" s="201"/>
      <c r="W64" s="201"/>
      <c r="X64" s="201"/>
      <c r="Y64" s="201"/>
      <c r="Z64" s="201"/>
      <c r="AA64" s="204"/>
    </row>
    <row r="65" spans="3:28" ht="15" customHeight="1" x14ac:dyDescent="0.25">
      <c r="C65" s="205" t="s">
        <v>82</v>
      </c>
      <c r="D65" s="206"/>
      <c r="E65" s="206"/>
      <c r="F65" s="206"/>
      <c r="G65" s="206"/>
      <c r="H65" s="207"/>
      <c r="I65" s="207"/>
      <c r="J65" s="207"/>
      <c r="K65" s="207"/>
      <c r="L65" s="207"/>
      <c r="M65" s="207"/>
      <c r="N65" s="207"/>
      <c r="O65" s="208">
        <v>2.5</v>
      </c>
      <c r="P65" s="209"/>
      <c r="Q65" s="209"/>
      <c r="R65" s="209"/>
      <c r="S65" s="209"/>
      <c r="T65" s="209"/>
      <c r="U65" s="207"/>
      <c r="V65" s="207"/>
      <c r="W65" s="207"/>
      <c r="X65" s="207"/>
      <c r="Y65" s="207"/>
      <c r="Z65" s="207"/>
      <c r="AA65" s="210"/>
    </row>
    <row r="66" spans="3:28" ht="15" customHeight="1" x14ac:dyDescent="0.25">
      <c r="C66" s="205" t="s">
        <v>83</v>
      </c>
      <c r="D66" s="206"/>
      <c r="E66" s="206"/>
      <c r="F66" s="206"/>
      <c r="G66" s="206"/>
      <c r="H66" s="207"/>
      <c r="I66" s="207"/>
      <c r="J66" s="207"/>
      <c r="K66" s="207"/>
      <c r="L66" s="207"/>
      <c r="M66" s="207"/>
      <c r="N66" s="207"/>
      <c r="O66" s="208">
        <v>3.25</v>
      </c>
      <c r="P66" s="209"/>
      <c r="Q66" s="209"/>
      <c r="R66" s="209"/>
      <c r="S66" s="209"/>
      <c r="T66" s="209"/>
      <c r="U66" s="207"/>
      <c r="V66" s="207"/>
      <c r="W66" s="207"/>
      <c r="X66" s="207"/>
      <c r="Y66" s="207"/>
      <c r="Z66" s="207"/>
      <c r="AA66" s="210"/>
    </row>
    <row r="67" spans="3:28" ht="15" customHeight="1" thickBot="1" x14ac:dyDescent="0.3">
      <c r="C67" s="211" t="s">
        <v>84</v>
      </c>
      <c r="D67" s="212"/>
      <c r="E67" s="212"/>
      <c r="F67" s="212"/>
      <c r="G67" s="212"/>
      <c r="H67" s="213"/>
      <c r="I67" s="213"/>
      <c r="J67" s="213"/>
      <c r="K67" s="213"/>
      <c r="L67" s="213"/>
      <c r="M67" s="213"/>
      <c r="N67" s="213"/>
      <c r="O67" s="214">
        <v>4.25</v>
      </c>
      <c r="P67" s="215"/>
      <c r="Q67" s="215"/>
      <c r="R67" s="215"/>
      <c r="S67" s="215"/>
      <c r="T67" s="215"/>
      <c r="U67" s="213"/>
      <c r="V67" s="213"/>
      <c r="W67" s="213"/>
      <c r="X67" s="213"/>
      <c r="Y67" s="213"/>
      <c r="Z67" s="213"/>
      <c r="AA67" s="216"/>
    </row>
    <row r="68" spans="3:28" ht="15" customHeight="1" thickBot="1" x14ac:dyDescent="0.3">
      <c r="C68" s="217" t="s">
        <v>85</v>
      </c>
      <c r="D68" s="218"/>
      <c r="E68" s="212"/>
      <c r="F68" s="212"/>
      <c r="G68" s="212"/>
      <c r="H68" s="400">
        <f>+IF(T16&lt;750000000,T16*O64/1000,IF(T16&lt;1500000000,T16*O65/1000,IF(T16&lt;3000000000,T16*O66/1000,T16*O67/1000)))</f>
        <v>21668.5</v>
      </c>
      <c r="I68" s="401"/>
      <c r="J68" s="401"/>
      <c r="K68" s="401"/>
      <c r="L68" s="401"/>
      <c r="M68" s="401"/>
      <c r="N68" s="401"/>
      <c r="O68" s="402"/>
      <c r="P68" s="219" t="s">
        <v>86</v>
      </c>
      <c r="Q68" s="215"/>
      <c r="R68" s="215"/>
      <c r="S68" s="215"/>
      <c r="T68" s="215"/>
      <c r="U68" s="215"/>
      <c r="V68" s="375">
        <f>+H68/4</f>
        <v>5417.125</v>
      </c>
      <c r="W68" s="376"/>
      <c r="X68" s="376"/>
      <c r="Y68" s="376"/>
      <c r="Z68" s="376"/>
      <c r="AA68" s="377"/>
    </row>
    <row r="69" spans="3:28" ht="15" customHeight="1" x14ac:dyDescent="0.25">
      <c r="C69" s="196"/>
      <c r="D69" s="196"/>
      <c r="E69" s="196"/>
      <c r="F69" s="196"/>
      <c r="G69" s="196"/>
      <c r="H69" s="194"/>
      <c r="I69" s="192"/>
      <c r="J69" s="192"/>
      <c r="K69" s="192"/>
      <c r="L69" s="192"/>
      <c r="M69" s="192"/>
      <c r="N69" s="192"/>
      <c r="O69" s="192"/>
      <c r="P69" s="192"/>
      <c r="Q69" s="192"/>
      <c r="R69" s="192"/>
      <c r="S69" s="192"/>
      <c r="T69" s="192"/>
      <c r="U69" s="192"/>
      <c r="V69" s="192"/>
      <c r="W69" s="192"/>
      <c r="X69" s="192"/>
      <c r="Y69" s="192"/>
      <c r="Z69" s="192"/>
      <c r="AA69" s="192"/>
    </row>
    <row r="70" spans="3:28" ht="15" customHeight="1" x14ac:dyDescent="0.25">
      <c r="C70" s="198" t="s">
        <v>87</v>
      </c>
      <c r="D70" s="196"/>
      <c r="E70" s="196"/>
      <c r="F70" s="196"/>
      <c r="G70" s="196"/>
      <c r="H70" s="194"/>
      <c r="I70" s="192"/>
      <c r="J70" s="192"/>
      <c r="K70" s="192"/>
      <c r="L70" s="192"/>
      <c r="M70" s="192"/>
      <c r="N70" s="192"/>
      <c r="O70" s="192"/>
      <c r="P70" s="192"/>
      <c r="Q70" s="192"/>
      <c r="R70" s="192"/>
      <c r="S70" s="192"/>
      <c r="T70" s="192"/>
      <c r="U70" s="192"/>
      <c r="V70" s="192"/>
      <c r="W70" s="192"/>
      <c r="X70" s="192"/>
      <c r="Y70" s="192"/>
      <c r="Z70" s="192"/>
      <c r="AA70" s="192"/>
    </row>
    <row r="71" spans="3:28" ht="15" customHeight="1" thickBot="1" x14ac:dyDescent="0.3">
      <c r="C71" s="196"/>
      <c r="D71" s="196"/>
      <c r="E71" s="196"/>
      <c r="F71" s="196"/>
      <c r="G71" s="196"/>
      <c r="H71" s="194"/>
      <c r="I71" s="192"/>
      <c r="J71" s="192"/>
      <c r="K71" s="192"/>
      <c r="L71" s="192"/>
      <c r="M71" s="192"/>
      <c r="N71" s="192"/>
      <c r="O71" s="192"/>
      <c r="P71" s="192"/>
      <c r="Q71" s="192"/>
      <c r="R71" s="192"/>
      <c r="S71" s="192"/>
      <c r="T71" s="192"/>
      <c r="U71" s="192"/>
      <c r="V71" s="192"/>
      <c r="W71" s="192"/>
      <c r="X71" s="192"/>
      <c r="Y71" s="192"/>
      <c r="Z71" s="192"/>
      <c r="AA71" s="192"/>
    </row>
    <row r="72" spans="3:28" s="220" customFormat="1" ht="25.5" customHeight="1" thickBot="1" x14ac:dyDescent="0.25">
      <c r="C72" s="433" t="s">
        <v>88</v>
      </c>
      <c r="D72" s="434"/>
      <c r="E72" s="434"/>
      <c r="F72" s="434" t="s">
        <v>89</v>
      </c>
      <c r="G72" s="434"/>
      <c r="H72" s="434"/>
      <c r="I72" s="434"/>
      <c r="J72" s="434"/>
      <c r="K72" s="434"/>
      <c r="L72" s="434"/>
      <c r="M72" s="434"/>
      <c r="N72" s="434" t="s">
        <v>90</v>
      </c>
      <c r="O72" s="434"/>
      <c r="P72" s="434"/>
      <c r="Q72" s="435" t="s">
        <v>91</v>
      </c>
      <c r="R72" s="435"/>
      <c r="S72" s="435"/>
      <c r="T72" s="435" t="s">
        <v>92</v>
      </c>
      <c r="U72" s="435"/>
      <c r="V72" s="435"/>
      <c r="W72" s="434" t="s">
        <v>93</v>
      </c>
      <c r="X72" s="434"/>
      <c r="Y72" s="434"/>
      <c r="Z72" s="434"/>
      <c r="AA72" s="436"/>
    </row>
    <row r="73" spans="3:28" ht="15" customHeight="1" x14ac:dyDescent="0.25">
      <c r="C73" s="427">
        <v>1</v>
      </c>
      <c r="D73" s="428"/>
      <c r="E73" s="428"/>
      <c r="F73" s="429" t="s">
        <v>94</v>
      </c>
      <c r="G73" s="429"/>
      <c r="H73" s="429"/>
      <c r="I73" s="429"/>
      <c r="J73" s="429"/>
      <c r="K73" s="429"/>
      <c r="L73" s="429"/>
      <c r="M73" s="429"/>
      <c r="N73" s="430">
        <f>VLOOKUP(F73,PARÁMETROS!M335:N344,2,0)</f>
        <v>796921</v>
      </c>
      <c r="O73" s="430"/>
      <c r="P73" s="430"/>
      <c r="Q73" s="431">
        <f>+N73*C73</f>
        <v>796921</v>
      </c>
      <c r="R73" s="431"/>
      <c r="S73" s="431"/>
      <c r="T73" s="431">
        <f>+Q73*31.36%</f>
        <v>249914.42559999999</v>
      </c>
      <c r="U73" s="431"/>
      <c r="V73" s="431"/>
      <c r="W73" s="431">
        <f>+ROUND(T73+Q73,0)</f>
        <v>1046835</v>
      </c>
      <c r="X73" s="431"/>
      <c r="Y73" s="431"/>
      <c r="Z73" s="431"/>
      <c r="AA73" s="432"/>
    </row>
    <row r="74" spans="3:28" ht="15.75" customHeight="1" thickBot="1" x14ac:dyDescent="0.3">
      <c r="C74" s="421">
        <f>+'TOMA DATOS'!T14-'TOMA DATOS'!C73</f>
        <v>1</v>
      </c>
      <c r="D74" s="422"/>
      <c r="E74" s="422"/>
      <c r="F74" s="423" t="s">
        <v>95</v>
      </c>
      <c r="G74" s="423"/>
      <c r="H74" s="423"/>
      <c r="I74" s="423"/>
      <c r="J74" s="423"/>
      <c r="K74" s="423"/>
      <c r="L74" s="423"/>
      <c r="M74" s="423"/>
      <c r="N74" s="424">
        <f>IFERROR(VLOOKUP(F74,PARÁMETROS!M335:N344,2,0),"")</f>
        <v>373092.3</v>
      </c>
      <c r="O74" s="424"/>
      <c r="P74" s="424"/>
      <c r="Q74" s="425">
        <f>IFERROR(N74*C74,"")</f>
        <v>373092.3</v>
      </c>
      <c r="R74" s="425"/>
      <c r="S74" s="425"/>
      <c r="T74" s="425">
        <f>IFERROR(Q74*31.36%,"")</f>
        <v>117001.74527999999</v>
      </c>
      <c r="U74" s="425"/>
      <c r="V74" s="425"/>
      <c r="W74" s="425">
        <f>IFERROR(ROUND(T74+Q74,0),"")</f>
        <v>490094</v>
      </c>
      <c r="X74" s="425"/>
      <c r="Y74" s="425"/>
      <c r="Z74" s="425"/>
      <c r="AA74" s="426"/>
    </row>
    <row r="75" spans="3:28" ht="15" customHeight="1" x14ac:dyDescent="0.25">
      <c r="C75" s="411" t="s">
        <v>96</v>
      </c>
      <c r="D75" s="411"/>
      <c r="E75" s="411"/>
      <c r="F75" s="411"/>
      <c r="G75" s="411"/>
      <c r="H75" s="411"/>
      <c r="I75" s="411"/>
      <c r="J75" s="411"/>
      <c r="K75" s="411"/>
      <c r="L75" s="411"/>
      <c r="M75" s="411"/>
      <c r="N75" s="411"/>
      <c r="O75" s="411"/>
      <c r="P75" s="411"/>
      <c r="Q75" s="411"/>
      <c r="R75" s="411"/>
      <c r="S75" s="411"/>
      <c r="T75" s="411"/>
      <c r="U75" s="411"/>
      <c r="V75" s="411"/>
      <c r="W75" s="412">
        <f>SUM(W73:AA74)*12</f>
        <v>18443148</v>
      </c>
      <c r="X75" s="413"/>
      <c r="Y75" s="413"/>
      <c r="Z75" s="413"/>
      <c r="AA75" s="414"/>
      <c r="AB75" s="221">
        <v>0.4</v>
      </c>
    </row>
    <row r="76" spans="3:28" ht="15" customHeight="1" x14ac:dyDescent="0.25">
      <c r="C76" s="411" t="s">
        <v>97</v>
      </c>
      <c r="D76" s="411"/>
      <c r="E76" s="411"/>
      <c r="F76" s="411"/>
      <c r="G76" s="411"/>
      <c r="H76" s="411"/>
      <c r="I76" s="411"/>
      <c r="J76" s="411"/>
      <c r="K76" s="411"/>
      <c r="L76" s="411"/>
      <c r="M76" s="411"/>
      <c r="N76" s="411"/>
      <c r="O76" s="411"/>
      <c r="P76" s="411"/>
      <c r="Q76" s="411"/>
      <c r="R76" s="411"/>
      <c r="S76" s="411"/>
      <c r="T76" s="411"/>
      <c r="U76" s="411"/>
      <c r="V76" s="411"/>
      <c r="W76" s="415">
        <f>+W75*1.5</f>
        <v>27664722</v>
      </c>
      <c r="X76" s="416"/>
      <c r="Y76" s="416"/>
      <c r="Z76" s="416"/>
      <c r="AA76" s="417"/>
      <c r="AB76" s="221">
        <f>+W76/W77</f>
        <v>0.6</v>
      </c>
    </row>
    <row r="77" spans="3:28" ht="15" customHeight="1" thickBot="1" x14ac:dyDescent="0.3">
      <c r="C77" s="411" t="s">
        <v>98</v>
      </c>
      <c r="D77" s="411"/>
      <c r="E77" s="411"/>
      <c r="F77" s="411"/>
      <c r="G77" s="411"/>
      <c r="H77" s="411"/>
      <c r="I77" s="411"/>
      <c r="J77" s="411"/>
      <c r="K77" s="411"/>
      <c r="L77" s="411"/>
      <c r="M77" s="411"/>
      <c r="N77" s="411"/>
      <c r="O77" s="411"/>
      <c r="P77" s="411"/>
      <c r="Q77" s="411"/>
      <c r="R77" s="411"/>
      <c r="S77" s="411"/>
      <c r="T77" s="411"/>
      <c r="U77" s="411"/>
      <c r="V77" s="411"/>
      <c r="W77" s="418">
        <f>+W76+W75</f>
        <v>46107870</v>
      </c>
      <c r="X77" s="419"/>
      <c r="Y77" s="419"/>
      <c r="Z77" s="419"/>
      <c r="AA77" s="420"/>
    </row>
    <row r="78" spans="3:28" ht="15" customHeight="1" x14ac:dyDescent="0.25">
      <c r="C78" s="195"/>
      <c r="D78" s="195"/>
      <c r="E78" s="195"/>
      <c r="F78" s="195"/>
      <c r="G78" s="195"/>
      <c r="H78" s="195"/>
      <c r="I78" s="195"/>
      <c r="J78" s="195"/>
      <c r="K78" s="195"/>
      <c r="L78" s="195"/>
      <c r="M78" s="195"/>
      <c r="N78" s="195"/>
      <c r="O78" s="195"/>
      <c r="P78" s="195"/>
      <c r="Q78" s="195"/>
      <c r="R78" s="195"/>
      <c r="S78" s="195"/>
      <c r="T78" s="195"/>
      <c r="U78" s="195"/>
      <c r="V78" s="195"/>
      <c r="W78" s="222"/>
      <c r="X78" s="223"/>
      <c r="Y78" s="223"/>
      <c r="Z78" s="223"/>
      <c r="AA78" s="223"/>
    </row>
    <row r="79" spans="3:28" s="226" customFormat="1" ht="15" customHeight="1" x14ac:dyDescent="0.2">
      <c r="C79" s="224" t="s">
        <v>21</v>
      </c>
      <c r="D79" s="225"/>
      <c r="E79" s="225"/>
      <c r="F79" s="225"/>
      <c r="G79" s="225"/>
      <c r="H79" s="225"/>
      <c r="I79" s="225"/>
    </row>
    <row r="80" spans="3:28" s="226" customFormat="1" ht="15" customHeight="1" x14ac:dyDescent="0.25">
      <c r="C80" s="224" t="s">
        <v>99</v>
      </c>
      <c r="D80" s="225"/>
      <c r="E80" s="409">
        <f>+'TOMA DATOS'!T15</f>
        <v>4325000</v>
      </c>
      <c r="F80" s="409"/>
      <c r="G80" s="409"/>
      <c r="H80" s="409"/>
      <c r="I80" s="409"/>
      <c r="J80" s="409"/>
    </row>
    <row r="81" spans="3:38" s="226" customFormat="1" ht="15" customHeight="1" x14ac:dyDescent="0.25">
      <c r="C81" s="224" t="s">
        <v>100</v>
      </c>
      <c r="D81" s="225"/>
      <c r="E81" s="404">
        <f>+IF(E80&gt;=10000000,1.15,IF(D31&lt;=5000000,1,1.1))</f>
        <v>1</v>
      </c>
      <c r="F81" s="404"/>
      <c r="G81" s="404"/>
      <c r="H81" s="404"/>
      <c r="I81" s="404"/>
      <c r="J81" s="404"/>
    </row>
    <row r="82" spans="3:38" s="226" customFormat="1" ht="15" customHeight="1" x14ac:dyDescent="0.2">
      <c r="C82" s="224"/>
      <c r="D82" s="225"/>
      <c r="E82" s="225"/>
      <c r="F82" s="225"/>
      <c r="G82" s="225"/>
      <c r="H82" s="225"/>
      <c r="I82" s="225"/>
    </row>
    <row r="83" spans="3:38" s="226" customFormat="1" ht="15" customHeight="1" x14ac:dyDescent="0.2">
      <c r="C83" s="224" t="s">
        <v>101</v>
      </c>
      <c r="D83" s="224"/>
      <c r="E83" s="403" t="s">
        <v>102</v>
      </c>
      <c r="F83" s="403"/>
      <c r="G83" s="403"/>
      <c r="H83" s="403"/>
      <c r="I83" s="403"/>
      <c r="J83" s="403"/>
      <c r="K83" s="403"/>
    </row>
    <row r="84" spans="3:38" s="226" customFormat="1" ht="15" customHeight="1" x14ac:dyDescent="0.25">
      <c r="C84" s="224" t="s">
        <v>100</v>
      </c>
      <c r="D84" s="225"/>
      <c r="E84" s="404">
        <f>VLOOKUP(E83,PARÁMETROS!M347:N350,2,0)</f>
        <v>1</v>
      </c>
      <c r="F84" s="404"/>
      <c r="G84" s="404"/>
      <c r="H84" s="404"/>
      <c r="I84" s="404"/>
      <c r="J84" s="404"/>
    </row>
    <row r="85" spans="3:38" s="226" customFormat="1" ht="15" customHeight="1" x14ac:dyDescent="0.2">
      <c r="C85" s="224"/>
      <c r="D85" s="225"/>
      <c r="E85" s="225"/>
      <c r="F85" s="225"/>
      <c r="G85" s="225"/>
      <c r="H85" s="225"/>
      <c r="I85" s="225"/>
    </row>
    <row r="86" spans="3:38" s="226" customFormat="1" ht="15" customHeight="1" x14ac:dyDescent="0.2">
      <c r="C86" s="224" t="s">
        <v>103</v>
      </c>
      <c r="D86" s="225"/>
      <c r="E86" s="225"/>
      <c r="F86" s="225"/>
      <c r="G86" s="225"/>
      <c r="H86" s="225"/>
      <c r="I86" s="225"/>
      <c r="AL86" s="227"/>
    </row>
    <row r="87" spans="3:38" s="226" customFormat="1" ht="15" customHeight="1" x14ac:dyDescent="0.25">
      <c r="C87" s="224" t="s">
        <v>104</v>
      </c>
      <c r="D87" s="224"/>
      <c r="E87" s="410">
        <f>+'TOMA DATOS'!T12</f>
        <v>0.29166666666666669</v>
      </c>
      <c r="F87" s="410"/>
      <c r="G87" s="410"/>
      <c r="H87" s="410"/>
      <c r="I87" s="410"/>
    </row>
    <row r="88" spans="3:38" s="226" customFormat="1" ht="15" customHeight="1" x14ac:dyDescent="0.25">
      <c r="C88" s="224" t="s">
        <v>105</v>
      </c>
      <c r="D88" s="224"/>
      <c r="E88" s="410">
        <f>+'TOMA DATOS'!T13</f>
        <v>0.70833333333333337</v>
      </c>
      <c r="F88" s="410"/>
      <c r="G88" s="410"/>
      <c r="H88" s="410"/>
      <c r="I88" s="410"/>
    </row>
    <row r="89" spans="3:38" s="226" customFormat="1" ht="15" customHeight="1" x14ac:dyDescent="0.2">
      <c r="C89" s="224" t="s">
        <v>106</v>
      </c>
      <c r="D89" s="225"/>
      <c r="E89" s="403" t="s">
        <v>107</v>
      </c>
      <c r="F89" s="403"/>
      <c r="G89" s="403"/>
      <c r="H89" s="403"/>
      <c r="I89" s="403"/>
      <c r="J89" s="403"/>
    </row>
    <row r="90" spans="3:38" s="226" customFormat="1" ht="15" customHeight="1" x14ac:dyDescent="0.25">
      <c r="C90" s="224" t="s">
        <v>100</v>
      </c>
      <c r="D90" s="225"/>
      <c r="E90" s="404">
        <f>VLOOKUP(E89,PARÁMETROS!M352:N354,2,0)</f>
        <v>1</v>
      </c>
      <c r="F90" s="404"/>
      <c r="G90" s="404"/>
      <c r="H90" s="404"/>
      <c r="I90" s="404"/>
      <c r="J90" s="404"/>
      <c r="AK90" s="228"/>
    </row>
    <row r="91" spans="3:38" s="226" customFormat="1" ht="15" customHeight="1" x14ac:dyDescent="0.2">
      <c r="C91" s="224"/>
      <c r="D91" s="225"/>
      <c r="E91" s="225"/>
      <c r="F91" s="225"/>
      <c r="G91" s="225"/>
      <c r="H91" s="225"/>
      <c r="I91" s="225"/>
      <c r="L91" s="229"/>
      <c r="M91" s="229"/>
      <c r="N91" s="229"/>
      <c r="O91" s="229"/>
      <c r="P91" s="229"/>
    </row>
    <row r="92" spans="3:38" ht="15" customHeight="1" x14ac:dyDescent="0.25">
      <c r="C92" s="224" t="s">
        <v>108</v>
      </c>
      <c r="D92" s="225"/>
      <c r="F92" s="225"/>
      <c r="G92" s="226"/>
      <c r="H92" s="405">
        <f>+E90+E84+E81</f>
        <v>3</v>
      </c>
      <c r="I92" s="405"/>
      <c r="J92" s="405"/>
      <c r="K92" s="405"/>
      <c r="L92" s="231">
        <f>+PARÁMETROS!N355</f>
        <v>3.25</v>
      </c>
      <c r="M92" s="232">
        <v>1</v>
      </c>
      <c r="N92" s="231">
        <f>+H92</f>
        <v>3</v>
      </c>
      <c r="O92" s="232" t="s">
        <v>109</v>
      </c>
      <c r="P92" s="233"/>
    </row>
    <row r="93" spans="3:38" ht="15" customHeight="1" x14ac:dyDescent="0.25">
      <c r="C93" s="231">
        <v>3.25</v>
      </c>
      <c r="D93" s="232">
        <v>1</v>
      </c>
      <c r="E93" s="234">
        <f>+H92</f>
        <v>3</v>
      </c>
      <c r="F93" s="232" t="s">
        <v>109</v>
      </c>
      <c r="G93" s="226"/>
      <c r="H93" s="230"/>
      <c r="I93" s="230"/>
      <c r="J93" s="230"/>
      <c r="K93" s="230"/>
      <c r="L93" s="231"/>
      <c r="M93" s="232"/>
      <c r="N93" s="231"/>
      <c r="O93" s="232"/>
      <c r="P93" s="233"/>
    </row>
    <row r="94" spans="3:38" ht="15" hidden="1" customHeight="1" x14ac:dyDescent="0.25">
      <c r="C94" s="224"/>
      <c r="D94" s="225"/>
      <c r="F94" s="225"/>
      <c r="G94" s="226"/>
      <c r="H94" s="230"/>
      <c r="I94" s="230"/>
      <c r="J94" s="230"/>
      <c r="K94" s="230"/>
      <c r="L94" s="231"/>
      <c r="M94" s="232"/>
      <c r="N94" s="231"/>
      <c r="O94" s="232"/>
      <c r="P94" s="233"/>
    </row>
    <row r="95" spans="3:38" ht="15" hidden="1" customHeight="1" x14ac:dyDescent="0.25">
      <c r="C95" s="224"/>
      <c r="D95" s="225"/>
      <c r="F95" s="225"/>
      <c r="G95" s="226"/>
      <c r="H95" s="230"/>
      <c r="I95" s="230"/>
      <c r="J95" s="230"/>
      <c r="K95" s="230"/>
      <c r="L95" s="231"/>
      <c r="M95" s="232"/>
      <c r="N95" s="231"/>
      <c r="O95" s="232"/>
      <c r="P95" s="233"/>
    </row>
    <row r="96" spans="3:38" ht="15" hidden="1" customHeight="1" x14ac:dyDescent="0.25">
      <c r="C96" s="224"/>
      <c r="D96" s="225"/>
      <c r="F96" s="225"/>
      <c r="G96" s="226"/>
      <c r="H96" s="230"/>
      <c r="I96" s="230"/>
      <c r="J96" s="230"/>
      <c r="K96" s="230"/>
      <c r="L96" s="231"/>
      <c r="M96" s="232"/>
      <c r="N96" s="231"/>
      <c r="O96" s="232"/>
      <c r="P96" s="233"/>
    </row>
    <row r="97" spans="3:27" ht="15" hidden="1" customHeight="1" x14ac:dyDescent="0.25">
      <c r="C97" s="224"/>
      <c r="D97" s="225"/>
      <c r="F97" s="225"/>
      <c r="G97" s="226"/>
      <c r="H97" s="230"/>
      <c r="I97" s="230"/>
      <c r="J97" s="230"/>
      <c r="K97" s="230"/>
      <c r="L97" s="231"/>
      <c r="M97" s="232"/>
      <c r="N97" s="231"/>
      <c r="O97" s="232"/>
      <c r="P97" s="233"/>
    </row>
    <row r="98" spans="3:27" ht="15" hidden="1" customHeight="1" x14ac:dyDescent="0.25">
      <c r="C98" s="224"/>
      <c r="D98" s="225"/>
      <c r="F98" s="225"/>
      <c r="G98" s="226"/>
      <c r="H98" s="230"/>
      <c r="I98" s="230"/>
      <c r="J98" s="230"/>
      <c r="K98" s="230"/>
      <c r="L98" s="231"/>
      <c r="M98" s="232"/>
      <c r="N98" s="235"/>
      <c r="O98" s="236"/>
      <c r="P98" s="237"/>
      <c r="Q98" s="237"/>
      <c r="R98" s="237"/>
      <c r="S98" s="237"/>
      <c r="T98" s="237"/>
      <c r="U98" s="237"/>
      <c r="V98" s="237"/>
    </row>
    <row r="99" spans="3:27" ht="15" customHeight="1" x14ac:dyDescent="0.25">
      <c r="C99" s="224"/>
      <c r="D99" s="225"/>
      <c r="F99" s="225"/>
      <c r="G99" s="226"/>
      <c r="H99" s="230"/>
      <c r="I99" s="230"/>
      <c r="J99" s="230"/>
      <c r="K99" s="230"/>
      <c r="L99" s="231"/>
      <c r="M99" s="232"/>
      <c r="N99" s="235"/>
      <c r="O99" s="236"/>
      <c r="P99" s="237"/>
      <c r="Q99" s="237"/>
      <c r="R99" s="237"/>
      <c r="S99" s="237"/>
      <c r="T99" s="237"/>
      <c r="U99" s="237"/>
      <c r="V99" s="237"/>
    </row>
    <row r="100" spans="3:27" ht="15" customHeight="1" x14ac:dyDescent="0.25">
      <c r="C100" s="224" t="s">
        <v>110</v>
      </c>
      <c r="D100" s="193"/>
      <c r="F100" s="238"/>
      <c r="G100" s="226"/>
      <c r="I100" s="237"/>
      <c r="J100" s="237"/>
      <c r="K100" s="237"/>
      <c r="L100" s="237"/>
      <c r="M100" s="237"/>
      <c r="N100" s="239">
        <f>+E93*D93/C93</f>
        <v>0.92307692307692313</v>
      </c>
      <c r="O100" s="237"/>
      <c r="P100" s="237"/>
      <c r="Q100" s="237"/>
      <c r="R100" s="237"/>
      <c r="S100" s="237"/>
      <c r="T100" s="237"/>
      <c r="U100" s="237"/>
      <c r="V100" s="237"/>
    </row>
    <row r="101" spans="3:27" ht="15" customHeight="1" thickBot="1" x14ac:dyDescent="0.3">
      <c r="C101" s="224" t="s">
        <v>111</v>
      </c>
      <c r="D101" s="193"/>
      <c r="F101" s="238"/>
      <c r="I101" s="237"/>
      <c r="J101" s="237"/>
      <c r="K101" s="237"/>
      <c r="L101" s="237"/>
      <c r="M101" s="237"/>
      <c r="N101" s="237"/>
      <c r="O101" s="237"/>
      <c r="P101" s="237"/>
      <c r="Q101" s="237"/>
      <c r="R101" s="237"/>
      <c r="S101" s="237"/>
      <c r="T101" s="237"/>
      <c r="U101" s="237"/>
      <c r="V101" s="237"/>
      <c r="W101" s="399">
        <f>+W77*N100</f>
        <v>42561110.769230768</v>
      </c>
      <c r="X101" s="399"/>
      <c r="Y101" s="399"/>
      <c r="Z101" s="399"/>
      <c r="AA101" s="399"/>
    </row>
    <row r="102" spans="3:27" ht="15" customHeight="1" x14ac:dyDescent="0.25">
      <c r="C102" s="224" t="s">
        <v>112</v>
      </c>
      <c r="D102" s="193"/>
      <c r="F102" s="238"/>
      <c r="M102" s="406" t="str">
        <f>+T11</f>
        <v>Otros</v>
      </c>
      <c r="N102" s="407"/>
      <c r="O102" s="407"/>
      <c r="P102" s="407"/>
      <c r="Q102" s="407"/>
      <c r="R102" s="407"/>
      <c r="S102" s="407"/>
      <c r="T102" s="407"/>
      <c r="U102" s="407"/>
      <c r="V102" s="407"/>
      <c r="W102" s="240"/>
      <c r="X102" s="240"/>
      <c r="Y102" s="240"/>
      <c r="Z102" s="240"/>
      <c r="AA102" s="240"/>
    </row>
    <row r="103" spans="3:27" ht="15" customHeight="1" x14ac:dyDescent="0.25">
      <c r="C103" s="224" t="s">
        <v>113</v>
      </c>
      <c r="H103" s="230"/>
      <c r="I103" s="230"/>
      <c r="J103" s="230"/>
      <c r="K103" s="230"/>
      <c r="M103" s="408">
        <f>VLOOKUP(M102,PARÁMETROS!B568:C582,2,0)</f>
        <v>4.125</v>
      </c>
      <c r="N103" s="408"/>
      <c r="O103" s="408"/>
      <c r="P103" s="408"/>
      <c r="Q103" s="408"/>
      <c r="R103" s="408"/>
      <c r="S103" s="408"/>
      <c r="T103" s="408"/>
      <c r="U103" s="408"/>
      <c r="V103" s="408"/>
    </row>
    <row r="104" spans="3:27" ht="15" customHeight="1" x14ac:dyDescent="0.25">
      <c r="C104" s="224" t="s">
        <v>113</v>
      </c>
      <c r="I104" s="241">
        <f>+M103</f>
        <v>4.125</v>
      </c>
      <c r="J104" s="242"/>
      <c r="K104" s="243">
        <f>+I104-1</f>
        <v>3.125</v>
      </c>
      <c r="L104" s="244"/>
      <c r="M104" s="395">
        <f>100%/K104</f>
        <v>0.32</v>
      </c>
      <c r="N104" s="395"/>
      <c r="O104" s="245"/>
      <c r="P104" s="396">
        <f>100%+M104</f>
        <v>1.32</v>
      </c>
      <c r="Q104" s="396"/>
      <c r="S104" s="397">
        <f>+P104/100%</f>
        <v>1.32</v>
      </c>
      <c r="T104" s="397"/>
    </row>
    <row r="105" spans="3:27" ht="15" customHeight="1" thickBot="1" x14ac:dyDescent="0.3">
      <c r="C105" s="224" t="s">
        <v>114</v>
      </c>
      <c r="D105" s="246"/>
      <c r="H105" s="247"/>
      <c r="I105" s="247"/>
      <c r="R105" s="398"/>
      <c r="S105" s="398"/>
      <c r="W105" s="399">
        <f>+S104*W101</f>
        <v>56180666.215384617</v>
      </c>
      <c r="X105" s="399"/>
      <c r="Y105" s="399"/>
      <c r="Z105" s="399"/>
      <c r="AA105" s="399"/>
    </row>
    <row r="106" spans="3:27" ht="15" customHeight="1" thickBot="1" x14ac:dyDescent="0.3">
      <c r="C106" s="224" t="s">
        <v>115</v>
      </c>
      <c r="D106" s="246"/>
      <c r="H106" s="247"/>
      <c r="I106" s="247"/>
      <c r="R106" s="398"/>
      <c r="S106" s="398"/>
      <c r="W106" s="399">
        <f>+W105/12</f>
        <v>4681722.1846153848</v>
      </c>
      <c r="X106" s="399"/>
      <c r="Y106" s="399"/>
      <c r="Z106" s="399"/>
      <c r="AA106" s="399"/>
    </row>
    <row r="107" spans="3:27" ht="15" customHeight="1" thickBot="1" x14ac:dyDescent="0.3">
      <c r="C107" s="224"/>
      <c r="D107" s="238"/>
      <c r="I107" s="230"/>
      <c r="J107" s="230"/>
      <c r="K107" s="230"/>
      <c r="L107" s="230"/>
      <c r="M107" s="230"/>
    </row>
    <row r="108" spans="3:27" ht="15" customHeight="1" x14ac:dyDescent="0.25">
      <c r="C108" s="199" t="s">
        <v>81</v>
      </c>
      <c r="D108" s="200"/>
      <c r="E108" s="200"/>
      <c r="F108" s="200"/>
      <c r="G108" s="200"/>
      <c r="H108" s="201"/>
      <c r="I108" s="201"/>
      <c r="J108" s="201"/>
      <c r="K108" s="201"/>
      <c r="L108" s="201"/>
      <c r="M108" s="201"/>
      <c r="N108" s="392">
        <v>1.75</v>
      </c>
      <c r="O108" s="392"/>
      <c r="P108" s="203"/>
      <c r="Q108" s="203"/>
      <c r="R108" s="203"/>
      <c r="S108" s="203"/>
      <c r="T108" s="203"/>
      <c r="U108" s="201"/>
      <c r="V108" s="201"/>
      <c r="W108" s="201"/>
      <c r="X108" s="201"/>
      <c r="Y108" s="201"/>
      <c r="Z108" s="201"/>
      <c r="AA108" s="204"/>
    </row>
    <row r="109" spans="3:27" x14ac:dyDescent="0.25">
      <c r="C109" s="205" t="s">
        <v>82</v>
      </c>
      <c r="D109" s="206"/>
      <c r="E109" s="206"/>
      <c r="F109" s="206"/>
      <c r="G109" s="206"/>
      <c r="H109" s="207"/>
      <c r="I109" s="207"/>
      <c r="J109" s="207"/>
      <c r="K109" s="207"/>
      <c r="L109" s="207"/>
      <c r="M109" s="207"/>
      <c r="N109" s="393">
        <v>2.5</v>
      </c>
      <c r="O109" s="393"/>
      <c r="P109" s="209"/>
      <c r="Q109" s="209"/>
      <c r="R109" s="209"/>
      <c r="S109" s="209"/>
      <c r="T109" s="209"/>
      <c r="U109" s="207"/>
      <c r="V109" s="207"/>
      <c r="W109" s="207"/>
      <c r="X109" s="207"/>
      <c r="Y109" s="207"/>
      <c r="Z109" s="207"/>
      <c r="AA109" s="210"/>
    </row>
    <row r="110" spans="3:27" ht="15" customHeight="1" x14ac:dyDescent="0.25">
      <c r="C110" s="205" t="s">
        <v>83</v>
      </c>
      <c r="D110" s="206"/>
      <c r="E110" s="206"/>
      <c r="F110" s="206"/>
      <c r="G110" s="206"/>
      <c r="H110" s="207"/>
      <c r="I110" s="207"/>
      <c r="J110" s="207"/>
      <c r="K110" s="207"/>
      <c r="L110" s="207"/>
      <c r="M110" s="207"/>
      <c r="N110" s="393">
        <v>3.25</v>
      </c>
      <c r="O110" s="393"/>
      <c r="P110" s="209"/>
      <c r="Q110" s="209"/>
      <c r="R110" s="209"/>
      <c r="S110" s="209"/>
      <c r="T110" s="209"/>
      <c r="U110" s="207"/>
      <c r="V110" s="207"/>
      <c r="W110" s="207"/>
      <c r="X110" s="207"/>
      <c r="Y110" s="207"/>
      <c r="Z110" s="207"/>
      <c r="AA110" s="210"/>
    </row>
    <row r="111" spans="3:27" ht="15" customHeight="1" thickBot="1" x14ac:dyDescent="0.3">
      <c r="C111" s="211" t="s">
        <v>84</v>
      </c>
      <c r="D111" s="212"/>
      <c r="E111" s="212"/>
      <c r="F111" s="212"/>
      <c r="G111" s="212"/>
      <c r="H111" s="213"/>
      <c r="I111" s="213"/>
      <c r="J111" s="213"/>
      <c r="K111" s="213"/>
      <c r="L111" s="213"/>
      <c r="M111" s="213"/>
      <c r="N111" s="394">
        <v>4.25</v>
      </c>
      <c r="O111" s="394"/>
      <c r="P111" s="215"/>
      <c r="Q111" s="215"/>
      <c r="R111" s="215"/>
      <c r="S111" s="215"/>
      <c r="T111" s="215"/>
      <c r="U111" s="213"/>
      <c r="V111" s="213"/>
      <c r="W111" s="213"/>
      <c r="X111" s="213"/>
      <c r="Y111" s="213"/>
      <c r="Z111" s="213"/>
      <c r="AA111" s="216"/>
    </row>
    <row r="112" spans="3:27" ht="15" customHeight="1" thickBot="1" x14ac:dyDescent="0.3">
      <c r="C112" s="217" t="s">
        <v>85</v>
      </c>
      <c r="D112" s="218"/>
      <c r="E112" s="212"/>
      <c r="F112" s="212"/>
      <c r="G112" s="212"/>
      <c r="H112" s="400">
        <f>+IF(W105&lt;750000000,W105*N108/1000,IF(W105&lt;1500000000,W105*N109/1000,IF(W105&lt;3000000000,W105*N110/1000,W105*N111/1000)))</f>
        <v>98316.165876923085</v>
      </c>
      <c r="I112" s="401"/>
      <c r="J112" s="401"/>
      <c r="K112" s="401"/>
      <c r="L112" s="401"/>
      <c r="M112" s="401"/>
      <c r="N112" s="401"/>
      <c r="O112" s="402"/>
      <c r="P112" s="219" t="s">
        <v>86</v>
      </c>
      <c r="Q112" s="215"/>
      <c r="R112" s="215"/>
      <c r="S112" s="215"/>
      <c r="T112" s="215"/>
      <c r="U112" s="215"/>
      <c r="V112" s="375">
        <f>+ROUND(H112/4,0)</f>
        <v>24579</v>
      </c>
      <c r="W112" s="376"/>
      <c r="X112" s="376"/>
      <c r="Y112" s="376"/>
      <c r="Z112" s="376"/>
      <c r="AA112" s="377"/>
    </row>
    <row r="113" spans="3:27" ht="15" customHeight="1" x14ac:dyDescent="0.25">
      <c r="C113" s="224"/>
      <c r="D113" s="238"/>
      <c r="I113" s="230"/>
      <c r="J113" s="230"/>
      <c r="K113" s="230"/>
      <c r="L113" s="230"/>
      <c r="M113" s="230"/>
    </row>
    <row r="114" spans="3:27" ht="15" customHeight="1" x14ac:dyDescent="0.25">
      <c r="C114" s="198" t="s">
        <v>116</v>
      </c>
      <c r="D114" s="238"/>
      <c r="I114" s="230"/>
      <c r="J114" s="230"/>
      <c r="K114" s="230"/>
      <c r="L114" s="230"/>
      <c r="M114" s="230"/>
    </row>
    <row r="115" spans="3:27" ht="15" customHeight="1" thickBot="1" x14ac:dyDescent="0.3">
      <c r="C115" s="224"/>
      <c r="D115" s="238"/>
      <c r="I115" s="230"/>
      <c r="J115" s="230"/>
      <c r="K115" s="230"/>
      <c r="L115" s="230"/>
      <c r="M115" s="230"/>
    </row>
    <row r="116" spans="3:27" ht="15" customHeight="1" thickBot="1" x14ac:dyDescent="0.3">
      <c r="C116" s="248" t="s">
        <v>85</v>
      </c>
      <c r="D116" s="249"/>
      <c r="E116" s="250"/>
      <c r="F116" s="250"/>
      <c r="G116" s="250"/>
      <c r="H116" s="375">
        <f>+O116*T17</f>
        <v>0</v>
      </c>
      <c r="I116" s="376"/>
      <c r="J116" s="376"/>
      <c r="K116" s="376"/>
      <c r="L116" s="376"/>
      <c r="M116" s="376"/>
      <c r="N116" s="376"/>
      <c r="O116" s="251">
        <f>4/1000</f>
        <v>4.0000000000000001E-3</v>
      </c>
      <c r="P116" s="252" t="s">
        <v>86</v>
      </c>
      <c r="Q116" s="253"/>
      <c r="R116" s="253"/>
      <c r="S116" s="253"/>
      <c r="T116" s="253"/>
      <c r="U116" s="253"/>
      <c r="V116" s="375">
        <f>+H116/4</f>
        <v>0</v>
      </c>
      <c r="W116" s="376"/>
      <c r="X116" s="376"/>
      <c r="Y116" s="376"/>
      <c r="Z116" s="376"/>
      <c r="AA116" s="377"/>
    </row>
    <row r="117" spans="3:27" ht="15" customHeight="1" thickBot="1" x14ac:dyDescent="0.3">
      <c r="C117" s="224"/>
      <c r="D117" s="238"/>
      <c r="I117" s="230"/>
      <c r="J117" s="230"/>
      <c r="K117" s="230"/>
      <c r="L117" s="230"/>
      <c r="M117" s="230"/>
    </row>
    <row r="118" spans="3:27" ht="15" customHeight="1" thickBot="1" x14ac:dyDescent="0.3">
      <c r="C118" s="195" t="s">
        <v>117</v>
      </c>
      <c r="D118" s="196"/>
      <c r="E118" s="196"/>
      <c r="F118" s="196"/>
      <c r="G118" s="196"/>
      <c r="H118" s="194"/>
      <c r="I118" s="192"/>
      <c r="J118" s="192"/>
      <c r="K118" s="192"/>
      <c r="L118" s="192"/>
      <c r="M118" s="192"/>
      <c r="N118" s="192"/>
      <c r="O118" s="192"/>
      <c r="P118" s="192"/>
      <c r="Q118" s="192"/>
      <c r="R118" s="192"/>
      <c r="S118" s="192"/>
      <c r="T118" s="192"/>
      <c r="U118" s="192"/>
      <c r="V118" s="385">
        <v>63208</v>
      </c>
      <c r="W118" s="386"/>
      <c r="X118" s="386"/>
      <c r="Y118" s="386"/>
      <c r="Z118" s="386"/>
      <c r="AA118" s="387"/>
    </row>
    <row r="119" spans="3:27" ht="15" customHeight="1" thickBot="1" x14ac:dyDescent="0.3">
      <c r="C119" s="224"/>
      <c r="D119" s="238"/>
      <c r="I119" s="230"/>
      <c r="J119" s="230"/>
      <c r="K119" s="230"/>
      <c r="L119" s="230"/>
      <c r="M119" s="230"/>
    </row>
    <row r="120" spans="3:27" ht="15" customHeight="1" thickBot="1" x14ac:dyDescent="0.3">
      <c r="C120" s="195" t="s">
        <v>118</v>
      </c>
      <c r="D120" s="196"/>
      <c r="E120" s="196"/>
      <c r="F120" s="196"/>
      <c r="G120" s="196"/>
      <c r="H120" s="194"/>
      <c r="I120" s="192"/>
      <c r="J120" s="192"/>
      <c r="K120" s="192"/>
      <c r="L120" s="192"/>
      <c r="M120" s="192"/>
      <c r="N120" s="192"/>
      <c r="O120" s="192"/>
      <c r="P120" s="192"/>
      <c r="Q120" s="192"/>
      <c r="R120" s="192"/>
      <c r="S120" s="192"/>
      <c r="T120" s="192"/>
      <c r="U120" s="192"/>
      <c r="V120" s="385">
        <f>+V118/4</f>
        <v>15802</v>
      </c>
      <c r="W120" s="386"/>
      <c r="X120" s="386"/>
      <c r="Y120" s="386"/>
      <c r="Z120" s="386"/>
      <c r="AA120" s="387"/>
    </row>
    <row r="121" spans="3:27" ht="15" customHeight="1" thickBot="1" x14ac:dyDescent="0.3">
      <c r="C121" s="195"/>
      <c r="D121" s="196"/>
      <c r="E121" s="196"/>
      <c r="F121" s="196"/>
      <c r="G121" s="196"/>
      <c r="H121" s="194"/>
      <c r="I121" s="192"/>
      <c r="J121" s="192"/>
      <c r="K121" s="192"/>
      <c r="L121" s="192"/>
      <c r="M121" s="192"/>
      <c r="N121" s="192"/>
      <c r="O121" s="192"/>
      <c r="P121" s="192"/>
      <c r="Q121" s="192"/>
      <c r="R121" s="192"/>
      <c r="S121" s="192"/>
      <c r="T121" s="192"/>
      <c r="U121" s="192"/>
      <c r="V121" s="196"/>
      <c r="W121" s="194"/>
      <c r="X121" s="192"/>
      <c r="Y121" s="192"/>
      <c r="Z121" s="192"/>
      <c r="AA121" s="192"/>
    </row>
    <row r="122" spans="3:27" ht="15" customHeight="1" x14ac:dyDescent="0.25">
      <c r="C122" s="195"/>
      <c r="D122" s="196"/>
      <c r="E122" s="196"/>
      <c r="F122" s="196"/>
      <c r="G122" s="196"/>
      <c r="H122" s="194"/>
      <c r="I122" s="192"/>
      <c r="J122" s="192"/>
      <c r="K122" s="192"/>
      <c r="L122" s="192"/>
      <c r="M122" s="192"/>
      <c r="N122" s="192"/>
      <c r="O122" s="254"/>
      <c r="P122" s="255"/>
      <c r="Q122" s="255"/>
      <c r="R122" s="255"/>
      <c r="S122" s="255"/>
      <c r="T122" s="255"/>
      <c r="U122" s="255"/>
      <c r="V122" s="256"/>
      <c r="W122" s="257"/>
      <c r="X122" s="255"/>
      <c r="Y122" s="255"/>
      <c r="Z122" s="255"/>
      <c r="AA122" s="258"/>
    </row>
    <row r="123" spans="3:27" ht="15" customHeight="1" x14ac:dyDescent="0.25">
      <c r="C123" s="195"/>
      <c r="D123" s="196"/>
      <c r="E123" s="196"/>
      <c r="F123" s="196"/>
      <c r="G123" s="196"/>
      <c r="H123" s="194"/>
      <c r="I123" s="192"/>
      <c r="J123" s="192"/>
      <c r="K123" s="192"/>
      <c r="L123" s="192"/>
      <c r="M123" s="192"/>
      <c r="N123" s="192"/>
      <c r="O123" s="259"/>
      <c r="P123" s="192"/>
      <c r="Q123" s="192"/>
      <c r="R123" s="192"/>
      <c r="S123" s="192"/>
      <c r="T123" s="192"/>
      <c r="U123" s="192"/>
      <c r="V123" s="196"/>
      <c r="W123" s="194"/>
      <c r="X123" s="192"/>
      <c r="Y123" s="192"/>
      <c r="Z123" s="192"/>
      <c r="AA123" s="260"/>
    </row>
    <row r="124" spans="3:27" ht="15" customHeight="1" x14ac:dyDescent="0.25">
      <c r="C124" s="195"/>
      <c r="D124" s="196"/>
      <c r="E124" s="196"/>
      <c r="F124" s="196"/>
      <c r="G124" s="196"/>
      <c r="H124" s="194"/>
      <c r="I124" s="192"/>
      <c r="J124" s="192"/>
      <c r="K124" s="192"/>
      <c r="L124" s="192"/>
      <c r="M124" s="192"/>
      <c r="N124" s="192"/>
      <c r="O124" s="259"/>
      <c r="P124" s="192"/>
      <c r="Q124" s="192"/>
      <c r="R124" s="192"/>
      <c r="S124" s="192"/>
      <c r="T124" s="192"/>
      <c r="U124" s="192"/>
      <c r="V124" s="196"/>
      <c r="W124" s="194"/>
      <c r="X124" s="192"/>
      <c r="Y124" s="192"/>
      <c r="Z124" s="192"/>
      <c r="AA124" s="260"/>
    </row>
    <row r="125" spans="3:27" ht="15" customHeight="1" x14ac:dyDescent="0.25">
      <c r="C125" s="195"/>
      <c r="D125" s="196"/>
      <c r="E125" s="196"/>
      <c r="F125" s="196"/>
      <c r="G125" s="196"/>
      <c r="H125" s="194"/>
      <c r="I125" s="192"/>
      <c r="J125" s="192"/>
      <c r="K125" s="192"/>
      <c r="L125" s="192"/>
      <c r="M125" s="192"/>
      <c r="N125" s="192"/>
      <c r="O125" s="259"/>
      <c r="P125" s="192"/>
      <c r="Q125" s="192"/>
      <c r="R125" s="192"/>
      <c r="S125" s="192"/>
      <c r="T125" s="192"/>
      <c r="U125" s="192"/>
      <c r="V125" s="196"/>
      <c r="W125" s="194"/>
      <c r="X125" s="192"/>
      <c r="Y125" s="192"/>
      <c r="Z125" s="192"/>
      <c r="AA125" s="260"/>
    </row>
    <row r="126" spans="3:27" ht="15" customHeight="1" x14ac:dyDescent="0.25">
      <c r="C126" s="195"/>
      <c r="D126" s="196"/>
      <c r="E126" s="196"/>
      <c r="F126" s="196"/>
      <c r="G126" s="196"/>
      <c r="H126" s="194"/>
      <c r="I126" s="192"/>
      <c r="J126" s="192"/>
      <c r="K126" s="192"/>
      <c r="L126" s="192"/>
      <c r="M126" s="192"/>
      <c r="N126" s="192"/>
      <c r="O126" s="259"/>
      <c r="P126" s="192"/>
      <c r="Q126" s="192"/>
      <c r="R126" s="192"/>
      <c r="S126" s="192"/>
      <c r="T126" s="192"/>
      <c r="U126" s="192"/>
      <c r="V126" s="196"/>
      <c r="W126" s="194"/>
      <c r="X126" s="192"/>
      <c r="Y126" s="192"/>
      <c r="Z126" s="192"/>
      <c r="AA126" s="260"/>
    </row>
    <row r="127" spans="3:27" ht="15" customHeight="1" x14ac:dyDescent="0.25">
      <c r="C127" s="195"/>
      <c r="D127" s="196"/>
      <c r="E127" s="196"/>
      <c r="F127" s="196"/>
      <c r="G127" s="196"/>
      <c r="H127" s="194"/>
      <c r="I127" s="192"/>
      <c r="J127" s="192"/>
      <c r="K127" s="192"/>
      <c r="L127" s="192"/>
      <c r="M127" s="192"/>
      <c r="N127" s="192"/>
      <c r="O127" s="259"/>
      <c r="P127" s="192"/>
      <c r="Q127" s="192"/>
      <c r="R127" s="192"/>
      <c r="S127" s="192"/>
      <c r="T127" s="192"/>
      <c r="U127" s="192"/>
      <c r="V127" s="196"/>
      <c r="W127" s="194"/>
      <c r="X127" s="192"/>
      <c r="Y127" s="192"/>
      <c r="Z127" s="192"/>
      <c r="AA127" s="260"/>
    </row>
    <row r="128" spans="3:27" ht="15" customHeight="1" x14ac:dyDescent="0.25">
      <c r="C128" s="195"/>
      <c r="D128" s="196"/>
      <c r="E128" s="196"/>
      <c r="F128" s="196"/>
      <c r="G128" s="196"/>
      <c r="H128" s="194"/>
      <c r="I128" s="192"/>
      <c r="J128" s="192"/>
      <c r="K128" s="192"/>
      <c r="L128" s="192"/>
      <c r="M128" s="192"/>
      <c r="N128" s="192"/>
      <c r="O128" s="259"/>
      <c r="P128" s="192"/>
      <c r="Q128" s="192"/>
      <c r="R128" s="192"/>
      <c r="S128" s="192"/>
      <c r="T128" s="192"/>
      <c r="U128" s="192"/>
      <c r="V128" s="196"/>
      <c r="W128" s="194"/>
      <c r="X128" s="192"/>
      <c r="Y128" s="192"/>
      <c r="Z128" s="192"/>
      <c r="AA128" s="260"/>
    </row>
    <row r="129" spans="3:27" ht="15" customHeight="1" x14ac:dyDescent="0.25">
      <c r="C129" s="195"/>
      <c r="D129" s="196"/>
      <c r="E129" s="196"/>
      <c r="F129" s="196"/>
      <c r="G129" s="196"/>
      <c r="H129" s="194"/>
      <c r="I129" s="192"/>
      <c r="J129" s="192"/>
      <c r="K129" s="192"/>
      <c r="L129" s="192"/>
      <c r="M129" s="192"/>
      <c r="N129" s="192"/>
      <c r="O129" s="259"/>
      <c r="P129" s="192"/>
      <c r="Q129" s="192"/>
      <c r="R129" s="192"/>
      <c r="S129" s="192"/>
      <c r="T129" s="192"/>
      <c r="U129" s="192"/>
      <c r="V129" s="196"/>
      <c r="W129" s="194"/>
      <c r="X129" s="192"/>
      <c r="Y129" s="192"/>
      <c r="Z129" s="192"/>
      <c r="AA129" s="260"/>
    </row>
    <row r="130" spans="3:27" ht="15" customHeight="1" x14ac:dyDescent="0.25">
      <c r="C130" s="195"/>
      <c r="D130" s="196"/>
      <c r="E130" s="196"/>
      <c r="F130" s="196"/>
      <c r="G130" s="196"/>
      <c r="H130" s="194"/>
      <c r="I130" s="192"/>
      <c r="J130" s="192"/>
      <c r="K130" s="192"/>
      <c r="L130" s="192"/>
      <c r="M130" s="192"/>
      <c r="N130" s="192"/>
      <c r="O130" s="259"/>
      <c r="P130" s="192"/>
      <c r="Q130" s="192"/>
      <c r="R130" s="192"/>
      <c r="S130" s="192"/>
      <c r="T130" s="192"/>
      <c r="U130" s="192"/>
      <c r="V130" s="196"/>
      <c r="W130" s="194"/>
      <c r="X130" s="192"/>
      <c r="Y130" s="192"/>
      <c r="Z130" s="192"/>
      <c r="AA130" s="260"/>
    </row>
    <row r="131" spans="3:27" ht="15" customHeight="1" x14ac:dyDescent="0.25">
      <c r="C131" s="195"/>
      <c r="D131" s="196"/>
      <c r="E131" s="196"/>
      <c r="F131" s="196"/>
      <c r="G131" s="196"/>
      <c r="H131" s="194"/>
      <c r="I131" s="192"/>
      <c r="J131" s="192"/>
      <c r="K131" s="192"/>
      <c r="L131" s="192"/>
      <c r="M131" s="192"/>
      <c r="N131" s="192"/>
      <c r="O131" s="259"/>
      <c r="P131" s="192"/>
      <c r="Q131" s="192"/>
      <c r="R131" s="192"/>
      <c r="S131" s="192"/>
      <c r="T131" s="192"/>
      <c r="U131" s="192"/>
      <c r="V131" s="196"/>
      <c r="W131" s="194"/>
      <c r="X131" s="192"/>
      <c r="Y131" s="192"/>
      <c r="Z131" s="192"/>
      <c r="AA131" s="260"/>
    </row>
    <row r="132" spans="3:27" ht="15" customHeight="1" x14ac:dyDescent="0.25">
      <c r="C132" s="195"/>
      <c r="D132" s="196"/>
      <c r="E132" s="196"/>
      <c r="F132" s="196"/>
      <c r="G132" s="196"/>
      <c r="H132" s="194"/>
      <c r="I132" s="192"/>
      <c r="J132" s="192"/>
      <c r="K132" s="192"/>
      <c r="L132" s="192"/>
      <c r="M132" s="192"/>
      <c r="N132" s="192"/>
      <c r="O132" s="259"/>
      <c r="P132" s="192"/>
      <c r="Q132" s="192"/>
      <c r="R132" s="192"/>
      <c r="S132" s="192"/>
      <c r="T132" s="192"/>
      <c r="U132" s="192"/>
      <c r="V132" s="196"/>
      <c r="W132" s="194"/>
      <c r="X132" s="192"/>
      <c r="Y132" s="192"/>
      <c r="Z132" s="192"/>
      <c r="AA132" s="260"/>
    </row>
    <row r="133" spans="3:27" ht="15" customHeight="1" thickBot="1" x14ac:dyDescent="0.3">
      <c r="C133" s="195"/>
      <c r="D133" s="196"/>
      <c r="E133" s="196"/>
      <c r="F133" s="196"/>
      <c r="G133" s="196"/>
      <c r="H133" s="194"/>
      <c r="I133" s="192"/>
      <c r="J133" s="192"/>
      <c r="K133" s="192"/>
      <c r="L133" s="192"/>
      <c r="M133" s="192"/>
      <c r="N133" s="192"/>
      <c r="O133" s="261"/>
      <c r="P133" s="262"/>
      <c r="Q133" s="262"/>
      <c r="R133" s="262"/>
      <c r="S133" s="262"/>
      <c r="T133" s="262"/>
      <c r="U133" s="262"/>
      <c r="V133" s="263"/>
      <c r="W133" s="264"/>
      <c r="X133" s="262"/>
      <c r="Y133" s="262"/>
      <c r="Z133" s="262"/>
      <c r="AA133" s="265"/>
    </row>
    <row r="134" spans="3:27" ht="15" customHeight="1" x14ac:dyDescent="0.25">
      <c r="C134" s="388" t="s">
        <v>119</v>
      </c>
      <c r="D134" s="388"/>
      <c r="E134" s="388"/>
      <c r="F134" s="388"/>
      <c r="G134" s="388"/>
      <c r="H134" s="388"/>
      <c r="I134" s="388"/>
      <c r="J134" s="388"/>
      <c r="K134" s="388"/>
      <c r="L134" s="388"/>
      <c r="M134" s="388"/>
      <c r="N134" s="388"/>
      <c r="O134" s="388"/>
      <c r="P134" s="388"/>
      <c r="Q134" s="388"/>
      <c r="R134" s="388"/>
      <c r="S134" s="388"/>
      <c r="T134" s="388"/>
      <c r="U134" s="388"/>
      <c r="V134" s="388"/>
      <c r="W134" s="388"/>
      <c r="X134" s="388"/>
      <c r="Y134" s="388"/>
      <c r="Z134" s="388"/>
      <c r="AA134" s="388"/>
    </row>
    <row r="135" spans="3:27" ht="15" customHeight="1" x14ac:dyDescent="0.25">
      <c r="C135" s="266"/>
      <c r="D135" s="266"/>
      <c r="E135" s="266"/>
      <c r="F135" s="266"/>
      <c r="G135" s="266"/>
      <c r="H135" s="266"/>
      <c r="I135" s="266"/>
      <c r="J135" s="266"/>
      <c r="K135" s="266"/>
      <c r="L135" s="266"/>
      <c r="M135" s="266"/>
      <c r="N135" s="266"/>
      <c r="O135" s="266"/>
      <c r="P135" s="266"/>
      <c r="Q135" s="266"/>
      <c r="R135" s="266"/>
      <c r="S135" s="266"/>
      <c r="T135" s="266"/>
      <c r="U135" s="266"/>
      <c r="V135" s="266"/>
      <c r="W135" s="266"/>
      <c r="X135" s="266"/>
      <c r="Y135" s="266"/>
      <c r="Z135" s="266"/>
      <c r="AA135" s="266"/>
    </row>
    <row r="136" spans="3:27" ht="15" hidden="1" customHeight="1" x14ac:dyDescent="0.25">
      <c r="C136" s="266"/>
      <c r="D136" s="266"/>
      <c r="E136" s="266"/>
      <c r="F136" s="266"/>
      <c r="G136" s="266"/>
      <c r="H136" s="266"/>
      <c r="I136" s="266"/>
      <c r="J136" s="266"/>
      <c r="K136" s="266"/>
      <c r="L136" s="266"/>
      <c r="M136" s="266"/>
      <c r="N136" s="266"/>
      <c r="O136" s="266"/>
      <c r="P136" s="266"/>
      <c r="Q136" s="266"/>
      <c r="R136" s="266"/>
      <c r="S136" s="266"/>
      <c r="T136" s="266"/>
      <c r="U136" s="368" t="s">
        <v>120</v>
      </c>
      <c r="V136" s="368"/>
      <c r="W136" s="368"/>
      <c r="X136" s="368"/>
      <c r="Y136" s="368"/>
      <c r="Z136" s="368"/>
      <c r="AA136" s="368"/>
    </row>
    <row r="137" spans="3:27" ht="15" hidden="1" customHeight="1" x14ac:dyDescent="0.25">
      <c r="C137" s="267" t="s">
        <v>121</v>
      </c>
      <c r="D137" s="268"/>
      <c r="E137" s="268"/>
      <c r="F137" s="268"/>
      <c r="G137" s="268"/>
      <c r="H137" s="268"/>
      <c r="I137" s="268"/>
      <c r="J137" s="268"/>
      <c r="K137" s="268"/>
      <c r="L137" s="268"/>
      <c r="M137" s="268"/>
      <c r="N137" s="269"/>
      <c r="O137" s="268"/>
      <c r="P137" s="268"/>
      <c r="Q137" s="268"/>
      <c r="R137" s="268"/>
      <c r="S137" s="268"/>
      <c r="T137" s="268"/>
      <c r="U137" s="389">
        <f>+'TOMA DATOS'!T16</f>
        <v>12382000</v>
      </c>
      <c r="V137" s="390"/>
      <c r="W137" s="390"/>
      <c r="X137" s="390"/>
      <c r="Y137" s="390"/>
      <c r="Z137" s="390"/>
      <c r="AA137" s="391"/>
    </row>
    <row r="138" spans="3:27" ht="15" hidden="1" customHeight="1" x14ac:dyDescent="0.25">
      <c r="C138" s="270" t="s">
        <v>122</v>
      </c>
      <c r="D138" s="172"/>
      <c r="E138" s="172"/>
      <c r="F138" s="172"/>
      <c r="G138" s="172"/>
      <c r="H138" s="172"/>
      <c r="I138" s="172"/>
      <c r="J138" s="172"/>
      <c r="K138" s="172"/>
      <c r="L138" s="172"/>
      <c r="M138" s="172"/>
      <c r="N138" s="271"/>
      <c r="O138" s="172"/>
      <c r="P138" s="172"/>
      <c r="Q138" s="172"/>
      <c r="R138" s="172"/>
      <c r="S138" s="172"/>
      <c r="T138" s="172"/>
      <c r="U138" s="362">
        <f>+W105</f>
        <v>56180666.215384617</v>
      </c>
      <c r="V138" s="363"/>
      <c r="W138" s="363"/>
      <c r="X138" s="363"/>
      <c r="Y138" s="363"/>
      <c r="Z138" s="363"/>
      <c r="AA138" s="364"/>
    </row>
    <row r="139" spans="3:27" ht="15" hidden="1" customHeight="1" x14ac:dyDescent="0.25">
      <c r="C139" s="272" t="s">
        <v>123</v>
      </c>
      <c r="D139" s="273"/>
      <c r="E139" s="273"/>
      <c r="F139" s="273"/>
      <c r="G139" s="273"/>
      <c r="H139" s="273"/>
      <c r="I139" s="273"/>
      <c r="J139" s="273"/>
      <c r="K139" s="273"/>
      <c r="L139" s="273"/>
      <c r="M139" s="273"/>
      <c r="N139" s="274"/>
      <c r="O139" s="273"/>
      <c r="P139" s="273"/>
      <c r="Q139" s="273"/>
      <c r="R139" s="273"/>
      <c r="S139" s="273"/>
      <c r="T139" s="273"/>
      <c r="U139" s="365">
        <f>+V120</f>
        <v>15802</v>
      </c>
      <c r="V139" s="366"/>
      <c r="W139" s="366"/>
      <c r="X139" s="366"/>
      <c r="Y139" s="366"/>
      <c r="Z139" s="366"/>
      <c r="AA139" s="367"/>
    </row>
    <row r="140" spans="3:27" ht="15" hidden="1" customHeight="1" x14ac:dyDescent="0.25">
      <c r="C140" s="266"/>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c r="Z140" s="266"/>
      <c r="AA140" s="266"/>
    </row>
    <row r="141" spans="3:27" ht="15" customHeight="1" x14ac:dyDescent="0.25">
      <c r="C141" s="266"/>
      <c r="D141" s="266"/>
      <c r="E141" s="266"/>
      <c r="F141" s="266"/>
      <c r="G141" s="266"/>
      <c r="H141" s="266"/>
      <c r="I141" s="266"/>
      <c r="J141" s="266"/>
      <c r="K141" s="266"/>
      <c r="L141" s="266"/>
      <c r="M141" s="266"/>
      <c r="N141" s="266"/>
      <c r="O141" s="266"/>
      <c r="P141" s="266"/>
      <c r="Q141" s="266"/>
      <c r="R141" s="266"/>
      <c r="S141" s="266"/>
      <c r="T141" s="266"/>
      <c r="U141" s="368" t="s">
        <v>86</v>
      </c>
      <c r="V141" s="368"/>
      <c r="W141" s="368"/>
      <c r="X141" s="368"/>
      <c r="Y141" s="368"/>
      <c r="Z141" s="368"/>
      <c r="AA141" s="368"/>
    </row>
    <row r="142" spans="3:27" ht="15" customHeight="1" x14ac:dyDescent="0.25">
      <c r="C142" s="267" t="s">
        <v>121</v>
      </c>
      <c r="D142" s="268"/>
      <c r="E142" s="268"/>
      <c r="F142" s="268"/>
      <c r="G142" s="268"/>
      <c r="H142" s="268"/>
      <c r="I142" s="268"/>
      <c r="J142" s="268"/>
      <c r="K142" s="268"/>
      <c r="L142" s="268"/>
      <c r="M142" s="268"/>
      <c r="N142" s="269"/>
      <c r="O142" s="268"/>
      <c r="P142" s="268"/>
      <c r="Q142" s="268"/>
      <c r="R142" s="268"/>
      <c r="S142" s="268"/>
      <c r="T142" s="268"/>
      <c r="U142" s="369">
        <f>V68</f>
        <v>5417.125</v>
      </c>
      <c r="V142" s="370"/>
      <c r="W142" s="370"/>
      <c r="X142" s="370"/>
      <c r="Y142" s="370"/>
      <c r="Z142" s="370"/>
      <c r="AA142" s="371"/>
    </row>
    <row r="143" spans="3:27" ht="15" customHeight="1" x14ac:dyDescent="0.25">
      <c r="C143" s="270" t="s">
        <v>124</v>
      </c>
      <c r="D143" s="172"/>
      <c r="E143" s="172"/>
      <c r="F143" s="172"/>
      <c r="G143" s="172"/>
      <c r="H143" s="172"/>
      <c r="I143" s="172"/>
      <c r="J143" s="172"/>
      <c r="K143" s="172"/>
      <c r="L143" s="172"/>
      <c r="M143" s="172"/>
      <c r="N143" s="271"/>
      <c r="O143" s="172"/>
      <c r="P143" s="172"/>
      <c r="Q143" s="172"/>
      <c r="R143" s="172"/>
      <c r="S143" s="172"/>
      <c r="T143" s="172"/>
      <c r="U143" s="372">
        <f>+V116</f>
        <v>0</v>
      </c>
      <c r="V143" s="373"/>
      <c r="W143" s="373"/>
      <c r="X143" s="373"/>
      <c r="Y143" s="373"/>
      <c r="Z143" s="373"/>
      <c r="AA143" s="374"/>
    </row>
    <row r="144" spans="3:27" ht="15" customHeight="1" x14ac:dyDescent="0.25">
      <c r="C144" s="270" t="s">
        <v>122</v>
      </c>
      <c r="D144" s="172"/>
      <c r="E144" s="172"/>
      <c r="F144" s="172"/>
      <c r="G144" s="172"/>
      <c r="H144" s="172"/>
      <c r="I144" s="172"/>
      <c r="J144" s="172"/>
      <c r="K144" s="172"/>
      <c r="L144" s="172"/>
      <c r="M144" s="172"/>
      <c r="N144" s="271"/>
      <c r="O144" s="172"/>
      <c r="P144" s="172"/>
      <c r="Q144" s="172"/>
      <c r="R144" s="172"/>
      <c r="S144" s="172"/>
      <c r="T144" s="172"/>
      <c r="U144" s="372">
        <f>+V112</f>
        <v>24579</v>
      </c>
      <c r="V144" s="373"/>
      <c r="W144" s="373"/>
      <c r="X144" s="373"/>
      <c r="Y144" s="373"/>
      <c r="Z144" s="373"/>
      <c r="AA144" s="374"/>
    </row>
    <row r="145" spans="3:39" ht="15" customHeight="1" x14ac:dyDescent="0.25">
      <c r="C145" s="272" t="s">
        <v>123</v>
      </c>
      <c r="D145" s="273"/>
      <c r="E145" s="273"/>
      <c r="F145" s="273"/>
      <c r="G145" s="273"/>
      <c r="H145" s="273"/>
      <c r="I145" s="273"/>
      <c r="J145" s="273"/>
      <c r="K145" s="273"/>
      <c r="L145" s="273"/>
      <c r="M145" s="273"/>
      <c r="N145" s="274"/>
      <c r="O145" s="273"/>
      <c r="P145" s="273"/>
      <c r="Q145" s="273"/>
      <c r="R145" s="273"/>
      <c r="S145" s="273"/>
      <c r="T145" s="273"/>
      <c r="U145" s="348">
        <f>+U139</f>
        <v>15802</v>
      </c>
      <c r="V145" s="349"/>
      <c r="W145" s="349"/>
      <c r="X145" s="349"/>
      <c r="Y145" s="349"/>
      <c r="Z145" s="349"/>
      <c r="AA145" s="350"/>
    </row>
    <row r="146" spans="3:39" ht="15" customHeight="1" x14ac:dyDescent="0.25">
      <c r="C146" s="275"/>
      <c r="D146" s="172"/>
      <c r="E146" s="172"/>
      <c r="F146" s="172"/>
      <c r="G146" s="172"/>
      <c r="H146" s="172"/>
      <c r="I146" s="172"/>
      <c r="J146" s="172"/>
      <c r="K146" s="172"/>
      <c r="L146" s="172"/>
      <c r="M146" s="172"/>
      <c r="N146" s="271"/>
      <c r="O146" s="172"/>
      <c r="P146" s="172"/>
      <c r="Q146" s="172"/>
      <c r="R146" s="172"/>
      <c r="S146" s="172"/>
      <c r="T146" s="172"/>
      <c r="U146" s="207"/>
      <c r="V146" s="207"/>
      <c r="W146" s="207"/>
      <c r="X146" s="207"/>
      <c r="Y146" s="207"/>
      <c r="Z146" s="207"/>
      <c r="AA146" s="207"/>
    </row>
    <row r="147" spans="3:39" ht="15" customHeight="1" x14ac:dyDescent="0.25">
      <c r="C147" s="275"/>
      <c r="D147" s="172"/>
      <c r="E147" s="172"/>
      <c r="F147" s="172"/>
      <c r="G147" s="172"/>
      <c r="H147" s="172"/>
      <c r="I147" s="172"/>
      <c r="J147" s="172"/>
      <c r="K147" s="172"/>
      <c r="L147" s="172"/>
      <c r="M147" s="172"/>
      <c r="N147" s="271"/>
      <c r="O147" s="172"/>
      <c r="P147" s="172"/>
      <c r="Q147" s="172"/>
      <c r="R147" s="172"/>
      <c r="S147" s="172"/>
      <c r="T147" s="172"/>
      <c r="U147" s="207"/>
      <c r="V147" s="207"/>
      <c r="W147" s="207"/>
      <c r="X147" s="207"/>
      <c r="Y147" s="207"/>
      <c r="Z147" s="207"/>
      <c r="AA147" s="207"/>
    </row>
    <row r="148" spans="3:39" ht="15" customHeight="1" x14ac:dyDescent="0.25">
      <c r="C148" s="275"/>
      <c r="D148" s="172"/>
      <c r="E148" s="172"/>
      <c r="F148" s="172"/>
      <c r="G148" s="172"/>
      <c r="H148" s="172"/>
      <c r="I148" s="172"/>
      <c r="J148" s="172"/>
      <c r="K148" s="172"/>
      <c r="L148" s="172"/>
      <c r="M148" s="172"/>
      <c r="N148" s="271"/>
      <c r="O148" s="172"/>
      <c r="P148" s="172"/>
      <c r="Q148" s="172"/>
      <c r="R148" s="172"/>
      <c r="S148" s="172"/>
      <c r="T148" s="172"/>
      <c r="U148" s="207"/>
      <c r="V148" s="207"/>
      <c r="W148" s="207"/>
      <c r="X148" s="207"/>
      <c r="Y148" s="207"/>
      <c r="Z148" s="207"/>
      <c r="AA148" s="207"/>
    </row>
    <row r="149" spans="3:39" ht="15" customHeight="1" x14ac:dyDescent="0.25">
      <c r="C149" s="275"/>
      <c r="D149" s="172"/>
      <c r="E149" s="172"/>
      <c r="F149" s="172"/>
      <c r="G149" s="172"/>
      <c r="H149" s="172"/>
      <c r="I149" s="172"/>
      <c r="J149" s="172"/>
      <c r="K149" s="172"/>
      <c r="L149" s="172"/>
      <c r="M149" s="172"/>
      <c r="N149" s="271"/>
      <c r="O149" s="172"/>
      <c r="P149" s="172"/>
      <c r="Q149" s="172"/>
      <c r="R149" s="172"/>
      <c r="S149" s="172"/>
      <c r="T149" s="172"/>
      <c r="U149" s="207"/>
      <c r="V149" s="207"/>
      <c r="W149" s="207"/>
      <c r="X149" s="207"/>
      <c r="Y149" s="207"/>
      <c r="Z149" s="207"/>
      <c r="AA149" s="207"/>
    </row>
    <row r="150" spans="3:39" ht="15" customHeight="1" x14ac:dyDescent="0.25">
      <c r="C150" s="275"/>
      <c r="D150" s="172"/>
      <c r="E150" s="172"/>
      <c r="F150" s="172"/>
      <c r="G150" s="172"/>
      <c r="H150" s="172"/>
      <c r="I150" s="172"/>
      <c r="J150" s="172"/>
      <c r="K150" s="172"/>
      <c r="L150" s="172"/>
      <c r="M150" s="172"/>
      <c r="N150" s="271"/>
      <c r="O150" s="172"/>
      <c r="P150" s="172"/>
      <c r="Q150" s="172"/>
      <c r="R150" s="172"/>
      <c r="S150" s="172"/>
      <c r="T150" s="172"/>
      <c r="U150" s="207"/>
      <c r="V150" s="207"/>
      <c r="W150" s="207"/>
      <c r="X150" s="207"/>
      <c r="Y150" s="207"/>
      <c r="Z150" s="207"/>
      <c r="AA150" s="207"/>
    </row>
    <row r="151" spans="3:39" ht="15" customHeight="1" x14ac:dyDescent="0.25">
      <c r="C151" s="275"/>
      <c r="D151" s="172"/>
      <c r="E151" s="172"/>
      <c r="F151" s="172"/>
      <c r="G151" s="172"/>
      <c r="H151" s="172"/>
      <c r="I151" s="172"/>
      <c r="J151" s="172"/>
      <c r="K151" s="172"/>
      <c r="L151" s="172"/>
      <c r="M151" s="172"/>
      <c r="N151" s="271"/>
      <c r="O151" s="172"/>
      <c r="P151" s="172"/>
      <c r="Q151" s="172"/>
      <c r="R151" s="172"/>
      <c r="S151" s="172"/>
      <c r="T151" s="172"/>
      <c r="U151" s="207"/>
      <c r="V151" s="207"/>
      <c r="W151" s="207"/>
      <c r="X151" s="207"/>
      <c r="Y151" s="207"/>
      <c r="Z151" s="207"/>
      <c r="AA151" s="207"/>
    </row>
    <row r="152" spans="3:39" ht="15" customHeight="1" x14ac:dyDescent="0.25">
      <c r="C152" s="275"/>
      <c r="D152" s="172"/>
      <c r="E152" s="172"/>
      <c r="F152" s="172"/>
      <c r="G152" s="172"/>
      <c r="H152" s="172"/>
      <c r="I152" s="172"/>
      <c r="J152" s="172"/>
      <c r="K152" s="172"/>
      <c r="L152" s="172"/>
      <c r="M152" s="172"/>
      <c r="N152" s="271"/>
      <c r="O152" s="172"/>
      <c r="P152" s="172"/>
      <c r="Q152" s="172"/>
      <c r="R152" s="172"/>
      <c r="S152" s="172"/>
      <c r="T152" s="172"/>
      <c r="U152" s="207"/>
      <c r="V152" s="207"/>
      <c r="W152" s="207"/>
      <c r="X152" s="207"/>
      <c r="Y152" s="207"/>
      <c r="Z152" s="207"/>
      <c r="AA152" s="207"/>
    </row>
    <row r="153" spans="3:39" ht="15" customHeight="1" x14ac:dyDescent="0.25">
      <c r="C153" s="275"/>
      <c r="D153" s="172"/>
      <c r="E153" s="172"/>
      <c r="F153" s="172"/>
      <c r="G153" s="172"/>
      <c r="H153" s="172"/>
      <c r="I153" s="172"/>
      <c r="J153" s="172"/>
      <c r="K153" s="172"/>
      <c r="L153" s="172"/>
      <c r="M153" s="172"/>
      <c r="N153" s="271"/>
      <c r="O153" s="172"/>
      <c r="P153" s="172"/>
      <c r="Q153" s="172"/>
      <c r="R153" s="172"/>
      <c r="S153" s="172"/>
      <c r="T153" s="172"/>
      <c r="U153" s="207"/>
      <c r="V153" s="207"/>
      <c r="W153" s="207"/>
      <c r="X153" s="207"/>
      <c r="Y153" s="207"/>
      <c r="Z153" s="207"/>
      <c r="AA153" s="207"/>
    </row>
    <row r="154" spans="3:39" ht="15" customHeight="1" x14ac:dyDescent="0.25">
      <c r="C154" s="275"/>
      <c r="D154" s="172"/>
      <c r="E154" s="172"/>
      <c r="F154" s="172"/>
      <c r="G154" s="172"/>
      <c r="H154" s="172"/>
      <c r="I154" s="172"/>
      <c r="J154" s="172"/>
      <c r="K154" s="172"/>
      <c r="L154" s="172"/>
      <c r="M154" s="172"/>
      <c r="N154" s="271"/>
      <c r="O154" s="172"/>
      <c r="P154" s="172"/>
      <c r="Q154" s="172"/>
      <c r="R154" s="172"/>
      <c r="S154" s="172"/>
      <c r="T154" s="172"/>
      <c r="U154" s="207"/>
      <c r="V154" s="207"/>
      <c r="W154" s="207"/>
      <c r="X154" s="207"/>
      <c r="Y154" s="207"/>
      <c r="Z154" s="207"/>
      <c r="AA154" s="207"/>
    </row>
    <row r="155" spans="3:39" ht="15" customHeight="1" thickBot="1" x14ac:dyDescent="0.3">
      <c r="C155" s="275"/>
      <c r="D155" s="172"/>
      <c r="E155" s="172"/>
      <c r="F155" s="172"/>
      <c r="G155" s="172"/>
      <c r="H155" s="172"/>
      <c r="I155" s="172"/>
      <c r="J155" s="172"/>
      <c r="K155" s="172"/>
      <c r="L155" s="172"/>
      <c r="M155" s="172"/>
      <c r="N155" s="271"/>
      <c r="O155" s="172"/>
      <c r="P155" s="172"/>
      <c r="Q155" s="172"/>
      <c r="R155" s="172"/>
      <c r="S155" s="172"/>
      <c r="T155" s="172"/>
      <c r="U155" s="207"/>
      <c r="V155" s="207"/>
      <c r="W155" s="207"/>
      <c r="X155" s="207"/>
      <c r="Y155" s="207"/>
      <c r="Z155" s="207"/>
      <c r="AA155" s="207"/>
    </row>
    <row r="156" spans="3:39" ht="15" customHeight="1" thickBot="1" x14ac:dyDescent="0.3">
      <c r="C156" s="276" t="s">
        <v>125</v>
      </c>
      <c r="D156" s="277"/>
      <c r="E156" s="277"/>
      <c r="F156" s="277"/>
      <c r="G156" s="277"/>
      <c r="H156" s="277"/>
      <c r="I156" s="277"/>
      <c r="J156" s="277"/>
      <c r="K156" s="277"/>
      <c r="L156" s="277"/>
      <c r="M156" s="277"/>
      <c r="N156" s="278"/>
      <c r="O156" s="277"/>
      <c r="P156" s="277"/>
      <c r="Q156" s="277"/>
      <c r="R156" s="277"/>
      <c r="S156" s="277"/>
      <c r="T156" s="277"/>
      <c r="U156" s="351">
        <v>15802</v>
      </c>
      <c r="V156" s="352"/>
      <c r="W156" s="352"/>
      <c r="X156" s="352"/>
      <c r="Y156" s="352"/>
      <c r="Z156" s="352"/>
      <c r="AA156" s="353"/>
    </row>
    <row r="157" spans="3:39" ht="15" customHeight="1" x14ac:dyDescent="0.25">
      <c r="C157" s="279" t="s">
        <v>78</v>
      </c>
      <c r="D157" s="280"/>
      <c r="E157" s="280"/>
      <c r="F157" s="280"/>
      <c r="G157" s="280"/>
      <c r="H157" s="280"/>
      <c r="I157" s="280"/>
      <c r="J157" s="280"/>
      <c r="K157" s="280"/>
      <c r="L157" s="280"/>
      <c r="M157" s="280"/>
      <c r="N157" s="281"/>
      <c r="O157" s="280"/>
      <c r="P157" s="280"/>
      <c r="Q157" s="280"/>
      <c r="R157" s="280"/>
      <c r="S157" s="280"/>
      <c r="T157" s="280"/>
      <c r="U157" s="282"/>
      <c r="V157" s="283"/>
      <c r="W157" s="283"/>
      <c r="X157" s="283"/>
      <c r="Y157" s="283"/>
      <c r="Z157" s="354">
        <f>+Z58</f>
        <v>1</v>
      </c>
      <c r="AA157" s="355"/>
    </row>
    <row r="158" spans="3:39" ht="15" customHeight="1" x14ac:dyDescent="0.25">
      <c r="C158" s="279" t="s">
        <v>126</v>
      </c>
      <c r="D158" s="280"/>
      <c r="E158" s="280"/>
      <c r="F158" s="280"/>
      <c r="G158" s="280"/>
      <c r="H158" s="280"/>
      <c r="I158" s="280"/>
      <c r="J158" s="280"/>
      <c r="K158" s="280"/>
      <c r="L158" s="280"/>
      <c r="M158" s="280"/>
      <c r="N158" s="281"/>
      <c r="O158" s="280"/>
      <c r="P158" s="280"/>
      <c r="Q158" s="280"/>
      <c r="R158" s="280"/>
      <c r="S158" s="280"/>
      <c r="T158" s="280"/>
      <c r="U158" s="356">
        <f>U156/Z157</f>
        <v>15802</v>
      </c>
      <c r="V158" s="357"/>
      <c r="W158" s="357"/>
      <c r="X158" s="357"/>
      <c r="Y158" s="357"/>
      <c r="Z158" s="357"/>
      <c r="AA158" s="358"/>
      <c r="AI158" s="338"/>
      <c r="AJ158" s="338"/>
      <c r="AK158" s="338"/>
      <c r="AL158" s="338"/>
      <c r="AM158" s="338"/>
    </row>
    <row r="159" spans="3:39" ht="15" customHeight="1" x14ac:dyDescent="0.25">
      <c r="C159" s="284" t="s">
        <v>127</v>
      </c>
      <c r="D159" s="280"/>
      <c r="E159" s="280"/>
      <c r="F159" s="280"/>
      <c r="G159" s="280"/>
      <c r="H159" s="280"/>
      <c r="I159" s="280"/>
      <c r="J159" s="280"/>
      <c r="K159" s="280"/>
      <c r="L159" s="280"/>
      <c r="M159" s="280"/>
      <c r="N159" s="281"/>
      <c r="O159" s="280"/>
      <c r="P159" s="280"/>
      <c r="Q159" s="280"/>
      <c r="R159" s="280"/>
      <c r="S159" s="280"/>
      <c r="T159" s="280"/>
      <c r="U159" s="359">
        <f>U158*4</f>
        <v>63208</v>
      </c>
      <c r="V159" s="360"/>
      <c r="W159" s="360"/>
      <c r="X159" s="360"/>
      <c r="Y159" s="360"/>
      <c r="Z159" s="360"/>
      <c r="AA159" s="361"/>
    </row>
    <row r="160" spans="3:39" s="288" customFormat="1" ht="15" customHeight="1" thickBot="1" x14ac:dyDescent="0.25">
      <c r="C160" s="285" t="s">
        <v>128</v>
      </c>
      <c r="D160" s="286"/>
      <c r="E160" s="286"/>
      <c r="F160" s="286"/>
      <c r="G160" s="286"/>
      <c r="H160" s="286"/>
      <c r="I160" s="286"/>
      <c r="J160" s="286"/>
      <c r="K160" s="286"/>
      <c r="L160" s="286"/>
      <c r="M160" s="286"/>
      <c r="N160" s="287"/>
      <c r="O160" s="286"/>
      <c r="P160" s="286"/>
      <c r="Q160" s="286"/>
      <c r="R160" s="286"/>
      <c r="S160" s="286"/>
      <c r="T160" s="286"/>
      <c r="U160" s="340">
        <f>+ROUND(U156*2%,0)*4</f>
        <v>1264</v>
      </c>
      <c r="V160" s="341"/>
      <c r="W160" s="341"/>
      <c r="X160" s="341"/>
      <c r="Y160" s="341"/>
      <c r="Z160" s="341"/>
      <c r="AA160" s="342"/>
      <c r="AI160" s="343"/>
      <c r="AJ160" s="343"/>
      <c r="AK160" s="343"/>
    </row>
    <row r="161" spans="3:27" ht="15" customHeight="1" thickBot="1" x14ac:dyDescent="0.3">
      <c r="C161" s="289"/>
      <c r="D161" s="289"/>
      <c r="E161" s="289"/>
      <c r="F161" s="289"/>
      <c r="G161" s="289"/>
      <c r="H161" s="290"/>
      <c r="I161" s="291"/>
      <c r="J161" s="291"/>
      <c r="K161" s="291"/>
      <c r="L161" s="291"/>
      <c r="M161" s="291"/>
      <c r="N161" s="291"/>
      <c r="O161" s="291"/>
      <c r="P161" s="291"/>
      <c r="Q161" s="291"/>
      <c r="R161" s="291"/>
      <c r="S161" s="291"/>
      <c r="T161" s="291"/>
      <c r="U161" s="291"/>
      <c r="V161" s="291"/>
      <c r="W161" s="291"/>
      <c r="X161" s="291"/>
      <c r="Y161" s="291"/>
      <c r="Z161" s="291"/>
      <c r="AA161" s="291"/>
    </row>
    <row r="162" spans="3:27" ht="15" customHeight="1" thickBot="1" x14ac:dyDescent="0.3">
      <c r="C162" s="173"/>
      <c r="N162" s="271"/>
      <c r="O162" s="344" t="str">
        <f>IF(U156&lt;&gt;U139,"Varía","Permanece igual")</f>
        <v>Permanece igual</v>
      </c>
      <c r="P162" s="345"/>
      <c r="Q162" s="345"/>
      <c r="R162" s="345"/>
      <c r="S162" s="345"/>
      <c r="T162" s="345"/>
      <c r="U162" s="345"/>
      <c r="V162" s="345"/>
      <c r="W162" s="345"/>
      <c r="X162" s="345"/>
      <c r="Y162" s="345"/>
      <c r="Z162" s="345"/>
      <c r="AA162" s="346"/>
    </row>
    <row r="163" spans="3:27" ht="15" customHeight="1" x14ac:dyDescent="0.25">
      <c r="C163" s="173"/>
      <c r="N163" s="271"/>
      <c r="O163" s="292"/>
      <c r="P163" s="292"/>
      <c r="Q163" s="292"/>
      <c r="R163" s="292"/>
      <c r="S163" s="292"/>
      <c r="T163" s="292"/>
      <c r="U163" s="292"/>
      <c r="V163" s="292"/>
      <c r="W163" s="292"/>
      <c r="X163" s="292"/>
      <c r="Y163" s="292"/>
      <c r="Z163" s="292"/>
      <c r="AA163" s="292"/>
    </row>
    <row r="164" spans="3:27" ht="15" customHeight="1" x14ac:dyDescent="0.25">
      <c r="C164" s="293"/>
      <c r="N164" s="271"/>
      <c r="O164" s="292"/>
      <c r="P164" s="292"/>
      <c r="Q164" s="292"/>
      <c r="R164" s="292"/>
      <c r="S164" s="292"/>
      <c r="T164" s="292"/>
      <c r="U164" s="347">
        <f>+(U145*4)*50%</f>
        <v>31604</v>
      </c>
      <c r="V164" s="347"/>
      <c r="W164" s="347"/>
      <c r="X164" s="347"/>
      <c r="Y164" s="347"/>
      <c r="Z164" s="347"/>
      <c r="AA164" s="347"/>
    </row>
    <row r="165" spans="3:27" ht="15" customHeight="1" x14ac:dyDescent="0.25">
      <c r="C165" s="173"/>
    </row>
    <row r="166" spans="3:27" ht="15" customHeight="1" x14ac:dyDescent="0.25">
      <c r="C166" s="173"/>
      <c r="N166" s="294" t="s">
        <v>129</v>
      </c>
      <c r="O166" s="292"/>
      <c r="P166" s="292"/>
      <c r="Q166" s="339" t="s">
        <v>130</v>
      </c>
      <c r="R166" s="339"/>
      <c r="S166" s="339"/>
      <c r="T166" s="339"/>
      <c r="U166" s="339"/>
      <c r="V166" s="339"/>
      <c r="W166" s="339"/>
      <c r="X166" s="339"/>
      <c r="Y166" s="339"/>
      <c r="Z166" s="339"/>
      <c r="AA166" s="339"/>
    </row>
    <row r="167" spans="3:27" ht="15" customHeight="1" x14ac:dyDescent="0.25">
      <c r="C167" s="173"/>
      <c r="N167" s="271"/>
      <c r="O167" s="292"/>
      <c r="P167" s="292"/>
      <c r="Q167" s="292"/>
      <c r="R167" s="292"/>
      <c r="S167" s="292"/>
      <c r="T167" s="292"/>
      <c r="V167" s="292"/>
      <c r="W167" s="292"/>
      <c r="X167" s="292"/>
      <c r="Y167" s="292"/>
      <c r="Z167" s="292"/>
      <c r="AA167" s="292"/>
    </row>
    <row r="168" spans="3:27" ht="15" customHeight="1" x14ac:dyDescent="0.25">
      <c r="C168" s="173"/>
      <c r="O168" s="292"/>
      <c r="P168" s="292"/>
      <c r="Q168" s="292"/>
      <c r="R168" s="292"/>
      <c r="S168" s="292"/>
      <c r="T168" s="292"/>
      <c r="V168" s="292"/>
      <c r="W168" s="292"/>
      <c r="X168" s="292"/>
      <c r="Y168" s="292"/>
      <c r="Z168" s="292"/>
      <c r="AA168" s="292"/>
    </row>
    <row r="169" spans="3:27" ht="15" customHeight="1" x14ac:dyDescent="0.25">
      <c r="C169" s="173"/>
      <c r="N169" s="294" t="s">
        <v>131</v>
      </c>
      <c r="O169" s="292"/>
      <c r="P169" s="292"/>
      <c r="Q169" s="339" t="s">
        <v>132</v>
      </c>
      <c r="R169" s="339"/>
      <c r="S169" s="339"/>
      <c r="T169" s="339"/>
      <c r="U169" s="339"/>
      <c r="V169" s="339"/>
      <c r="W169" s="339"/>
      <c r="X169" s="339"/>
      <c r="Y169" s="339"/>
      <c r="Z169" s="339"/>
      <c r="AA169" s="339"/>
    </row>
    <row r="170" spans="3:27" ht="15" customHeight="1" x14ac:dyDescent="0.25">
      <c r="C170" s="173"/>
      <c r="N170" s="294"/>
      <c r="O170" s="292"/>
      <c r="P170" s="292"/>
      <c r="Q170" s="292"/>
      <c r="R170" s="292"/>
      <c r="S170" s="292"/>
      <c r="T170" s="292"/>
      <c r="U170" s="292"/>
      <c r="V170" s="292"/>
      <c r="W170" s="292"/>
      <c r="X170" s="292"/>
      <c r="Y170" s="292"/>
      <c r="Z170" s="292"/>
      <c r="AA170" s="292"/>
    </row>
    <row r="171" spans="3:27" ht="15" customHeight="1" x14ac:dyDescent="0.25">
      <c r="C171" s="173"/>
      <c r="N171" s="271"/>
      <c r="O171" s="292"/>
      <c r="T171" s="292"/>
    </row>
    <row r="172" spans="3:27" ht="15" customHeight="1" x14ac:dyDescent="0.25">
      <c r="C172" s="224"/>
    </row>
    <row r="173" spans="3:27" ht="15" customHeight="1" x14ac:dyDescent="0.25">
      <c r="C173" s="224"/>
    </row>
    <row r="174" spans="3:27" ht="15" customHeight="1" x14ac:dyDescent="0.25">
      <c r="C174" s="224"/>
    </row>
    <row r="175" spans="3:27" ht="15" customHeight="1" x14ac:dyDescent="0.25">
      <c r="C175" s="224"/>
    </row>
    <row r="176" spans="3:27" ht="15" customHeight="1" x14ac:dyDescent="0.25">
      <c r="C176" s="224"/>
    </row>
    <row r="177" spans="3:3" ht="15" customHeight="1" x14ac:dyDescent="0.25">
      <c r="C177" s="224"/>
    </row>
    <row r="178" spans="3:3" ht="15" customHeight="1" x14ac:dyDescent="0.25">
      <c r="C178" s="224"/>
    </row>
    <row r="180" spans="3:3" s="295" customFormat="1" ht="20.100000000000001" customHeight="1" x14ac:dyDescent="0.2"/>
  </sheetData>
  <sheetProtection selectLockedCells="1" selectUnlockedCells="1"/>
  <mergeCells count="108">
    <mergeCell ref="C51:Z51"/>
    <mergeCell ref="C52:Z52"/>
    <mergeCell ref="T11:AA11"/>
    <mergeCell ref="T12:AA12"/>
    <mergeCell ref="T10:AA10"/>
    <mergeCell ref="C3:AA3"/>
    <mergeCell ref="C4:AA4"/>
    <mergeCell ref="C5:AA5"/>
    <mergeCell ref="C7:AA7"/>
    <mergeCell ref="T8:AA8"/>
    <mergeCell ref="K9:AA9"/>
    <mergeCell ref="Y20:AA20"/>
    <mergeCell ref="C21:X21"/>
    <mergeCell ref="Y21:AA21"/>
    <mergeCell ref="C22:X22"/>
    <mergeCell ref="Y22:AA22"/>
    <mergeCell ref="T13:AA13"/>
    <mergeCell ref="T14:AA14"/>
    <mergeCell ref="T15:AA15"/>
    <mergeCell ref="T16:AA16"/>
    <mergeCell ref="T17:AA17"/>
    <mergeCell ref="C18:AA18"/>
    <mergeCell ref="C72:E72"/>
    <mergeCell ref="F72:M72"/>
    <mergeCell ref="N72:P72"/>
    <mergeCell ref="Q72:S72"/>
    <mergeCell ref="T72:V72"/>
    <mergeCell ref="W72:AA72"/>
    <mergeCell ref="H68:O68"/>
    <mergeCell ref="T53:AA53"/>
    <mergeCell ref="C54:AA54"/>
    <mergeCell ref="G56:AA56"/>
    <mergeCell ref="Z58:AA58"/>
    <mergeCell ref="C60:AA60"/>
    <mergeCell ref="C74:E74"/>
    <mergeCell ref="F74:M74"/>
    <mergeCell ref="N74:P74"/>
    <mergeCell ref="Q74:S74"/>
    <mergeCell ref="T74:V74"/>
    <mergeCell ref="W74:AA74"/>
    <mergeCell ref="C73:E73"/>
    <mergeCell ref="F73:M73"/>
    <mergeCell ref="N73:P73"/>
    <mergeCell ref="Q73:S73"/>
    <mergeCell ref="T73:V73"/>
    <mergeCell ref="W73:AA73"/>
    <mergeCell ref="E80:J80"/>
    <mergeCell ref="E81:J81"/>
    <mergeCell ref="E83:K83"/>
    <mergeCell ref="E84:J84"/>
    <mergeCell ref="E87:I87"/>
    <mergeCell ref="E88:I88"/>
    <mergeCell ref="C75:V75"/>
    <mergeCell ref="W75:AA75"/>
    <mergeCell ref="C76:V76"/>
    <mergeCell ref="W76:AA76"/>
    <mergeCell ref="C77:V77"/>
    <mergeCell ref="W77:AA77"/>
    <mergeCell ref="M104:N104"/>
    <mergeCell ref="P104:Q104"/>
    <mergeCell ref="S104:T104"/>
    <mergeCell ref="R105:S105"/>
    <mergeCell ref="W105:AA105"/>
    <mergeCell ref="R106:S106"/>
    <mergeCell ref="W106:AA106"/>
    <mergeCell ref="H112:O112"/>
    <mergeCell ref="E89:J89"/>
    <mergeCell ref="E90:J90"/>
    <mergeCell ref="H92:K92"/>
    <mergeCell ref="W101:AA101"/>
    <mergeCell ref="M102:V102"/>
    <mergeCell ref="M103:V103"/>
    <mergeCell ref="H116:N116"/>
    <mergeCell ref="V116:AA116"/>
    <mergeCell ref="V120:AA120"/>
    <mergeCell ref="C134:AA134"/>
    <mergeCell ref="U136:AA136"/>
    <mergeCell ref="U137:AA137"/>
    <mergeCell ref="V118:AA118"/>
    <mergeCell ref="N108:O108"/>
    <mergeCell ref="N109:O109"/>
    <mergeCell ref="N110:O110"/>
    <mergeCell ref="N111:O111"/>
    <mergeCell ref="V112:AA112"/>
    <mergeCell ref="AE11:AH11"/>
    <mergeCell ref="Q166:AA166"/>
    <mergeCell ref="Q169:AA169"/>
    <mergeCell ref="U160:AA160"/>
    <mergeCell ref="AI160:AK160"/>
    <mergeCell ref="O162:AA162"/>
    <mergeCell ref="U164:AA164"/>
    <mergeCell ref="U145:AA145"/>
    <mergeCell ref="U156:AA156"/>
    <mergeCell ref="Z157:AA157"/>
    <mergeCell ref="U158:AA158"/>
    <mergeCell ref="AI158:AM158"/>
    <mergeCell ref="U159:AA159"/>
    <mergeCell ref="U138:AA138"/>
    <mergeCell ref="U139:AA139"/>
    <mergeCell ref="U141:AA141"/>
    <mergeCell ref="U142:AA142"/>
    <mergeCell ref="U143:AA143"/>
    <mergeCell ref="U144:AA144"/>
    <mergeCell ref="V68:AA68"/>
    <mergeCell ref="C23:X23"/>
    <mergeCell ref="Y23:AA23"/>
    <mergeCell ref="Y24:AA24"/>
    <mergeCell ref="C50:Z50"/>
  </mergeCells>
  <dataValidations count="2">
    <dataValidation allowBlank="1" showInputMessage="1" showErrorMessage="1" sqref="U158:AA160" xr:uid="{A66BF599-A10D-44A7-AC74-2497F5246CA9}"/>
    <dataValidation type="list" allowBlank="1" showInputMessage="1" showErrorMessage="1" sqref="U156:AA156" xr:uid="{FA2DEE5C-D683-4F83-99D6-119525C59E38}">
      <formula1>$U$142:$U145</formula1>
    </dataValidation>
  </dataValidations>
  <printOptions horizontalCentered="1"/>
  <pageMargins left="0" right="0" top="0.59055118110236227" bottom="0" header="0.39370078740157483" footer="0"/>
  <pageSetup orientation="portrait" r:id="rId1"/>
  <headerFooter alignWithMargins="0">
    <oddHeader>&amp;L&amp;F  &amp;D  &amp;P</oddHeader>
  </headerFooter>
  <rowBreaks count="2" manualBreakCount="2">
    <brk id="25" max="16383" man="1"/>
    <brk id="98" max="16383" man="1"/>
  </row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CB675EC-19F2-4D8F-AE0B-F42E7F575FE4}">
          <x14:formula1>
            <xm:f>PARÁMETROS!$H$613:$H$627</xm:f>
          </x14:formula1>
          <xm:sqref>T11:AA11</xm:sqref>
        </x14:dataValidation>
        <x14:dataValidation type="list" allowBlank="1" showInputMessage="1" showErrorMessage="1" xr:uid="{EA59AF3B-82B5-4468-BBE7-5CF034026CA2}">
          <x14:formula1>
            <xm:f>PARÁMETROS!$M$336:$M$344</xm:f>
          </x14:formula1>
          <xm:sqref>F73:M74</xm:sqref>
        </x14:dataValidation>
        <x14:dataValidation type="list" allowBlank="1" showInputMessage="1" showErrorMessage="1" xr:uid="{55609474-CAB0-4F83-BA01-4791F9BB0FFB}">
          <x14:formula1>
            <xm:f>PARÁMETROS!$M$347:$M$350</xm:f>
          </x14:formula1>
          <xm:sqref>E83:K83</xm:sqref>
        </x14:dataValidation>
        <x14:dataValidation type="list" allowBlank="1" showInputMessage="1" showErrorMessage="1" xr:uid="{EAD53059-1D6C-4AAE-989E-977FE62F0405}">
          <x14:formula1>
            <xm:f>PARÁMETROS!$M$352:$M$354</xm:f>
          </x14:formula1>
          <xm:sqref>E89:J89</xm:sqref>
        </x14:dataValidation>
        <x14:dataValidation type="list" allowBlank="1" showInputMessage="1" showErrorMessage="1" xr:uid="{F6A8435E-0843-4040-9FCA-29B268E992CC}">
          <x14:formula1>
            <xm:f>PARÁMETROS!$E$107:$E$129</xm:f>
          </x14:formula1>
          <xm:sqref>Q166:AA166 Q169:AA169</xm:sqref>
        </x14:dataValidation>
        <x14:dataValidation type="list" allowBlank="1" showInputMessage="1" showErrorMessage="1" xr:uid="{FE9CDC29-A6B5-4D98-AC04-266754BF6ED5}">
          <x14:formula1>
            <xm:f>PARÁMETROS!$B$620:$B$623</xm:f>
          </x14:formula1>
          <xm:sqref>Y21:AA24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AFC6-D3E8-400F-A8F5-6BA34D5A6F42}">
  <dimension ref="A1:AK916"/>
  <sheetViews>
    <sheetView topLeftCell="A189" workbookViewId="0">
      <selection activeCell="B10" sqref="B10"/>
    </sheetView>
  </sheetViews>
  <sheetFormatPr baseColWidth="10" defaultColWidth="9.140625" defaultRowHeight="15" x14ac:dyDescent="0.25"/>
  <cols>
    <col min="1" max="1" width="15" style="296" bestFit="1" customWidth="1"/>
    <col min="2" max="2" width="57.28515625" style="296" bestFit="1" customWidth="1"/>
    <col min="3" max="7" width="9.140625" style="296"/>
    <col min="8" max="8" width="51.140625" style="296" bestFit="1" customWidth="1"/>
    <col min="9" max="9" width="68.7109375" style="296" bestFit="1" customWidth="1"/>
    <col min="10" max="10" width="64.85546875" style="296" bestFit="1" customWidth="1"/>
    <col min="11" max="11" width="37.28515625" style="296" bestFit="1" customWidth="1"/>
    <col min="12" max="12" width="58.7109375" style="296" bestFit="1" customWidth="1"/>
    <col min="13" max="15" width="9.140625" style="296"/>
    <col min="16" max="16" width="49" style="296" bestFit="1" customWidth="1"/>
    <col min="17" max="28" width="9.140625" style="296"/>
    <col min="29" max="29" width="122.42578125" style="296" bestFit="1" customWidth="1"/>
    <col min="30" max="30" width="15.7109375" style="296" bestFit="1" customWidth="1"/>
    <col min="31" max="31" width="12.28515625" style="296" bestFit="1" customWidth="1"/>
    <col min="32" max="32" width="17.7109375" style="296" bestFit="1" customWidth="1"/>
    <col min="33" max="16384" width="9.140625" style="296"/>
  </cols>
  <sheetData>
    <row r="1" spans="1:37" x14ac:dyDescent="0.25">
      <c r="A1" s="296" t="s">
        <v>133</v>
      </c>
      <c r="B1" s="296" t="s">
        <v>134</v>
      </c>
      <c r="C1" s="296" t="s">
        <v>135</v>
      </c>
      <c r="D1" s="296" t="s">
        <v>136</v>
      </c>
      <c r="E1" s="296" t="s">
        <v>137</v>
      </c>
      <c r="F1" s="296" t="s">
        <v>138</v>
      </c>
      <c r="G1" s="296" t="s">
        <v>139</v>
      </c>
      <c r="H1" s="296" t="s">
        <v>140</v>
      </c>
      <c r="I1" s="296" t="s">
        <v>141</v>
      </c>
      <c r="J1" s="296" t="s">
        <v>142</v>
      </c>
      <c r="K1" s="296" t="s">
        <v>143</v>
      </c>
      <c r="L1" s="296" t="s">
        <v>144</v>
      </c>
      <c r="M1" s="296" t="s">
        <v>145</v>
      </c>
      <c r="N1" s="296" t="s">
        <v>146</v>
      </c>
      <c r="O1" s="296" t="s">
        <v>147</v>
      </c>
      <c r="P1" s="296" t="s">
        <v>148</v>
      </c>
      <c r="Q1" s="296" t="s">
        <v>149</v>
      </c>
      <c r="R1" s="296" t="s">
        <v>150</v>
      </c>
      <c r="S1" s="296" t="s">
        <v>151</v>
      </c>
      <c r="T1" s="296" t="s">
        <v>152</v>
      </c>
      <c r="U1" s="296" t="s">
        <v>153</v>
      </c>
      <c r="V1" s="296" t="s">
        <v>154</v>
      </c>
      <c r="W1" s="296" t="s">
        <v>155</v>
      </c>
      <c r="X1" s="296" t="s">
        <v>156</v>
      </c>
      <c r="Y1" s="296" t="s">
        <v>157</v>
      </c>
      <c r="Z1" s="296" t="s">
        <v>158</v>
      </c>
      <c r="AA1" s="296" t="s">
        <v>159</v>
      </c>
      <c r="AB1" s="296" t="s">
        <v>160</v>
      </c>
      <c r="AC1" s="296" t="s">
        <v>161</v>
      </c>
      <c r="AD1" s="296" t="s">
        <v>162</v>
      </c>
      <c r="AE1" s="296" t="s">
        <v>163</v>
      </c>
      <c r="AF1" s="296" t="s">
        <v>164</v>
      </c>
      <c r="AG1" s="296" t="s">
        <v>165</v>
      </c>
      <c r="AH1" s="296" t="s">
        <v>166</v>
      </c>
      <c r="AI1" s="296" t="s">
        <v>167</v>
      </c>
      <c r="AJ1" s="296" t="s">
        <v>168</v>
      </c>
    </row>
    <row r="2" spans="1:37" s="297" customFormat="1" ht="26.25" x14ac:dyDescent="0.4">
      <c r="A2" s="297">
        <v>1</v>
      </c>
      <c r="B2" s="297">
        <f>1+A2</f>
        <v>2</v>
      </c>
      <c r="C2" s="297">
        <f t="shared" ref="C2:AK2" si="0">1+B2</f>
        <v>3</v>
      </c>
      <c r="D2" s="297">
        <f t="shared" si="0"/>
        <v>4</v>
      </c>
      <c r="E2" s="297">
        <f t="shared" si="0"/>
        <v>5</v>
      </c>
      <c r="F2" s="297">
        <f t="shared" si="0"/>
        <v>6</v>
      </c>
      <c r="G2" s="297">
        <f t="shared" si="0"/>
        <v>7</v>
      </c>
      <c r="H2" s="297">
        <f t="shared" si="0"/>
        <v>8</v>
      </c>
      <c r="I2" s="297">
        <f t="shared" si="0"/>
        <v>9</v>
      </c>
      <c r="J2" s="297">
        <f t="shared" si="0"/>
        <v>10</v>
      </c>
      <c r="K2" s="297">
        <f t="shared" si="0"/>
        <v>11</v>
      </c>
      <c r="L2" s="297">
        <f t="shared" si="0"/>
        <v>12</v>
      </c>
      <c r="M2" s="297">
        <f t="shared" si="0"/>
        <v>13</v>
      </c>
      <c r="N2" s="297">
        <f t="shared" si="0"/>
        <v>14</v>
      </c>
      <c r="O2" s="297">
        <f t="shared" si="0"/>
        <v>15</v>
      </c>
      <c r="P2" s="297">
        <f t="shared" si="0"/>
        <v>16</v>
      </c>
      <c r="Q2" s="297">
        <f t="shared" si="0"/>
        <v>17</v>
      </c>
      <c r="R2" s="297">
        <f t="shared" si="0"/>
        <v>18</v>
      </c>
      <c r="S2" s="297">
        <f t="shared" si="0"/>
        <v>19</v>
      </c>
      <c r="T2" s="297">
        <f t="shared" si="0"/>
        <v>20</v>
      </c>
      <c r="U2" s="297">
        <f t="shared" si="0"/>
        <v>21</v>
      </c>
      <c r="V2" s="297">
        <f t="shared" si="0"/>
        <v>22</v>
      </c>
      <c r="W2" s="297">
        <f t="shared" si="0"/>
        <v>23</v>
      </c>
      <c r="X2" s="297">
        <f t="shared" si="0"/>
        <v>24</v>
      </c>
      <c r="Y2" s="297">
        <f t="shared" si="0"/>
        <v>25</v>
      </c>
      <c r="Z2" s="297">
        <f t="shared" si="0"/>
        <v>26</v>
      </c>
      <c r="AA2" s="297">
        <f t="shared" si="0"/>
        <v>27</v>
      </c>
      <c r="AB2" s="297">
        <f t="shared" si="0"/>
        <v>28</v>
      </c>
      <c r="AC2" s="297">
        <f t="shared" si="0"/>
        <v>29</v>
      </c>
      <c r="AD2" s="297">
        <f t="shared" si="0"/>
        <v>30</v>
      </c>
      <c r="AE2" s="297">
        <f t="shared" si="0"/>
        <v>31</v>
      </c>
      <c r="AF2" s="297">
        <f t="shared" si="0"/>
        <v>32</v>
      </c>
      <c r="AG2" s="297">
        <f t="shared" si="0"/>
        <v>33</v>
      </c>
      <c r="AH2" s="297">
        <f t="shared" si="0"/>
        <v>34</v>
      </c>
      <c r="AI2" s="297">
        <f t="shared" si="0"/>
        <v>35</v>
      </c>
      <c r="AJ2" s="297">
        <f t="shared" si="0"/>
        <v>36</v>
      </c>
      <c r="AK2" s="297">
        <f t="shared" si="0"/>
        <v>37</v>
      </c>
    </row>
    <row r="3" spans="1:37" x14ac:dyDescent="0.25">
      <c r="A3" s="296">
        <v>3101722970</v>
      </c>
      <c r="B3" s="296" t="s">
        <v>169</v>
      </c>
      <c r="C3" s="296" t="s">
        <v>170</v>
      </c>
      <c r="D3" s="296" t="s">
        <v>171</v>
      </c>
      <c r="E3" s="296" t="s">
        <v>172</v>
      </c>
      <c r="F3" s="296" t="s">
        <v>173</v>
      </c>
      <c r="G3" s="296" t="s">
        <v>173</v>
      </c>
      <c r="H3" s="296" t="s">
        <v>174</v>
      </c>
      <c r="I3" s="296" t="s">
        <v>175</v>
      </c>
      <c r="J3" s="296" t="s">
        <v>176</v>
      </c>
      <c r="K3" s="296" t="s">
        <v>177</v>
      </c>
      <c r="L3" s="296" t="s">
        <v>178</v>
      </c>
      <c r="M3" s="296" t="s">
        <v>179</v>
      </c>
      <c r="N3" s="296" t="s">
        <v>180</v>
      </c>
      <c r="O3" s="296" t="s">
        <v>181</v>
      </c>
      <c r="P3" s="296" t="s">
        <v>182</v>
      </c>
      <c r="Q3" s="296" t="s">
        <v>183</v>
      </c>
      <c r="R3" s="296" t="s">
        <v>184</v>
      </c>
      <c r="S3" s="296" t="s">
        <v>185</v>
      </c>
      <c r="T3" s="296" t="s">
        <v>185</v>
      </c>
      <c r="U3" s="296" t="s">
        <v>186</v>
      </c>
      <c r="V3" s="296" t="s">
        <v>187</v>
      </c>
      <c r="W3" s="296" t="s">
        <v>188</v>
      </c>
      <c r="X3" s="296" t="s">
        <v>189</v>
      </c>
      <c r="Y3" s="296" t="s">
        <v>183</v>
      </c>
      <c r="Z3" s="296" t="s">
        <v>183</v>
      </c>
      <c r="AA3" s="296" t="s">
        <v>183</v>
      </c>
      <c r="AB3" s="296" t="s">
        <v>183</v>
      </c>
      <c r="AC3" s="296" t="s">
        <v>190</v>
      </c>
      <c r="AD3" s="296" t="s">
        <v>191</v>
      </c>
      <c r="AE3" s="296" t="s">
        <v>192</v>
      </c>
      <c r="AF3" s="296" t="s">
        <v>193</v>
      </c>
      <c r="AG3" s="296">
        <v>0</v>
      </c>
      <c r="AH3" s="298">
        <v>44012</v>
      </c>
      <c r="AJ3" s="296" t="s">
        <v>194</v>
      </c>
      <c r="AK3" s="299">
        <f>COUNTIF($A$3:A$917,A3)</f>
        <v>2</v>
      </c>
    </row>
    <row r="4" spans="1:37" x14ac:dyDescent="0.25">
      <c r="A4" s="296">
        <v>208270217</v>
      </c>
      <c r="B4" s="296" t="s">
        <v>195</v>
      </c>
      <c r="C4" s="296" t="s">
        <v>183</v>
      </c>
      <c r="D4" s="296" t="s">
        <v>183</v>
      </c>
      <c r="E4" s="296" t="s">
        <v>183</v>
      </c>
      <c r="F4" s="296" t="s">
        <v>196</v>
      </c>
      <c r="G4" s="296" t="s">
        <v>196</v>
      </c>
      <c r="H4" s="296" t="s">
        <v>197</v>
      </c>
      <c r="I4" s="296" t="s">
        <v>183</v>
      </c>
      <c r="J4" s="296" t="s">
        <v>198</v>
      </c>
      <c r="K4" s="296" t="s">
        <v>199</v>
      </c>
      <c r="L4" s="296" t="s">
        <v>200</v>
      </c>
      <c r="M4" s="296" t="s">
        <v>179</v>
      </c>
      <c r="N4" s="296" t="s">
        <v>201</v>
      </c>
      <c r="O4" s="296" t="s">
        <v>183</v>
      </c>
      <c r="P4" s="296" t="s">
        <v>202</v>
      </c>
      <c r="Q4" s="296" t="s">
        <v>183</v>
      </c>
      <c r="R4" s="296" t="s">
        <v>203</v>
      </c>
      <c r="S4" s="296" t="s">
        <v>185</v>
      </c>
      <c r="T4" s="296" t="s">
        <v>185</v>
      </c>
      <c r="U4" s="296" t="s">
        <v>186</v>
      </c>
      <c r="V4" s="296" t="s">
        <v>187</v>
      </c>
      <c r="W4" s="296" t="s">
        <v>188</v>
      </c>
      <c r="X4" s="296" t="s">
        <v>189</v>
      </c>
      <c r="Y4" s="296" t="s">
        <v>183</v>
      </c>
      <c r="Z4" s="296" t="s">
        <v>183</v>
      </c>
      <c r="AA4" s="296" t="s">
        <v>183</v>
      </c>
      <c r="AB4" s="296" t="s">
        <v>183</v>
      </c>
      <c r="AC4" s="296" t="s">
        <v>204</v>
      </c>
      <c r="AD4" s="296" t="s">
        <v>205</v>
      </c>
      <c r="AE4" s="296" t="s">
        <v>192</v>
      </c>
      <c r="AF4" s="296" t="s">
        <v>193</v>
      </c>
      <c r="AG4" s="296">
        <v>0</v>
      </c>
      <c r="AH4" s="298">
        <v>45153</v>
      </c>
      <c r="AJ4" s="296" t="s">
        <v>194</v>
      </c>
      <c r="AK4" s="299">
        <f>COUNTIF($A$3:A$917,A4)</f>
        <v>1</v>
      </c>
    </row>
    <row r="5" spans="1:37" x14ac:dyDescent="0.25">
      <c r="A5" s="296">
        <v>155815120705</v>
      </c>
      <c r="B5" s="296" t="s">
        <v>206</v>
      </c>
      <c r="C5" s="296" t="s">
        <v>183</v>
      </c>
      <c r="D5" s="296" t="s">
        <v>183</v>
      </c>
      <c r="E5" s="296" t="s">
        <v>183</v>
      </c>
      <c r="F5" s="296" t="s">
        <v>207</v>
      </c>
      <c r="G5" s="296" t="s">
        <v>208</v>
      </c>
      <c r="H5" s="296" t="s">
        <v>209</v>
      </c>
      <c r="I5" s="296" t="s">
        <v>183</v>
      </c>
      <c r="J5" s="296" t="s">
        <v>210</v>
      </c>
      <c r="K5" s="296" t="s">
        <v>211</v>
      </c>
      <c r="L5" s="296" t="s">
        <v>212</v>
      </c>
      <c r="M5" s="296" t="s">
        <v>179</v>
      </c>
      <c r="N5" s="296" t="s">
        <v>213</v>
      </c>
      <c r="O5" s="296" t="s">
        <v>183</v>
      </c>
      <c r="P5" s="296" t="s">
        <v>214</v>
      </c>
      <c r="Q5" s="296" t="s">
        <v>183</v>
      </c>
      <c r="R5" s="296" t="s">
        <v>215</v>
      </c>
      <c r="S5" s="296" t="s">
        <v>185</v>
      </c>
      <c r="T5" s="296" t="s">
        <v>185</v>
      </c>
      <c r="U5" s="296" t="s">
        <v>186</v>
      </c>
      <c r="V5" s="296" t="s">
        <v>187</v>
      </c>
      <c r="W5" s="296" t="s">
        <v>188</v>
      </c>
      <c r="X5" s="296" t="s">
        <v>189</v>
      </c>
      <c r="Y5" s="296" t="s">
        <v>183</v>
      </c>
      <c r="Z5" s="296" t="s">
        <v>183</v>
      </c>
      <c r="AA5" s="296" t="s">
        <v>183</v>
      </c>
      <c r="AB5" s="296" t="s">
        <v>183</v>
      </c>
      <c r="AC5" s="296" t="s">
        <v>216</v>
      </c>
      <c r="AD5" s="296" t="s">
        <v>217</v>
      </c>
      <c r="AE5" s="296" t="s">
        <v>192</v>
      </c>
      <c r="AF5" s="296" t="s">
        <v>193</v>
      </c>
      <c r="AG5" s="296">
        <v>0</v>
      </c>
      <c r="AH5" s="298">
        <v>45176</v>
      </c>
      <c r="AJ5" s="296" t="s">
        <v>194</v>
      </c>
      <c r="AK5" s="299">
        <f>COUNTIF($A$3:A$917,A5)</f>
        <v>1</v>
      </c>
    </row>
    <row r="6" spans="1:37" x14ac:dyDescent="0.25">
      <c r="A6" s="296">
        <v>502640291</v>
      </c>
      <c r="B6" s="296" t="s">
        <v>218</v>
      </c>
      <c r="C6" s="296" t="s">
        <v>183</v>
      </c>
      <c r="D6" s="296" t="s">
        <v>183</v>
      </c>
      <c r="E6" s="296" t="s">
        <v>183</v>
      </c>
      <c r="F6" s="296" t="s">
        <v>219</v>
      </c>
      <c r="G6" s="296" t="s">
        <v>183</v>
      </c>
      <c r="H6" s="296" t="s">
        <v>220</v>
      </c>
      <c r="I6" s="296" t="s">
        <v>183</v>
      </c>
      <c r="J6" s="296" t="s">
        <v>221</v>
      </c>
      <c r="K6" s="296" t="s">
        <v>222</v>
      </c>
      <c r="L6" s="296" t="s">
        <v>218</v>
      </c>
      <c r="M6" s="296" t="s">
        <v>179</v>
      </c>
      <c r="N6" s="296" t="s">
        <v>219</v>
      </c>
      <c r="O6" s="296" t="s">
        <v>183</v>
      </c>
      <c r="P6" s="296" t="s">
        <v>220</v>
      </c>
      <c r="Q6" s="296" t="s">
        <v>183</v>
      </c>
      <c r="R6" s="296" t="s">
        <v>223</v>
      </c>
      <c r="S6" s="296" t="s">
        <v>185</v>
      </c>
      <c r="T6" s="296" t="s">
        <v>185</v>
      </c>
      <c r="U6" s="296" t="s">
        <v>186</v>
      </c>
      <c r="V6" s="296" t="s">
        <v>187</v>
      </c>
      <c r="W6" s="296" t="s">
        <v>188</v>
      </c>
      <c r="X6" s="296" t="s">
        <v>224</v>
      </c>
      <c r="Y6" s="296" t="s">
        <v>183</v>
      </c>
      <c r="Z6" s="296" t="s">
        <v>183</v>
      </c>
      <c r="AA6" s="296" t="s">
        <v>183</v>
      </c>
      <c r="AB6" s="296" t="s">
        <v>183</v>
      </c>
      <c r="AC6" s="296" t="s">
        <v>225</v>
      </c>
      <c r="AD6" s="296" t="s">
        <v>226</v>
      </c>
      <c r="AE6" s="296" t="s">
        <v>192</v>
      </c>
      <c r="AF6" s="296" t="s">
        <v>193</v>
      </c>
      <c r="AG6" s="296">
        <v>0</v>
      </c>
      <c r="AH6" s="298">
        <v>45086</v>
      </c>
      <c r="AJ6" s="296" t="s">
        <v>194</v>
      </c>
      <c r="AK6" s="299">
        <f>COUNTIF($A$3:A$917,A6)</f>
        <v>1</v>
      </c>
    </row>
    <row r="7" spans="1:37" x14ac:dyDescent="0.25">
      <c r="A7" s="296">
        <v>155834652505</v>
      </c>
      <c r="B7" s="296" t="s">
        <v>227</v>
      </c>
      <c r="C7" s="296" t="s">
        <v>183</v>
      </c>
      <c r="D7" s="296" t="s">
        <v>183</v>
      </c>
      <c r="E7" s="296" t="s">
        <v>183</v>
      </c>
      <c r="F7" s="296" t="s">
        <v>228</v>
      </c>
      <c r="G7" s="296" t="s">
        <v>229</v>
      </c>
      <c r="H7" s="296" t="s">
        <v>230</v>
      </c>
      <c r="I7" s="296" t="s">
        <v>183</v>
      </c>
      <c r="J7" s="296" t="s">
        <v>231</v>
      </c>
      <c r="K7" s="296" t="s">
        <v>232</v>
      </c>
      <c r="L7" s="296" t="s">
        <v>233</v>
      </c>
      <c r="M7" s="296" t="s">
        <v>179</v>
      </c>
      <c r="N7" s="296" t="s">
        <v>234</v>
      </c>
      <c r="O7" s="296" t="s">
        <v>234</v>
      </c>
      <c r="P7" s="296" t="s">
        <v>235</v>
      </c>
      <c r="Q7" s="296" t="s">
        <v>183</v>
      </c>
      <c r="R7" s="296" t="s">
        <v>236</v>
      </c>
      <c r="S7" s="296" t="s">
        <v>185</v>
      </c>
      <c r="T7" s="296" t="s">
        <v>185</v>
      </c>
      <c r="U7" s="296" t="s">
        <v>186</v>
      </c>
      <c r="V7" s="296" t="s">
        <v>187</v>
      </c>
      <c r="W7" s="296" t="s">
        <v>188</v>
      </c>
      <c r="X7" s="296" t="s">
        <v>189</v>
      </c>
      <c r="Y7" s="296" t="s">
        <v>183</v>
      </c>
      <c r="Z7" s="296" t="s">
        <v>183</v>
      </c>
      <c r="AA7" s="296" t="s">
        <v>183</v>
      </c>
      <c r="AB7" s="296" t="s">
        <v>183</v>
      </c>
      <c r="AC7" s="296" t="s">
        <v>237</v>
      </c>
      <c r="AD7" s="296" t="s">
        <v>238</v>
      </c>
      <c r="AE7" s="296" t="s">
        <v>192</v>
      </c>
      <c r="AF7" s="296" t="s">
        <v>193</v>
      </c>
      <c r="AG7" s="296">
        <v>0</v>
      </c>
      <c r="AH7" s="298">
        <v>45139</v>
      </c>
      <c r="AJ7" s="296" t="s">
        <v>194</v>
      </c>
      <c r="AK7" s="299">
        <f>COUNTIF($A$3:A$917,A7)</f>
        <v>1</v>
      </c>
    </row>
    <row r="8" spans="1:37" x14ac:dyDescent="0.25">
      <c r="A8" s="296">
        <v>502710312</v>
      </c>
      <c r="B8" s="296" t="s">
        <v>239</v>
      </c>
      <c r="C8" s="296" t="s">
        <v>183</v>
      </c>
      <c r="D8" s="296" t="s">
        <v>183</v>
      </c>
      <c r="E8" s="296" t="s">
        <v>183</v>
      </c>
      <c r="F8" s="296" t="s">
        <v>240</v>
      </c>
      <c r="G8" s="296" t="s">
        <v>241</v>
      </c>
      <c r="H8" s="296" t="s">
        <v>242</v>
      </c>
      <c r="I8" s="296" t="s">
        <v>183</v>
      </c>
      <c r="J8" s="296" t="s">
        <v>243</v>
      </c>
      <c r="K8" s="296" t="s">
        <v>244</v>
      </c>
      <c r="L8" s="296" t="s">
        <v>239</v>
      </c>
      <c r="M8" s="296" t="s">
        <v>179</v>
      </c>
      <c r="N8" s="296" t="s">
        <v>240</v>
      </c>
      <c r="O8" s="296" t="s">
        <v>241</v>
      </c>
      <c r="P8" s="296" t="s">
        <v>242</v>
      </c>
      <c r="Q8" s="296" t="s">
        <v>183</v>
      </c>
      <c r="R8" s="296" t="s">
        <v>245</v>
      </c>
      <c r="S8" s="296" t="s">
        <v>185</v>
      </c>
      <c r="T8" s="296" t="s">
        <v>185</v>
      </c>
      <c r="U8" s="296" t="s">
        <v>186</v>
      </c>
      <c r="V8" s="296" t="s">
        <v>187</v>
      </c>
      <c r="W8" s="296" t="s">
        <v>188</v>
      </c>
      <c r="X8" s="296" t="s">
        <v>246</v>
      </c>
      <c r="Y8" s="296" t="s">
        <v>183</v>
      </c>
      <c r="Z8" s="296" t="s">
        <v>183</v>
      </c>
      <c r="AA8" s="296" t="s">
        <v>183</v>
      </c>
      <c r="AB8" s="296" t="s">
        <v>183</v>
      </c>
      <c r="AC8" s="296" t="s">
        <v>247</v>
      </c>
      <c r="AD8" s="296" t="s">
        <v>248</v>
      </c>
      <c r="AE8" s="296" t="s">
        <v>192</v>
      </c>
      <c r="AF8" s="296" t="s">
        <v>193</v>
      </c>
      <c r="AG8" s="296">
        <v>0</v>
      </c>
      <c r="AH8" s="298">
        <v>45119</v>
      </c>
      <c r="AJ8" s="296" t="s">
        <v>194</v>
      </c>
      <c r="AK8" s="299">
        <f>COUNTIF($A$3:A$917,A8)</f>
        <v>2</v>
      </c>
    </row>
    <row r="9" spans="1:37" x14ac:dyDescent="0.25">
      <c r="A9" s="296">
        <v>502780472</v>
      </c>
      <c r="B9" s="296" t="s">
        <v>249</v>
      </c>
      <c r="C9" s="296" t="s">
        <v>183</v>
      </c>
      <c r="D9" s="296" t="s">
        <v>183</v>
      </c>
      <c r="E9" s="296" t="s">
        <v>183</v>
      </c>
      <c r="F9" s="296" t="s">
        <v>250</v>
      </c>
      <c r="G9" s="296" t="s">
        <v>250</v>
      </c>
      <c r="H9" s="296" t="s">
        <v>251</v>
      </c>
      <c r="I9" s="296" t="s">
        <v>252</v>
      </c>
      <c r="J9" s="296" t="s">
        <v>253</v>
      </c>
      <c r="K9" s="296" t="s">
        <v>254</v>
      </c>
      <c r="L9" s="296" t="s">
        <v>249</v>
      </c>
      <c r="M9" s="296" t="s">
        <v>179</v>
      </c>
      <c r="N9" s="296" t="s">
        <v>250</v>
      </c>
      <c r="O9" s="296" t="s">
        <v>250</v>
      </c>
      <c r="P9" s="296" t="s">
        <v>251</v>
      </c>
      <c r="Q9" s="296" t="s">
        <v>183</v>
      </c>
      <c r="R9" s="296" t="s">
        <v>255</v>
      </c>
      <c r="S9" s="296" t="s">
        <v>185</v>
      </c>
      <c r="T9" s="296" t="s">
        <v>185</v>
      </c>
      <c r="U9" s="296" t="s">
        <v>186</v>
      </c>
      <c r="V9" s="296" t="s">
        <v>187</v>
      </c>
      <c r="W9" s="296" t="s">
        <v>188</v>
      </c>
      <c r="X9" s="296" t="s">
        <v>256</v>
      </c>
      <c r="Y9" s="296" t="s">
        <v>183</v>
      </c>
      <c r="Z9" s="296" t="s">
        <v>183</v>
      </c>
      <c r="AA9" s="296" t="s">
        <v>183</v>
      </c>
      <c r="AB9" s="296" t="s">
        <v>183</v>
      </c>
      <c r="AC9" s="296" t="s">
        <v>257</v>
      </c>
      <c r="AD9" s="296" t="s">
        <v>258</v>
      </c>
      <c r="AE9" s="296" t="s">
        <v>192</v>
      </c>
      <c r="AF9" s="296" t="s">
        <v>193</v>
      </c>
      <c r="AG9" s="296">
        <v>0</v>
      </c>
      <c r="AH9" s="298">
        <v>44391</v>
      </c>
      <c r="AJ9" s="296" t="s">
        <v>194</v>
      </c>
      <c r="AK9" s="299">
        <f>COUNTIF($A$3:A$917,A9)</f>
        <v>1</v>
      </c>
    </row>
    <row r="10" spans="1:37" x14ac:dyDescent="0.25">
      <c r="A10" s="296">
        <v>601490937</v>
      </c>
      <c r="B10" s="296" t="s">
        <v>259</v>
      </c>
      <c r="C10" s="296" t="s">
        <v>183</v>
      </c>
      <c r="D10" s="296" t="s">
        <v>183</v>
      </c>
      <c r="E10" s="296" t="s">
        <v>183</v>
      </c>
      <c r="F10" s="296" t="s">
        <v>260</v>
      </c>
      <c r="G10" s="296" t="s">
        <v>261</v>
      </c>
      <c r="H10" s="296" t="s">
        <v>262</v>
      </c>
      <c r="I10" s="296" t="s">
        <v>252</v>
      </c>
      <c r="J10" s="296" t="s">
        <v>263</v>
      </c>
      <c r="K10" s="296" t="s">
        <v>264</v>
      </c>
      <c r="L10" s="296" t="s">
        <v>259</v>
      </c>
      <c r="M10" s="296" t="s">
        <v>179</v>
      </c>
      <c r="N10" s="296" t="s">
        <v>260</v>
      </c>
      <c r="O10" s="296" t="s">
        <v>261</v>
      </c>
      <c r="P10" s="296" t="s">
        <v>262</v>
      </c>
      <c r="Q10" s="296" t="s">
        <v>183</v>
      </c>
      <c r="R10" s="296" t="s">
        <v>265</v>
      </c>
      <c r="S10" s="296" t="s">
        <v>185</v>
      </c>
      <c r="T10" s="296" t="s">
        <v>185</v>
      </c>
      <c r="U10" s="296" t="s">
        <v>186</v>
      </c>
      <c r="V10" s="296" t="s">
        <v>187</v>
      </c>
      <c r="W10" s="296" t="s">
        <v>188</v>
      </c>
      <c r="X10" s="296" t="s">
        <v>224</v>
      </c>
      <c r="Y10" s="296" t="s">
        <v>183</v>
      </c>
      <c r="Z10" s="296" t="s">
        <v>183</v>
      </c>
      <c r="AA10" s="296" t="s">
        <v>183</v>
      </c>
      <c r="AB10" s="296" t="s">
        <v>183</v>
      </c>
      <c r="AC10" s="296" t="s">
        <v>266</v>
      </c>
      <c r="AD10" s="296" t="s">
        <v>267</v>
      </c>
      <c r="AE10" s="296" t="s">
        <v>192</v>
      </c>
      <c r="AF10" s="296" t="s">
        <v>193</v>
      </c>
      <c r="AG10" s="296">
        <v>0</v>
      </c>
      <c r="AH10" s="298">
        <v>40562</v>
      </c>
      <c r="AJ10" s="296" t="s">
        <v>194</v>
      </c>
      <c r="AK10" s="299">
        <f>COUNTIF($A$3:A$917,A10)</f>
        <v>1</v>
      </c>
    </row>
    <row r="11" spans="1:37" x14ac:dyDescent="0.25">
      <c r="A11" s="296">
        <v>602340703</v>
      </c>
      <c r="B11" s="296" t="s">
        <v>268</v>
      </c>
      <c r="C11" s="296" t="s">
        <v>183</v>
      </c>
      <c r="D11" s="296" t="s">
        <v>183</v>
      </c>
      <c r="E11" s="296" t="s">
        <v>183</v>
      </c>
      <c r="F11" s="296" t="s">
        <v>269</v>
      </c>
      <c r="G11" s="296" t="s">
        <v>269</v>
      </c>
      <c r="H11" s="296" t="s">
        <v>270</v>
      </c>
      <c r="I11" s="296" t="s">
        <v>252</v>
      </c>
      <c r="J11" s="296" t="s">
        <v>271</v>
      </c>
      <c r="K11" s="296" t="s">
        <v>272</v>
      </c>
      <c r="L11" s="296" t="s">
        <v>268</v>
      </c>
      <c r="M11" s="296" t="s">
        <v>179</v>
      </c>
      <c r="N11" s="296" t="s">
        <v>269</v>
      </c>
      <c r="O11" s="296" t="s">
        <v>269</v>
      </c>
      <c r="P11" s="296" t="s">
        <v>270</v>
      </c>
      <c r="Q11" s="296" t="s">
        <v>183</v>
      </c>
      <c r="R11" s="296" t="s">
        <v>273</v>
      </c>
      <c r="S11" s="296" t="s">
        <v>185</v>
      </c>
      <c r="T11" s="296" t="s">
        <v>185</v>
      </c>
      <c r="U11" s="296" t="s">
        <v>186</v>
      </c>
      <c r="V11" s="296" t="s">
        <v>187</v>
      </c>
      <c r="W11" s="296" t="s">
        <v>188</v>
      </c>
      <c r="X11" s="296" t="s">
        <v>224</v>
      </c>
      <c r="Y11" s="296" t="s">
        <v>183</v>
      </c>
      <c r="Z11" s="296" t="s">
        <v>183</v>
      </c>
      <c r="AA11" s="296" t="s">
        <v>183</v>
      </c>
      <c r="AB11" s="296" t="s">
        <v>183</v>
      </c>
      <c r="AC11" s="296" t="s">
        <v>274</v>
      </c>
      <c r="AD11" s="296" t="s">
        <v>275</v>
      </c>
      <c r="AE11" s="296" t="s">
        <v>192</v>
      </c>
      <c r="AF11" s="296" t="s">
        <v>193</v>
      </c>
      <c r="AG11" s="296">
        <v>0</v>
      </c>
      <c r="AH11" s="298">
        <v>39615</v>
      </c>
      <c r="AJ11" s="296" t="s">
        <v>194</v>
      </c>
      <c r="AK11" s="299">
        <f>COUNTIF($A$3:A$917,A11)</f>
        <v>1</v>
      </c>
    </row>
    <row r="12" spans="1:37" x14ac:dyDescent="0.25">
      <c r="A12" s="296">
        <v>111110681</v>
      </c>
      <c r="B12" s="296" t="s">
        <v>276</v>
      </c>
      <c r="C12" s="296" t="s">
        <v>183</v>
      </c>
      <c r="D12" s="296" t="s">
        <v>183</v>
      </c>
      <c r="E12" s="296" t="s">
        <v>183</v>
      </c>
      <c r="F12" s="296" t="s">
        <v>277</v>
      </c>
      <c r="G12" s="296" t="s">
        <v>278</v>
      </c>
      <c r="H12" s="296" t="s">
        <v>279</v>
      </c>
      <c r="I12" s="296" t="s">
        <v>252</v>
      </c>
      <c r="J12" s="296" t="s">
        <v>280</v>
      </c>
      <c r="K12" s="296" t="s">
        <v>281</v>
      </c>
      <c r="L12" s="296" t="s">
        <v>282</v>
      </c>
      <c r="M12" s="296" t="s">
        <v>179</v>
      </c>
      <c r="N12" s="296" t="s">
        <v>283</v>
      </c>
      <c r="O12" s="296" t="s">
        <v>183</v>
      </c>
      <c r="P12" s="296" t="s">
        <v>284</v>
      </c>
      <c r="Q12" s="296" t="s">
        <v>183</v>
      </c>
      <c r="R12" s="296" t="s">
        <v>285</v>
      </c>
      <c r="S12" s="296" t="s">
        <v>185</v>
      </c>
      <c r="T12" s="296" t="s">
        <v>185</v>
      </c>
      <c r="U12" s="296" t="s">
        <v>186</v>
      </c>
      <c r="V12" s="296" t="s">
        <v>187</v>
      </c>
      <c r="W12" s="296" t="s">
        <v>188</v>
      </c>
      <c r="X12" s="296" t="s">
        <v>189</v>
      </c>
      <c r="Y12" s="296" t="s">
        <v>183</v>
      </c>
      <c r="Z12" s="296" t="s">
        <v>183</v>
      </c>
      <c r="AA12" s="296" t="s">
        <v>183</v>
      </c>
      <c r="AB12" s="296" t="s">
        <v>183</v>
      </c>
      <c r="AC12" s="296" t="s">
        <v>286</v>
      </c>
      <c r="AD12" s="296" t="s">
        <v>287</v>
      </c>
      <c r="AE12" s="296" t="s">
        <v>192</v>
      </c>
      <c r="AF12" s="296" t="s">
        <v>193</v>
      </c>
      <c r="AG12" s="296">
        <v>0</v>
      </c>
      <c r="AH12" s="298">
        <v>43621</v>
      </c>
      <c r="AJ12" s="296" t="s">
        <v>194</v>
      </c>
      <c r="AK12" s="299">
        <f>COUNTIF($A$3:A$917,A12)</f>
        <v>1</v>
      </c>
    </row>
    <row r="13" spans="1:37" x14ac:dyDescent="0.25">
      <c r="A13" s="296">
        <v>501710654</v>
      </c>
      <c r="B13" s="296" t="s">
        <v>288</v>
      </c>
      <c r="C13" s="296" t="s">
        <v>183</v>
      </c>
      <c r="D13" s="296" t="s">
        <v>183</v>
      </c>
      <c r="E13" s="296" t="s">
        <v>183</v>
      </c>
      <c r="F13" s="296" t="s">
        <v>289</v>
      </c>
      <c r="G13" s="296" t="s">
        <v>183</v>
      </c>
      <c r="H13" s="296" t="s">
        <v>290</v>
      </c>
      <c r="I13" s="296" t="s">
        <v>252</v>
      </c>
      <c r="J13" s="296" t="s">
        <v>291</v>
      </c>
      <c r="K13" s="296" t="s">
        <v>292</v>
      </c>
      <c r="L13" s="296" t="s">
        <v>293</v>
      </c>
      <c r="M13" s="296" t="s">
        <v>179</v>
      </c>
      <c r="N13" s="296" t="s">
        <v>294</v>
      </c>
      <c r="O13" s="296" t="s">
        <v>295</v>
      </c>
      <c r="P13" s="296" t="s">
        <v>290</v>
      </c>
      <c r="Q13" s="296" t="s">
        <v>183</v>
      </c>
      <c r="R13" s="296" t="s">
        <v>296</v>
      </c>
      <c r="S13" s="296" t="s">
        <v>185</v>
      </c>
      <c r="T13" s="296" t="s">
        <v>185</v>
      </c>
      <c r="U13" s="296" t="s">
        <v>186</v>
      </c>
      <c r="V13" s="296" t="s">
        <v>187</v>
      </c>
      <c r="W13" s="296" t="s">
        <v>188</v>
      </c>
      <c r="X13" s="296" t="s">
        <v>189</v>
      </c>
      <c r="Y13" s="296" t="s">
        <v>183</v>
      </c>
      <c r="Z13" s="296" t="s">
        <v>183</v>
      </c>
      <c r="AA13" s="296" t="s">
        <v>183</v>
      </c>
      <c r="AB13" s="296" t="s">
        <v>183</v>
      </c>
      <c r="AC13" s="296" t="s">
        <v>297</v>
      </c>
      <c r="AD13" s="296" t="s">
        <v>298</v>
      </c>
      <c r="AE13" s="296" t="s">
        <v>192</v>
      </c>
      <c r="AF13" s="296" t="s">
        <v>193</v>
      </c>
      <c r="AG13" s="296">
        <v>0</v>
      </c>
      <c r="AH13" s="298">
        <v>45462</v>
      </c>
      <c r="AJ13" s="296" t="s">
        <v>194</v>
      </c>
      <c r="AK13" s="299">
        <f>COUNTIF($A$3:A$917,A13)</f>
        <v>1</v>
      </c>
    </row>
    <row r="14" spans="1:37" x14ac:dyDescent="0.25">
      <c r="A14" s="296">
        <v>501460976</v>
      </c>
      <c r="B14" s="296" t="s">
        <v>299</v>
      </c>
      <c r="C14" s="296" t="s">
        <v>183</v>
      </c>
      <c r="D14" s="296" t="s">
        <v>183</v>
      </c>
      <c r="E14" s="296" t="s">
        <v>183</v>
      </c>
      <c r="F14" s="296" t="s">
        <v>300</v>
      </c>
      <c r="G14" s="296" t="s">
        <v>183</v>
      </c>
      <c r="H14" s="296" t="s">
        <v>301</v>
      </c>
      <c r="I14" s="296" t="s">
        <v>252</v>
      </c>
      <c r="J14" s="296" t="s">
        <v>302</v>
      </c>
      <c r="K14" s="296" t="s">
        <v>303</v>
      </c>
      <c r="L14" s="296" t="s">
        <v>304</v>
      </c>
      <c r="M14" s="296" t="s">
        <v>179</v>
      </c>
      <c r="N14" s="296" t="s">
        <v>305</v>
      </c>
      <c r="O14" s="296" t="s">
        <v>305</v>
      </c>
      <c r="P14" s="296" t="s">
        <v>306</v>
      </c>
      <c r="Q14" s="296" t="s">
        <v>183</v>
      </c>
      <c r="R14" s="296" t="s">
        <v>307</v>
      </c>
      <c r="S14" s="296" t="s">
        <v>185</v>
      </c>
      <c r="T14" s="296" t="s">
        <v>185</v>
      </c>
      <c r="U14" s="296" t="s">
        <v>186</v>
      </c>
      <c r="V14" s="296" t="s">
        <v>187</v>
      </c>
      <c r="W14" s="296" t="s">
        <v>188</v>
      </c>
      <c r="X14" s="296" t="s">
        <v>308</v>
      </c>
      <c r="Y14" s="296" t="s">
        <v>183</v>
      </c>
      <c r="Z14" s="296" t="s">
        <v>183</v>
      </c>
      <c r="AA14" s="296" t="s">
        <v>183</v>
      </c>
      <c r="AB14" s="296" t="s">
        <v>183</v>
      </c>
      <c r="AC14" s="296" t="s">
        <v>309</v>
      </c>
      <c r="AD14" s="296" t="s">
        <v>310</v>
      </c>
      <c r="AE14" s="296" t="s">
        <v>192</v>
      </c>
      <c r="AF14" s="296" t="s">
        <v>193</v>
      </c>
      <c r="AG14" s="296">
        <v>12611</v>
      </c>
      <c r="AH14" s="298">
        <v>36662</v>
      </c>
      <c r="AJ14" s="296" t="s">
        <v>194</v>
      </c>
      <c r="AK14" s="299">
        <f>COUNTIF($A$3:A$917,A14)</f>
        <v>1</v>
      </c>
    </row>
    <row r="15" spans="1:37" x14ac:dyDescent="0.25">
      <c r="A15" s="296">
        <v>502530162</v>
      </c>
      <c r="B15" s="296" t="s">
        <v>311</v>
      </c>
      <c r="C15" s="296" t="s">
        <v>183</v>
      </c>
      <c r="D15" s="296" t="s">
        <v>183</v>
      </c>
      <c r="E15" s="296" t="s">
        <v>183</v>
      </c>
      <c r="F15" s="296" t="s">
        <v>312</v>
      </c>
      <c r="G15" s="296" t="s">
        <v>312</v>
      </c>
      <c r="H15" s="296" t="s">
        <v>313</v>
      </c>
      <c r="I15" s="296" t="s">
        <v>252</v>
      </c>
      <c r="J15" s="296" t="s">
        <v>314</v>
      </c>
      <c r="K15" s="296" t="s">
        <v>177</v>
      </c>
      <c r="L15" s="296" t="s">
        <v>178</v>
      </c>
      <c r="M15" s="296" t="s">
        <v>179</v>
      </c>
      <c r="N15" s="296" t="s">
        <v>180</v>
      </c>
      <c r="O15" s="296" t="s">
        <v>181</v>
      </c>
      <c r="P15" s="296" t="s">
        <v>182</v>
      </c>
      <c r="Q15" s="296" t="s">
        <v>183</v>
      </c>
      <c r="R15" s="296" t="s">
        <v>315</v>
      </c>
      <c r="S15" s="296" t="s">
        <v>185</v>
      </c>
      <c r="T15" s="296" t="s">
        <v>185</v>
      </c>
      <c r="U15" s="296" t="s">
        <v>186</v>
      </c>
      <c r="V15" s="296" t="s">
        <v>187</v>
      </c>
      <c r="W15" s="296" t="s">
        <v>188</v>
      </c>
      <c r="X15" s="296" t="s">
        <v>189</v>
      </c>
      <c r="Y15" s="296" t="s">
        <v>183</v>
      </c>
      <c r="Z15" s="296" t="s">
        <v>183</v>
      </c>
      <c r="AA15" s="296" t="s">
        <v>183</v>
      </c>
      <c r="AB15" s="296" t="s">
        <v>183</v>
      </c>
      <c r="AC15" s="296" t="s">
        <v>316</v>
      </c>
      <c r="AD15" s="296" t="s">
        <v>317</v>
      </c>
      <c r="AE15" s="296" t="s">
        <v>192</v>
      </c>
      <c r="AF15" s="296" t="s">
        <v>193</v>
      </c>
      <c r="AG15" s="296">
        <v>128609</v>
      </c>
      <c r="AH15" s="298">
        <v>36720</v>
      </c>
      <c r="AJ15" s="296" t="s">
        <v>194</v>
      </c>
      <c r="AK15" s="299">
        <f>COUNTIF($A$3:A$917,A15)</f>
        <v>1</v>
      </c>
    </row>
    <row r="16" spans="1:37" x14ac:dyDescent="0.25">
      <c r="A16" s="296">
        <v>204820469</v>
      </c>
      <c r="B16" s="296" t="s">
        <v>318</v>
      </c>
      <c r="C16" s="296" t="s">
        <v>183</v>
      </c>
      <c r="D16" s="296" t="s">
        <v>183</v>
      </c>
      <c r="E16" s="296" t="s">
        <v>183</v>
      </c>
      <c r="F16" s="296" t="s">
        <v>319</v>
      </c>
      <c r="G16" s="296" t="s">
        <v>320</v>
      </c>
      <c r="H16" s="296" t="s">
        <v>321</v>
      </c>
      <c r="I16" s="296" t="s">
        <v>252</v>
      </c>
      <c r="J16" s="296" t="s">
        <v>322</v>
      </c>
      <c r="K16" s="296" t="s">
        <v>323</v>
      </c>
      <c r="L16" s="296" t="s">
        <v>324</v>
      </c>
      <c r="M16" s="296" t="s">
        <v>179</v>
      </c>
      <c r="N16" s="296" t="s">
        <v>325</v>
      </c>
      <c r="O16" s="296" t="s">
        <v>183</v>
      </c>
      <c r="P16" s="296" t="s">
        <v>326</v>
      </c>
      <c r="Q16" s="296" t="s">
        <v>183</v>
      </c>
      <c r="R16" s="296" t="s">
        <v>327</v>
      </c>
      <c r="S16" s="296" t="s">
        <v>185</v>
      </c>
      <c r="T16" s="296" t="s">
        <v>185</v>
      </c>
      <c r="U16" s="296" t="s">
        <v>186</v>
      </c>
      <c r="V16" s="296" t="s">
        <v>187</v>
      </c>
      <c r="W16" s="296" t="s">
        <v>188</v>
      </c>
      <c r="X16" s="296" t="s">
        <v>246</v>
      </c>
      <c r="Y16" s="296" t="s">
        <v>183</v>
      </c>
      <c r="Z16" s="296" t="s">
        <v>183</v>
      </c>
      <c r="AA16" s="296" t="s">
        <v>183</v>
      </c>
      <c r="AB16" s="296" t="s">
        <v>183</v>
      </c>
      <c r="AC16" s="296" t="s">
        <v>328</v>
      </c>
      <c r="AD16" s="296" t="s">
        <v>329</v>
      </c>
      <c r="AE16" s="296" t="s">
        <v>192</v>
      </c>
      <c r="AF16" s="296" t="s">
        <v>193</v>
      </c>
      <c r="AG16" s="296">
        <v>0</v>
      </c>
      <c r="AH16" s="298">
        <v>41716</v>
      </c>
      <c r="AJ16" s="296" t="s">
        <v>194</v>
      </c>
      <c r="AK16" s="299">
        <f>COUNTIF($A$3:A$917,A16)</f>
        <v>1</v>
      </c>
    </row>
    <row r="17" spans="1:37" x14ac:dyDescent="0.25">
      <c r="A17" s="296">
        <v>3101590004</v>
      </c>
      <c r="B17" s="296" t="s">
        <v>330</v>
      </c>
      <c r="C17" s="296" t="s">
        <v>183</v>
      </c>
      <c r="D17" s="296" t="s">
        <v>183</v>
      </c>
      <c r="E17" s="296" t="s">
        <v>183</v>
      </c>
      <c r="F17" s="296" t="s">
        <v>331</v>
      </c>
      <c r="G17" s="296" t="s">
        <v>278</v>
      </c>
      <c r="H17" s="296" t="s">
        <v>332</v>
      </c>
      <c r="I17" s="296" t="s">
        <v>252</v>
      </c>
      <c r="J17" s="296" t="s">
        <v>333</v>
      </c>
      <c r="K17" s="296" t="s">
        <v>334</v>
      </c>
      <c r="L17" s="296" t="s">
        <v>335</v>
      </c>
      <c r="M17" s="296" t="s">
        <v>179</v>
      </c>
      <c r="N17" s="296" t="s">
        <v>336</v>
      </c>
      <c r="O17" s="296" t="s">
        <v>278</v>
      </c>
      <c r="P17" s="296" t="s">
        <v>183</v>
      </c>
      <c r="Q17" s="296" t="s">
        <v>183</v>
      </c>
      <c r="R17" s="296" t="s">
        <v>337</v>
      </c>
      <c r="S17" s="296" t="s">
        <v>185</v>
      </c>
      <c r="T17" s="296" t="s">
        <v>185</v>
      </c>
      <c r="U17" s="296" t="s">
        <v>186</v>
      </c>
      <c r="V17" s="296" t="s">
        <v>187</v>
      </c>
      <c r="W17" s="296" t="s">
        <v>188</v>
      </c>
      <c r="X17" s="296" t="s">
        <v>189</v>
      </c>
      <c r="Y17" s="296" t="s">
        <v>183</v>
      </c>
      <c r="Z17" s="296" t="s">
        <v>183</v>
      </c>
      <c r="AA17" s="296" t="s">
        <v>183</v>
      </c>
      <c r="AB17" s="296" t="s">
        <v>183</v>
      </c>
      <c r="AC17" s="296" t="s">
        <v>338</v>
      </c>
      <c r="AD17" s="296" t="s">
        <v>339</v>
      </c>
      <c r="AE17" s="296" t="s">
        <v>192</v>
      </c>
      <c r="AF17" s="296" t="s">
        <v>193</v>
      </c>
      <c r="AG17" s="296">
        <v>0</v>
      </c>
      <c r="AH17" s="298">
        <v>44307</v>
      </c>
      <c r="AJ17" s="296" t="s">
        <v>194</v>
      </c>
      <c r="AK17" s="299">
        <f>COUNTIF($A$3:A$917,A17)</f>
        <v>3</v>
      </c>
    </row>
    <row r="18" spans="1:37" x14ac:dyDescent="0.25">
      <c r="A18" s="296">
        <v>204400422</v>
      </c>
      <c r="B18" s="296" t="s">
        <v>340</v>
      </c>
      <c r="C18" s="296" t="s">
        <v>183</v>
      </c>
      <c r="D18" s="296" t="s">
        <v>183</v>
      </c>
      <c r="E18" s="296" t="s">
        <v>183</v>
      </c>
      <c r="F18" s="296" t="s">
        <v>341</v>
      </c>
      <c r="G18" s="296" t="s">
        <v>342</v>
      </c>
      <c r="H18" s="296" t="s">
        <v>343</v>
      </c>
      <c r="I18" s="296" t="s">
        <v>252</v>
      </c>
      <c r="J18" s="296" t="s">
        <v>344</v>
      </c>
      <c r="K18" s="296" t="s">
        <v>345</v>
      </c>
      <c r="L18" s="296" t="s">
        <v>346</v>
      </c>
      <c r="M18" s="296" t="s">
        <v>179</v>
      </c>
      <c r="N18" s="296" t="s">
        <v>347</v>
      </c>
      <c r="O18" s="296" t="s">
        <v>278</v>
      </c>
      <c r="P18" s="296" t="s">
        <v>183</v>
      </c>
      <c r="Q18" s="296" t="s">
        <v>183</v>
      </c>
      <c r="R18" s="296" t="s">
        <v>348</v>
      </c>
      <c r="S18" s="296" t="s">
        <v>185</v>
      </c>
      <c r="T18" s="296" t="s">
        <v>185</v>
      </c>
      <c r="U18" s="296" t="s">
        <v>186</v>
      </c>
      <c r="V18" s="296" t="s">
        <v>187</v>
      </c>
      <c r="W18" s="296" t="s">
        <v>188</v>
      </c>
      <c r="X18" s="296" t="s">
        <v>189</v>
      </c>
      <c r="Y18" s="296" t="s">
        <v>183</v>
      </c>
      <c r="Z18" s="296" t="s">
        <v>183</v>
      </c>
      <c r="AA18" s="296" t="s">
        <v>183</v>
      </c>
      <c r="AB18" s="296" t="s">
        <v>183</v>
      </c>
      <c r="AC18" s="296" t="s">
        <v>349</v>
      </c>
      <c r="AD18" s="296" t="s">
        <v>350</v>
      </c>
      <c r="AE18" s="296" t="s">
        <v>192</v>
      </c>
      <c r="AF18" s="296" t="s">
        <v>193</v>
      </c>
      <c r="AG18" s="296">
        <v>0</v>
      </c>
      <c r="AH18" s="298">
        <v>44300</v>
      </c>
      <c r="AJ18" s="296" t="s">
        <v>194</v>
      </c>
      <c r="AK18" s="299">
        <f>COUNTIF($A$3:A$917,A18)</f>
        <v>1</v>
      </c>
    </row>
    <row r="19" spans="1:37" x14ac:dyDescent="0.25">
      <c r="A19" s="296">
        <v>503130961</v>
      </c>
      <c r="B19" s="296" t="s">
        <v>351</v>
      </c>
      <c r="C19" s="296" t="s">
        <v>183</v>
      </c>
      <c r="D19" s="296" t="s">
        <v>183</v>
      </c>
      <c r="E19" s="296" t="s">
        <v>183</v>
      </c>
      <c r="F19" s="296" t="s">
        <v>352</v>
      </c>
      <c r="G19" s="296" t="s">
        <v>352</v>
      </c>
      <c r="H19" s="296" t="s">
        <v>353</v>
      </c>
      <c r="I19" s="296" t="s">
        <v>252</v>
      </c>
      <c r="J19" s="296" t="s">
        <v>354</v>
      </c>
      <c r="K19" s="296" t="s">
        <v>355</v>
      </c>
      <c r="L19" s="296" t="s">
        <v>356</v>
      </c>
      <c r="M19" s="296" t="s">
        <v>179</v>
      </c>
      <c r="N19" s="296" t="s">
        <v>278</v>
      </c>
      <c r="O19" s="296" t="s">
        <v>278</v>
      </c>
      <c r="P19" s="296" t="s">
        <v>183</v>
      </c>
      <c r="Q19" s="296" t="s">
        <v>183</v>
      </c>
      <c r="R19" s="296" t="s">
        <v>357</v>
      </c>
      <c r="S19" s="296" t="s">
        <v>185</v>
      </c>
      <c r="T19" s="296" t="s">
        <v>185</v>
      </c>
      <c r="U19" s="296" t="s">
        <v>186</v>
      </c>
      <c r="V19" s="296" t="s">
        <v>187</v>
      </c>
      <c r="W19" s="296" t="s">
        <v>188</v>
      </c>
      <c r="X19" s="296" t="s">
        <v>189</v>
      </c>
      <c r="Y19" s="296" t="s">
        <v>183</v>
      </c>
      <c r="Z19" s="296" t="s">
        <v>183</v>
      </c>
      <c r="AA19" s="296" t="s">
        <v>183</v>
      </c>
      <c r="AB19" s="296" t="s">
        <v>183</v>
      </c>
      <c r="AC19" s="296" t="s">
        <v>358</v>
      </c>
      <c r="AD19" s="296" t="s">
        <v>359</v>
      </c>
      <c r="AE19" s="296" t="s">
        <v>192</v>
      </c>
      <c r="AF19" s="296" t="s">
        <v>193</v>
      </c>
      <c r="AG19" s="296">
        <v>0</v>
      </c>
      <c r="AH19" s="298">
        <v>45442</v>
      </c>
      <c r="AJ19" s="296" t="s">
        <v>194</v>
      </c>
      <c r="AK19" s="299">
        <f>COUNTIF($A$3:A$917,A19)</f>
        <v>2</v>
      </c>
    </row>
    <row r="20" spans="1:37" x14ac:dyDescent="0.25">
      <c r="A20" s="296">
        <v>503840564</v>
      </c>
      <c r="B20" s="296" t="s">
        <v>360</v>
      </c>
      <c r="C20" s="296" t="s">
        <v>183</v>
      </c>
      <c r="D20" s="296" t="s">
        <v>183</v>
      </c>
      <c r="E20" s="296" t="s">
        <v>183</v>
      </c>
      <c r="F20" s="296" t="s">
        <v>361</v>
      </c>
      <c r="G20" s="296" t="s">
        <v>361</v>
      </c>
      <c r="H20" s="296" t="s">
        <v>362</v>
      </c>
      <c r="I20" s="296" t="s">
        <v>252</v>
      </c>
      <c r="J20" s="296" t="s">
        <v>363</v>
      </c>
      <c r="K20" s="296" t="s">
        <v>364</v>
      </c>
      <c r="L20" s="296" t="s">
        <v>365</v>
      </c>
      <c r="M20" s="296" t="s">
        <v>179</v>
      </c>
      <c r="N20" s="296" t="s">
        <v>366</v>
      </c>
      <c r="O20" s="296" t="s">
        <v>183</v>
      </c>
      <c r="P20" s="296" t="s">
        <v>367</v>
      </c>
      <c r="Q20" s="296" t="s">
        <v>183</v>
      </c>
      <c r="R20" s="296" t="s">
        <v>368</v>
      </c>
      <c r="S20" s="296" t="s">
        <v>185</v>
      </c>
      <c r="T20" s="296" t="s">
        <v>185</v>
      </c>
      <c r="U20" s="296" t="s">
        <v>186</v>
      </c>
      <c r="V20" s="296" t="s">
        <v>187</v>
      </c>
      <c r="W20" s="296" t="s">
        <v>188</v>
      </c>
      <c r="X20" s="296" t="s">
        <v>189</v>
      </c>
      <c r="Y20" s="296" t="s">
        <v>183</v>
      </c>
      <c r="Z20" s="296" t="s">
        <v>183</v>
      </c>
      <c r="AA20" s="296" t="s">
        <v>183</v>
      </c>
      <c r="AB20" s="296" t="s">
        <v>183</v>
      </c>
      <c r="AC20" s="296" t="s">
        <v>369</v>
      </c>
      <c r="AD20" s="296" t="s">
        <v>370</v>
      </c>
      <c r="AE20" s="296" t="s">
        <v>192</v>
      </c>
      <c r="AF20" s="296" t="s">
        <v>193</v>
      </c>
      <c r="AG20" s="296">
        <v>0</v>
      </c>
      <c r="AH20" s="298">
        <v>45848</v>
      </c>
      <c r="AJ20" s="296" t="s">
        <v>194</v>
      </c>
      <c r="AK20" s="299">
        <f>COUNTIF($A$3:A$917,A20)</f>
        <v>1</v>
      </c>
    </row>
    <row r="21" spans="1:37" x14ac:dyDescent="0.25">
      <c r="A21" s="296">
        <v>504080854</v>
      </c>
      <c r="B21" s="296" t="s">
        <v>371</v>
      </c>
      <c r="C21" s="296" t="s">
        <v>183</v>
      </c>
      <c r="D21" s="296" t="s">
        <v>183</v>
      </c>
      <c r="E21" s="296" t="s">
        <v>183</v>
      </c>
      <c r="F21" s="296" t="s">
        <v>372</v>
      </c>
      <c r="G21" s="296" t="s">
        <v>372</v>
      </c>
      <c r="H21" s="296" t="s">
        <v>373</v>
      </c>
      <c r="I21" s="296" t="s">
        <v>252</v>
      </c>
      <c r="J21" s="296" t="s">
        <v>374</v>
      </c>
      <c r="K21" s="296" t="s">
        <v>375</v>
      </c>
      <c r="L21" s="296" t="s">
        <v>376</v>
      </c>
      <c r="M21" s="296" t="s">
        <v>179</v>
      </c>
      <c r="N21" s="296" t="s">
        <v>377</v>
      </c>
      <c r="O21" s="296" t="s">
        <v>377</v>
      </c>
      <c r="P21" s="296" t="s">
        <v>378</v>
      </c>
      <c r="Q21" s="296" t="s">
        <v>183</v>
      </c>
      <c r="R21" s="296" t="s">
        <v>379</v>
      </c>
      <c r="S21" s="296" t="s">
        <v>185</v>
      </c>
      <c r="T21" s="296" t="s">
        <v>185</v>
      </c>
      <c r="U21" s="296" t="s">
        <v>186</v>
      </c>
      <c r="V21" s="296" t="s">
        <v>187</v>
      </c>
      <c r="W21" s="296" t="s">
        <v>188</v>
      </c>
      <c r="X21" s="296" t="s">
        <v>189</v>
      </c>
      <c r="Y21" s="296" t="s">
        <v>183</v>
      </c>
      <c r="Z21" s="296" t="s">
        <v>183</v>
      </c>
      <c r="AA21" s="296" t="s">
        <v>183</v>
      </c>
      <c r="AB21" s="296" t="s">
        <v>183</v>
      </c>
      <c r="AC21" s="296" t="s">
        <v>380</v>
      </c>
      <c r="AD21" s="296" t="s">
        <v>381</v>
      </c>
      <c r="AE21" s="296" t="s">
        <v>192</v>
      </c>
      <c r="AF21" s="296" t="s">
        <v>193</v>
      </c>
      <c r="AG21" s="296">
        <v>0</v>
      </c>
      <c r="AH21" s="298">
        <v>45702</v>
      </c>
      <c r="AJ21" s="296" t="s">
        <v>194</v>
      </c>
      <c r="AK21" s="299">
        <f>COUNTIF($A$3:A$917,A21)</f>
        <v>1</v>
      </c>
    </row>
    <row r="22" spans="1:37" x14ac:dyDescent="0.25">
      <c r="A22" s="296">
        <v>400930671</v>
      </c>
      <c r="B22" s="296" t="s">
        <v>382</v>
      </c>
      <c r="C22" s="296" t="s">
        <v>183</v>
      </c>
      <c r="D22" s="296" t="s">
        <v>183</v>
      </c>
      <c r="E22" s="296" t="s">
        <v>183</v>
      </c>
      <c r="F22" s="296" t="s">
        <v>383</v>
      </c>
      <c r="G22" s="296" t="s">
        <v>383</v>
      </c>
      <c r="H22" s="296" t="s">
        <v>384</v>
      </c>
      <c r="I22" s="296" t="s">
        <v>252</v>
      </c>
      <c r="J22" s="296" t="s">
        <v>385</v>
      </c>
      <c r="K22" s="296" t="s">
        <v>386</v>
      </c>
      <c r="L22" s="296" t="s">
        <v>382</v>
      </c>
      <c r="M22" s="296" t="s">
        <v>179</v>
      </c>
      <c r="N22" s="296" t="s">
        <v>383</v>
      </c>
      <c r="O22" s="296" t="s">
        <v>383</v>
      </c>
      <c r="P22" s="296" t="s">
        <v>384</v>
      </c>
      <c r="Q22" s="296" t="s">
        <v>183</v>
      </c>
      <c r="R22" s="296" t="s">
        <v>387</v>
      </c>
      <c r="S22" s="296" t="s">
        <v>185</v>
      </c>
      <c r="T22" s="296" t="s">
        <v>185</v>
      </c>
      <c r="U22" s="296" t="s">
        <v>186</v>
      </c>
      <c r="V22" s="296" t="s">
        <v>187</v>
      </c>
      <c r="W22" s="296" t="s">
        <v>188</v>
      </c>
      <c r="X22" s="296" t="s">
        <v>256</v>
      </c>
      <c r="Y22" s="296" t="s">
        <v>183</v>
      </c>
      <c r="Z22" s="296" t="s">
        <v>183</v>
      </c>
      <c r="AA22" s="296" t="s">
        <v>183</v>
      </c>
      <c r="AB22" s="296" t="s">
        <v>183</v>
      </c>
      <c r="AC22" s="296" t="s">
        <v>388</v>
      </c>
      <c r="AD22" s="296" t="s">
        <v>389</v>
      </c>
      <c r="AE22" s="296" t="s">
        <v>192</v>
      </c>
      <c r="AF22" s="296" t="s">
        <v>193</v>
      </c>
      <c r="AG22" s="296">
        <v>0</v>
      </c>
      <c r="AH22" s="298">
        <v>36538</v>
      </c>
      <c r="AJ22" s="296" t="s">
        <v>194</v>
      </c>
      <c r="AK22" s="299">
        <f>COUNTIF($A$3:A$917,A22)</f>
        <v>1</v>
      </c>
    </row>
    <row r="23" spans="1:37" x14ac:dyDescent="0.25">
      <c r="A23" s="296">
        <v>102830105</v>
      </c>
      <c r="B23" s="296" t="s">
        <v>390</v>
      </c>
      <c r="C23" s="296" t="s">
        <v>183</v>
      </c>
      <c r="D23" s="296" t="s">
        <v>183</v>
      </c>
      <c r="E23" s="296" t="s">
        <v>183</v>
      </c>
      <c r="F23" s="296" t="s">
        <v>391</v>
      </c>
      <c r="G23" s="296" t="s">
        <v>391</v>
      </c>
      <c r="H23" s="296" t="s">
        <v>392</v>
      </c>
      <c r="I23" s="296" t="s">
        <v>252</v>
      </c>
      <c r="J23" s="296" t="s">
        <v>393</v>
      </c>
      <c r="K23" s="296" t="s">
        <v>394</v>
      </c>
      <c r="L23" s="296" t="s">
        <v>390</v>
      </c>
      <c r="M23" s="296" t="s">
        <v>179</v>
      </c>
      <c r="N23" s="296" t="s">
        <v>391</v>
      </c>
      <c r="O23" s="296" t="s">
        <v>391</v>
      </c>
      <c r="P23" s="296" t="s">
        <v>392</v>
      </c>
      <c r="Q23" s="296" t="s">
        <v>183</v>
      </c>
      <c r="R23" s="296" t="s">
        <v>395</v>
      </c>
      <c r="S23" s="296" t="s">
        <v>185</v>
      </c>
      <c r="T23" s="296" t="s">
        <v>185</v>
      </c>
      <c r="U23" s="296" t="s">
        <v>186</v>
      </c>
      <c r="V23" s="296" t="s">
        <v>187</v>
      </c>
      <c r="W23" s="296" t="s">
        <v>188</v>
      </c>
      <c r="X23" s="296" t="s">
        <v>189</v>
      </c>
      <c r="Y23" s="296" t="s">
        <v>183</v>
      </c>
      <c r="Z23" s="296" t="s">
        <v>183</v>
      </c>
      <c r="AA23" s="296" t="s">
        <v>183</v>
      </c>
      <c r="AB23" s="296" t="s">
        <v>183</v>
      </c>
      <c r="AC23" s="296" t="s">
        <v>396</v>
      </c>
      <c r="AD23" s="296" t="s">
        <v>397</v>
      </c>
      <c r="AE23" s="296" t="s">
        <v>192</v>
      </c>
      <c r="AF23" s="296" t="s">
        <v>193</v>
      </c>
      <c r="AG23" s="296">
        <v>0</v>
      </c>
      <c r="AH23" s="298">
        <v>36544</v>
      </c>
      <c r="AJ23" s="296" t="s">
        <v>194</v>
      </c>
      <c r="AK23" s="299">
        <f>COUNTIF($A$3:A$917,A23)</f>
        <v>1</v>
      </c>
    </row>
    <row r="24" spans="1:37" x14ac:dyDescent="0.25">
      <c r="A24" s="296">
        <v>502000255</v>
      </c>
      <c r="B24" s="296" t="s">
        <v>398</v>
      </c>
      <c r="C24" s="296" t="s">
        <v>183</v>
      </c>
      <c r="D24" s="296" t="s">
        <v>183</v>
      </c>
      <c r="E24" s="296" t="s">
        <v>183</v>
      </c>
      <c r="F24" s="296" t="s">
        <v>399</v>
      </c>
      <c r="G24" s="296" t="s">
        <v>183</v>
      </c>
      <c r="H24" s="296" t="s">
        <v>400</v>
      </c>
      <c r="I24" s="296" t="s">
        <v>252</v>
      </c>
      <c r="J24" s="296" t="s">
        <v>401</v>
      </c>
      <c r="K24" s="296" t="s">
        <v>402</v>
      </c>
      <c r="L24" s="296" t="s">
        <v>398</v>
      </c>
      <c r="M24" s="296" t="s">
        <v>179</v>
      </c>
      <c r="N24" s="296" t="s">
        <v>399</v>
      </c>
      <c r="O24" s="296" t="s">
        <v>183</v>
      </c>
      <c r="P24" s="296" t="s">
        <v>400</v>
      </c>
      <c r="Q24" s="296" t="s">
        <v>183</v>
      </c>
      <c r="R24" s="296" t="s">
        <v>403</v>
      </c>
      <c r="S24" s="296" t="s">
        <v>185</v>
      </c>
      <c r="T24" s="296" t="s">
        <v>185</v>
      </c>
      <c r="U24" s="296" t="s">
        <v>186</v>
      </c>
      <c r="V24" s="296" t="s">
        <v>187</v>
      </c>
      <c r="W24" s="296" t="s">
        <v>188</v>
      </c>
      <c r="X24" s="296" t="s">
        <v>404</v>
      </c>
      <c r="Y24" s="296" t="s">
        <v>183</v>
      </c>
      <c r="Z24" s="296" t="s">
        <v>183</v>
      </c>
      <c r="AA24" s="296" t="s">
        <v>183</v>
      </c>
      <c r="AB24" s="296" t="s">
        <v>183</v>
      </c>
      <c r="AC24" s="296" t="s">
        <v>405</v>
      </c>
      <c r="AD24" s="296" t="s">
        <v>406</v>
      </c>
      <c r="AE24" s="296" t="s">
        <v>192</v>
      </c>
      <c r="AF24" s="296" t="s">
        <v>193</v>
      </c>
      <c r="AG24" s="296">
        <v>0</v>
      </c>
      <c r="AH24" s="298">
        <v>41548</v>
      </c>
      <c r="AJ24" s="296" t="s">
        <v>194</v>
      </c>
      <c r="AK24" s="299">
        <f>COUNTIF($A$3:A$917,A24)</f>
        <v>1</v>
      </c>
    </row>
    <row r="25" spans="1:37" x14ac:dyDescent="0.25">
      <c r="A25" s="296">
        <v>504090023</v>
      </c>
      <c r="B25" s="296" t="s">
        <v>407</v>
      </c>
      <c r="C25" s="296" t="s">
        <v>183</v>
      </c>
      <c r="D25" s="296" t="s">
        <v>183</v>
      </c>
      <c r="E25" s="296" t="s">
        <v>183</v>
      </c>
      <c r="F25" s="296" t="s">
        <v>408</v>
      </c>
      <c r="G25" s="296" t="s">
        <v>183</v>
      </c>
      <c r="H25" s="296" t="s">
        <v>409</v>
      </c>
      <c r="I25" s="296" t="s">
        <v>252</v>
      </c>
      <c r="J25" s="296" t="s">
        <v>410</v>
      </c>
      <c r="K25" s="296" t="s">
        <v>411</v>
      </c>
      <c r="L25" s="296" t="s">
        <v>412</v>
      </c>
      <c r="M25" s="296" t="s">
        <v>179</v>
      </c>
      <c r="N25" s="296" t="s">
        <v>413</v>
      </c>
      <c r="O25" s="296" t="s">
        <v>414</v>
      </c>
      <c r="P25" s="296" t="s">
        <v>183</v>
      </c>
      <c r="Q25" s="296" t="s">
        <v>183</v>
      </c>
      <c r="R25" s="296" t="s">
        <v>415</v>
      </c>
      <c r="S25" s="296" t="s">
        <v>185</v>
      </c>
      <c r="T25" s="296" t="s">
        <v>185</v>
      </c>
      <c r="U25" s="296" t="s">
        <v>186</v>
      </c>
      <c r="V25" s="296" t="s">
        <v>187</v>
      </c>
      <c r="W25" s="296" t="s">
        <v>188</v>
      </c>
      <c r="X25" s="296" t="s">
        <v>246</v>
      </c>
      <c r="Y25" s="296" t="s">
        <v>183</v>
      </c>
      <c r="Z25" s="296" t="s">
        <v>183</v>
      </c>
      <c r="AA25" s="296" t="s">
        <v>183</v>
      </c>
      <c r="AB25" s="296" t="s">
        <v>183</v>
      </c>
      <c r="AC25" s="296" t="s">
        <v>416</v>
      </c>
      <c r="AD25" s="296" t="s">
        <v>417</v>
      </c>
      <c r="AE25" s="296" t="s">
        <v>192</v>
      </c>
      <c r="AF25" s="296" t="s">
        <v>193</v>
      </c>
      <c r="AG25" s="296">
        <v>0</v>
      </c>
      <c r="AH25" s="298">
        <v>44454</v>
      </c>
      <c r="AJ25" s="296" t="s">
        <v>194</v>
      </c>
      <c r="AK25" s="299">
        <f>COUNTIF($A$3:A$917,A25)</f>
        <v>1</v>
      </c>
    </row>
    <row r="26" spans="1:37" x14ac:dyDescent="0.25">
      <c r="A26" s="296">
        <v>204810525</v>
      </c>
      <c r="B26" s="296" t="s">
        <v>418</v>
      </c>
      <c r="C26" s="296" t="s">
        <v>183</v>
      </c>
      <c r="D26" s="296" t="s">
        <v>183</v>
      </c>
      <c r="E26" s="296" t="s">
        <v>183</v>
      </c>
      <c r="F26" s="296" t="s">
        <v>419</v>
      </c>
      <c r="G26" s="296" t="s">
        <v>420</v>
      </c>
      <c r="H26" s="296" t="s">
        <v>421</v>
      </c>
      <c r="I26" s="296" t="s">
        <v>252</v>
      </c>
      <c r="J26" s="296" t="s">
        <v>422</v>
      </c>
      <c r="K26" s="296" t="s">
        <v>423</v>
      </c>
      <c r="L26" s="296" t="s">
        <v>424</v>
      </c>
      <c r="M26" s="296" t="s">
        <v>179</v>
      </c>
      <c r="N26" s="296" t="s">
        <v>425</v>
      </c>
      <c r="O26" s="296" t="s">
        <v>278</v>
      </c>
      <c r="P26" s="296" t="s">
        <v>426</v>
      </c>
      <c r="Q26" s="296" t="s">
        <v>183</v>
      </c>
      <c r="R26" s="296" t="s">
        <v>427</v>
      </c>
      <c r="S26" s="296" t="s">
        <v>185</v>
      </c>
      <c r="T26" s="296" t="s">
        <v>185</v>
      </c>
      <c r="U26" s="296" t="s">
        <v>186</v>
      </c>
      <c r="V26" s="296" t="s">
        <v>187</v>
      </c>
      <c r="W26" s="296" t="s">
        <v>188</v>
      </c>
      <c r="X26" s="296" t="s">
        <v>308</v>
      </c>
      <c r="Y26" s="296" t="s">
        <v>183</v>
      </c>
      <c r="Z26" s="296" t="s">
        <v>183</v>
      </c>
      <c r="AA26" s="296" t="s">
        <v>183</v>
      </c>
      <c r="AB26" s="296" t="s">
        <v>183</v>
      </c>
      <c r="AC26" s="296" t="s">
        <v>428</v>
      </c>
      <c r="AD26" s="296" t="s">
        <v>429</v>
      </c>
      <c r="AE26" s="296" t="s">
        <v>192</v>
      </c>
      <c r="AF26" s="296" t="s">
        <v>193</v>
      </c>
      <c r="AG26" s="296">
        <v>0</v>
      </c>
      <c r="AH26" s="298">
        <v>43178</v>
      </c>
      <c r="AJ26" s="296" t="s">
        <v>194</v>
      </c>
      <c r="AK26" s="299">
        <f>COUNTIF($A$3:A$917,A26)</f>
        <v>1</v>
      </c>
    </row>
    <row r="27" spans="1:37" x14ac:dyDescent="0.25">
      <c r="A27" s="296">
        <v>3102898199</v>
      </c>
      <c r="B27" s="296" t="s">
        <v>430</v>
      </c>
      <c r="C27" s="296" t="s">
        <v>431</v>
      </c>
      <c r="D27" s="296" t="s">
        <v>432</v>
      </c>
      <c r="E27" s="296" t="s">
        <v>172</v>
      </c>
      <c r="F27" s="296" t="s">
        <v>433</v>
      </c>
      <c r="G27" s="296" t="s">
        <v>278</v>
      </c>
      <c r="H27" s="296" t="s">
        <v>434</v>
      </c>
      <c r="I27" s="296" t="s">
        <v>435</v>
      </c>
      <c r="J27" s="296" t="s">
        <v>436</v>
      </c>
      <c r="K27" s="296" t="s">
        <v>183</v>
      </c>
      <c r="L27" s="296" t="s">
        <v>183</v>
      </c>
      <c r="M27" s="296" t="s">
        <v>183</v>
      </c>
      <c r="N27" s="296" t="s">
        <v>437</v>
      </c>
      <c r="O27" s="296" t="s">
        <v>183</v>
      </c>
      <c r="P27" s="296" t="s">
        <v>183</v>
      </c>
      <c r="Q27" s="296" t="s">
        <v>183</v>
      </c>
      <c r="R27" s="296" t="s">
        <v>183</v>
      </c>
      <c r="S27" s="296" t="s">
        <v>183</v>
      </c>
      <c r="T27" s="296" t="s">
        <v>183</v>
      </c>
      <c r="U27" s="296" t="s">
        <v>183</v>
      </c>
      <c r="V27" s="296" t="s">
        <v>183</v>
      </c>
      <c r="W27" s="296" t="s">
        <v>183</v>
      </c>
      <c r="X27" s="296" t="s">
        <v>183</v>
      </c>
      <c r="Y27" s="296" t="s">
        <v>183</v>
      </c>
      <c r="Z27" s="296" t="s">
        <v>183</v>
      </c>
      <c r="AA27" s="296" t="s">
        <v>183</v>
      </c>
      <c r="AB27" s="296" t="s">
        <v>183</v>
      </c>
      <c r="AC27" s="296" t="s">
        <v>183</v>
      </c>
      <c r="AD27" s="296" t="s">
        <v>438</v>
      </c>
      <c r="AE27" s="296" t="s">
        <v>192</v>
      </c>
      <c r="AF27" s="296" t="s">
        <v>193</v>
      </c>
      <c r="AG27" s="296">
        <v>0</v>
      </c>
      <c r="AH27" s="298">
        <v>45974</v>
      </c>
      <c r="AJ27" s="296" t="s">
        <v>194</v>
      </c>
      <c r="AK27" s="299">
        <f>COUNTIF($A$3:A$917,A27)</f>
        <v>3</v>
      </c>
    </row>
    <row r="28" spans="1:37" x14ac:dyDescent="0.25">
      <c r="A28" s="296">
        <v>112870620</v>
      </c>
      <c r="B28" s="296" t="s">
        <v>439</v>
      </c>
      <c r="C28" s="296" t="s">
        <v>183</v>
      </c>
      <c r="D28" s="296" t="s">
        <v>183</v>
      </c>
      <c r="E28" s="296" t="s">
        <v>183</v>
      </c>
      <c r="F28" s="296" t="s">
        <v>440</v>
      </c>
      <c r="G28" s="296" t="s">
        <v>440</v>
      </c>
      <c r="H28" s="296" t="s">
        <v>441</v>
      </c>
      <c r="I28" s="296" t="s">
        <v>442</v>
      </c>
      <c r="J28" s="296" t="s">
        <v>443</v>
      </c>
      <c r="K28" s="296" t="s">
        <v>444</v>
      </c>
      <c r="L28" s="296" t="s">
        <v>445</v>
      </c>
      <c r="M28" s="296" t="s">
        <v>179</v>
      </c>
      <c r="N28" s="296" t="s">
        <v>446</v>
      </c>
      <c r="O28" s="296" t="s">
        <v>446</v>
      </c>
      <c r="P28" s="296" t="s">
        <v>447</v>
      </c>
      <c r="Q28" s="296" t="s">
        <v>183</v>
      </c>
      <c r="R28" s="296" t="s">
        <v>448</v>
      </c>
      <c r="S28" s="296" t="s">
        <v>185</v>
      </c>
      <c r="T28" s="296" t="s">
        <v>185</v>
      </c>
      <c r="U28" s="296" t="s">
        <v>186</v>
      </c>
      <c r="V28" s="296" t="s">
        <v>187</v>
      </c>
      <c r="W28" s="296" t="s">
        <v>188</v>
      </c>
      <c r="X28" s="296" t="s">
        <v>256</v>
      </c>
      <c r="Y28" s="296" t="s">
        <v>183</v>
      </c>
      <c r="Z28" s="296" t="s">
        <v>183</v>
      </c>
      <c r="AA28" s="296" t="s">
        <v>183</v>
      </c>
      <c r="AB28" s="296" t="s">
        <v>183</v>
      </c>
      <c r="AC28" s="296" t="s">
        <v>449</v>
      </c>
      <c r="AD28" s="296" t="s">
        <v>450</v>
      </c>
      <c r="AE28" s="296" t="s">
        <v>192</v>
      </c>
      <c r="AF28" s="296" t="s">
        <v>193</v>
      </c>
      <c r="AG28" s="296">
        <v>6948</v>
      </c>
      <c r="AH28" s="298">
        <v>43845</v>
      </c>
      <c r="AJ28" s="296" t="s">
        <v>194</v>
      </c>
      <c r="AK28" s="299">
        <f>COUNTIF($A$3:A$917,A28)</f>
        <v>2</v>
      </c>
    </row>
    <row r="29" spans="1:37" x14ac:dyDescent="0.25">
      <c r="A29" s="296">
        <v>3002257283</v>
      </c>
      <c r="B29" s="296" t="s">
        <v>451</v>
      </c>
      <c r="C29" s="296" t="s">
        <v>183</v>
      </c>
      <c r="D29" s="296" t="s">
        <v>183</v>
      </c>
      <c r="E29" s="296" t="s">
        <v>183</v>
      </c>
      <c r="F29" s="296" t="s">
        <v>452</v>
      </c>
      <c r="G29" s="296" t="s">
        <v>452</v>
      </c>
      <c r="H29" s="296" t="s">
        <v>453</v>
      </c>
      <c r="I29" s="296" t="s">
        <v>442</v>
      </c>
      <c r="J29" s="296" t="s">
        <v>454</v>
      </c>
      <c r="K29" s="296" t="s">
        <v>455</v>
      </c>
      <c r="L29" s="296" t="s">
        <v>456</v>
      </c>
      <c r="M29" s="296" t="s">
        <v>179</v>
      </c>
      <c r="N29" s="296" t="s">
        <v>278</v>
      </c>
      <c r="O29" s="296" t="s">
        <v>278</v>
      </c>
      <c r="P29" s="296" t="s">
        <v>183</v>
      </c>
      <c r="Q29" s="296" t="s">
        <v>183</v>
      </c>
      <c r="R29" s="296" t="s">
        <v>457</v>
      </c>
      <c r="S29" s="296" t="s">
        <v>185</v>
      </c>
      <c r="T29" s="296" t="s">
        <v>185</v>
      </c>
      <c r="U29" s="296" t="s">
        <v>186</v>
      </c>
      <c r="V29" s="296" t="s">
        <v>187</v>
      </c>
      <c r="W29" s="296" t="s">
        <v>188</v>
      </c>
      <c r="X29" s="296" t="s">
        <v>308</v>
      </c>
      <c r="Y29" s="296" t="s">
        <v>183</v>
      </c>
      <c r="Z29" s="296" t="s">
        <v>183</v>
      </c>
      <c r="AA29" s="296" t="s">
        <v>183</v>
      </c>
      <c r="AB29" s="296" t="s">
        <v>183</v>
      </c>
      <c r="AC29" s="296" t="s">
        <v>458</v>
      </c>
      <c r="AD29" s="296" t="s">
        <v>459</v>
      </c>
      <c r="AE29" s="296" t="s">
        <v>192</v>
      </c>
      <c r="AF29" s="296" t="s">
        <v>193</v>
      </c>
      <c r="AG29" s="296">
        <v>0</v>
      </c>
      <c r="AH29" s="298">
        <v>44209</v>
      </c>
      <c r="AJ29" s="296" t="s">
        <v>194</v>
      </c>
      <c r="AK29" s="299">
        <f>COUNTIF($A$3:A$917,A29)</f>
        <v>1</v>
      </c>
    </row>
    <row r="30" spans="1:37" x14ac:dyDescent="0.25">
      <c r="A30" s="296">
        <v>3101650234</v>
      </c>
      <c r="B30" s="296" t="s">
        <v>460</v>
      </c>
      <c r="C30" s="296" t="s">
        <v>461</v>
      </c>
      <c r="D30" s="296" t="s">
        <v>462</v>
      </c>
      <c r="E30" s="296" t="s">
        <v>172</v>
      </c>
      <c r="F30" s="296" t="s">
        <v>463</v>
      </c>
      <c r="G30" s="296" t="s">
        <v>278</v>
      </c>
      <c r="H30" s="296" t="s">
        <v>183</v>
      </c>
      <c r="I30" s="296" t="s">
        <v>442</v>
      </c>
      <c r="J30" s="296" t="s">
        <v>464</v>
      </c>
      <c r="K30" s="296" t="s">
        <v>183</v>
      </c>
      <c r="L30" s="296" t="s">
        <v>183</v>
      </c>
      <c r="M30" s="296" t="s">
        <v>183</v>
      </c>
      <c r="N30" s="296" t="s">
        <v>465</v>
      </c>
      <c r="O30" s="296" t="s">
        <v>183</v>
      </c>
      <c r="P30" s="296" t="s">
        <v>183</v>
      </c>
      <c r="Q30" s="296" t="s">
        <v>183</v>
      </c>
      <c r="R30" s="296" t="s">
        <v>183</v>
      </c>
      <c r="S30" s="296" t="s">
        <v>183</v>
      </c>
      <c r="T30" s="296" t="s">
        <v>183</v>
      </c>
      <c r="U30" s="296" t="s">
        <v>183</v>
      </c>
      <c r="V30" s="296" t="s">
        <v>183</v>
      </c>
      <c r="W30" s="296" t="s">
        <v>183</v>
      </c>
      <c r="X30" s="296" t="s">
        <v>183</v>
      </c>
      <c r="Y30" s="296" t="s">
        <v>183</v>
      </c>
      <c r="Z30" s="296" t="s">
        <v>183</v>
      </c>
      <c r="AA30" s="296" t="s">
        <v>183</v>
      </c>
      <c r="AB30" s="296" t="s">
        <v>183</v>
      </c>
      <c r="AC30" s="296" t="s">
        <v>183</v>
      </c>
      <c r="AD30" s="296" t="s">
        <v>466</v>
      </c>
      <c r="AE30" s="296" t="s">
        <v>192</v>
      </c>
      <c r="AF30" s="296" t="s">
        <v>193</v>
      </c>
      <c r="AG30" s="296">
        <v>0</v>
      </c>
      <c r="AH30" s="298">
        <v>42969</v>
      </c>
      <c r="AJ30" s="296" t="s">
        <v>194</v>
      </c>
      <c r="AK30" s="299">
        <f>COUNTIF($A$3:A$917,A30)</f>
        <v>1</v>
      </c>
    </row>
    <row r="31" spans="1:37" x14ac:dyDescent="0.25">
      <c r="A31" s="296">
        <v>501370730</v>
      </c>
      <c r="B31" s="296" t="s">
        <v>467</v>
      </c>
      <c r="C31" s="296" t="s">
        <v>183</v>
      </c>
      <c r="D31" s="296" t="s">
        <v>183</v>
      </c>
      <c r="E31" s="296" t="s">
        <v>183</v>
      </c>
      <c r="F31" s="296" t="s">
        <v>468</v>
      </c>
      <c r="G31" s="296" t="s">
        <v>183</v>
      </c>
      <c r="H31" s="296" t="s">
        <v>469</v>
      </c>
      <c r="I31" s="296" t="s">
        <v>442</v>
      </c>
      <c r="J31" s="296" t="s">
        <v>470</v>
      </c>
      <c r="K31" s="296" t="s">
        <v>471</v>
      </c>
      <c r="L31" s="296" t="s">
        <v>472</v>
      </c>
      <c r="M31" s="296" t="s">
        <v>179</v>
      </c>
      <c r="N31" s="296" t="s">
        <v>278</v>
      </c>
      <c r="O31" s="296" t="s">
        <v>278</v>
      </c>
      <c r="P31" s="296" t="s">
        <v>183</v>
      </c>
      <c r="Q31" s="296" t="s">
        <v>183</v>
      </c>
      <c r="R31" s="296" t="s">
        <v>473</v>
      </c>
      <c r="S31" s="296" t="s">
        <v>185</v>
      </c>
      <c r="T31" s="296" t="s">
        <v>185</v>
      </c>
      <c r="U31" s="296" t="s">
        <v>186</v>
      </c>
      <c r="V31" s="296" t="s">
        <v>187</v>
      </c>
      <c r="W31" s="296" t="s">
        <v>188</v>
      </c>
      <c r="X31" s="296" t="s">
        <v>246</v>
      </c>
      <c r="Y31" s="296" t="s">
        <v>183</v>
      </c>
      <c r="Z31" s="296" t="s">
        <v>183</v>
      </c>
      <c r="AA31" s="296" t="s">
        <v>183</v>
      </c>
      <c r="AB31" s="296" t="s">
        <v>183</v>
      </c>
      <c r="AC31" s="296" t="s">
        <v>474</v>
      </c>
      <c r="AD31" s="296" t="s">
        <v>475</v>
      </c>
      <c r="AE31" s="296" t="s">
        <v>192</v>
      </c>
      <c r="AF31" s="296" t="s">
        <v>193</v>
      </c>
      <c r="AG31" s="296">
        <v>0</v>
      </c>
      <c r="AH31" s="298">
        <v>45176</v>
      </c>
      <c r="AJ31" s="296" t="s">
        <v>194</v>
      </c>
      <c r="AK31" s="299">
        <f>COUNTIF($A$3:A$917,A31)</f>
        <v>1</v>
      </c>
    </row>
    <row r="32" spans="1:37" x14ac:dyDescent="0.25">
      <c r="A32" s="296">
        <v>3102645082</v>
      </c>
      <c r="B32" s="296" t="s">
        <v>476</v>
      </c>
      <c r="C32" s="296" t="s">
        <v>183</v>
      </c>
      <c r="D32" s="296" t="s">
        <v>183</v>
      </c>
      <c r="E32" s="296" t="s">
        <v>183</v>
      </c>
      <c r="F32" s="296" t="s">
        <v>477</v>
      </c>
      <c r="G32" s="296" t="s">
        <v>478</v>
      </c>
      <c r="H32" s="296" t="s">
        <v>479</v>
      </c>
      <c r="I32" s="296" t="s">
        <v>442</v>
      </c>
      <c r="J32" s="296" t="s">
        <v>480</v>
      </c>
      <c r="K32" s="296" t="s">
        <v>481</v>
      </c>
      <c r="L32" s="296" t="s">
        <v>482</v>
      </c>
      <c r="M32" s="296" t="s">
        <v>179</v>
      </c>
      <c r="N32" s="296" t="s">
        <v>477</v>
      </c>
      <c r="O32" s="296" t="s">
        <v>483</v>
      </c>
      <c r="P32" s="296" t="s">
        <v>183</v>
      </c>
      <c r="Q32" s="296" t="s">
        <v>183</v>
      </c>
      <c r="R32" s="296" t="s">
        <v>484</v>
      </c>
      <c r="S32" s="296" t="s">
        <v>185</v>
      </c>
      <c r="T32" s="296" t="s">
        <v>185</v>
      </c>
      <c r="U32" s="296" t="s">
        <v>186</v>
      </c>
      <c r="V32" s="296" t="s">
        <v>187</v>
      </c>
      <c r="W32" s="296" t="s">
        <v>188</v>
      </c>
      <c r="X32" s="296" t="s">
        <v>256</v>
      </c>
      <c r="Y32" s="296" t="s">
        <v>183</v>
      </c>
      <c r="Z32" s="296" t="s">
        <v>183</v>
      </c>
      <c r="AA32" s="296" t="s">
        <v>183</v>
      </c>
      <c r="AB32" s="296" t="s">
        <v>183</v>
      </c>
      <c r="AC32" s="296" t="s">
        <v>485</v>
      </c>
      <c r="AD32" s="296" t="s">
        <v>486</v>
      </c>
      <c r="AE32" s="296" t="s">
        <v>192</v>
      </c>
      <c r="AF32" s="296" t="s">
        <v>193</v>
      </c>
      <c r="AG32" s="296">
        <v>0</v>
      </c>
      <c r="AH32" s="298">
        <v>43672</v>
      </c>
      <c r="AJ32" s="296" t="s">
        <v>194</v>
      </c>
      <c r="AK32" s="299">
        <f>COUNTIF($A$3:A$917,A32)</f>
        <v>1</v>
      </c>
    </row>
    <row r="33" spans="1:37" x14ac:dyDescent="0.25">
      <c r="A33" s="296">
        <v>3101864092</v>
      </c>
      <c r="B33" s="296" t="s">
        <v>487</v>
      </c>
      <c r="C33" s="296" t="s">
        <v>183</v>
      </c>
      <c r="D33" s="296" t="s">
        <v>183</v>
      </c>
      <c r="E33" s="296" t="s">
        <v>183</v>
      </c>
      <c r="F33" s="296" t="s">
        <v>488</v>
      </c>
      <c r="G33" s="296" t="s">
        <v>489</v>
      </c>
      <c r="H33" s="296" t="s">
        <v>490</v>
      </c>
      <c r="I33" s="296" t="s">
        <v>442</v>
      </c>
      <c r="J33" s="296" t="s">
        <v>491</v>
      </c>
      <c r="K33" s="296" t="s">
        <v>492</v>
      </c>
      <c r="L33" s="296" t="s">
        <v>487</v>
      </c>
      <c r="M33" s="296" t="s">
        <v>179</v>
      </c>
      <c r="N33" s="296" t="s">
        <v>488</v>
      </c>
      <c r="O33" s="296" t="s">
        <v>489</v>
      </c>
      <c r="P33" s="296" t="s">
        <v>490</v>
      </c>
      <c r="Q33" s="296" t="s">
        <v>183</v>
      </c>
      <c r="R33" s="296" t="s">
        <v>493</v>
      </c>
      <c r="S33" s="296" t="s">
        <v>185</v>
      </c>
      <c r="T33" s="296" t="s">
        <v>185</v>
      </c>
      <c r="U33" s="296" t="s">
        <v>186</v>
      </c>
      <c r="V33" s="296" t="s">
        <v>187</v>
      </c>
      <c r="W33" s="296" t="s">
        <v>188</v>
      </c>
      <c r="X33" s="296" t="s">
        <v>188</v>
      </c>
      <c r="Y33" s="296" t="s">
        <v>183</v>
      </c>
      <c r="Z33" s="296" t="s">
        <v>183</v>
      </c>
      <c r="AA33" s="296" t="s">
        <v>183</v>
      </c>
      <c r="AB33" s="296" t="s">
        <v>183</v>
      </c>
      <c r="AC33" s="296" t="s">
        <v>494</v>
      </c>
      <c r="AD33" s="296" t="s">
        <v>495</v>
      </c>
      <c r="AE33" s="296" t="s">
        <v>192</v>
      </c>
      <c r="AF33" s="296" t="s">
        <v>193</v>
      </c>
      <c r="AG33" s="296">
        <v>0</v>
      </c>
      <c r="AH33" s="298">
        <v>44966</v>
      </c>
      <c r="AJ33" s="296" t="s">
        <v>194</v>
      </c>
      <c r="AK33" s="299">
        <f>COUNTIF($A$3:A$917,A33)</f>
        <v>1</v>
      </c>
    </row>
    <row r="34" spans="1:37" x14ac:dyDescent="0.25">
      <c r="A34" s="296">
        <v>3008071089</v>
      </c>
      <c r="B34" s="296" t="s">
        <v>496</v>
      </c>
      <c r="C34" s="296" t="s">
        <v>183</v>
      </c>
      <c r="D34" s="296" t="s">
        <v>183</v>
      </c>
      <c r="E34" s="296" t="s">
        <v>183</v>
      </c>
      <c r="F34" s="296" t="s">
        <v>497</v>
      </c>
      <c r="G34" s="296" t="s">
        <v>498</v>
      </c>
      <c r="H34" s="296" t="s">
        <v>499</v>
      </c>
      <c r="I34" s="296" t="s">
        <v>442</v>
      </c>
      <c r="J34" s="296" t="s">
        <v>500</v>
      </c>
      <c r="K34" s="296" t="s">
        <v>501</v>
      </c>
      <c r="L34" s="296" t="s">
        <v>502</v>
      </c>
      <c r="M34" s="296" t="s">
        <v>503</v>
      </c>
      <c r="N34" s="296" t="s">
        <v>504</v>
      </c>
      <c r="O34" s="296" t="s">
        <v>505</v>
      </c>
      <c r="P34" s="296" t="s">
        <v>183</v>
      </c>
      <c r="Q34" s="296" t="s">
        <v>183</v>
      </c>
      <c r="R34" s="296" t="s">
        <v>506</v>
      </c>
      <c r="S34" s="296" t="s">
        <v>185</v>
      </c>
      <c r="T34" s="296" t="s">
        <v>185</v>
      </c>
      <c r="U34" s="296" t="s">
        <v>186</v>
      </c>
      <c r="V34" s="296" t="s">
        <v>187</v>
      </c>
      <c r="W34" s="296" t="s">
        <v>188</v>
      </c>
      <c r="X34" s="296" t="s">
        <v>404</v>
      </c>
      <c r="Y34" s="296" t="s">
        <v>183</v>
      </c>
      <c r="Z34" s="296" t="s">
        <v>183</v>
      </c>
      <c r="AA34" s="296" t="s">
        <v>183</v>
      </c>
      <c r="AB34" s="296" t="s">
        <v>183</v>
      </c>
      <c r="AC34" s="296" t="s">
        <v>507</v>
      </c>
      <c r="AD34" s="296" t="s">
        <v>508</v>
      </c>
      <c r="AE34" s="296" t="s">
        <v>192</v>
      </c>
      <c r="AF34" s="296" t="s">
        <v>193</v>
      </c>
      <c r="AG34" s="296">
        <v>43183</v>
      </c>
      <c r="AH34" s="298">
        <v>44167</v>
      </c>
      <c r="AJ34" s="296" t="s">
        <v>194</v>
      </c>
      <c r="AK34" s="299">
        <f>COUNTIF($A$3:A$917,A34)</f>
        <v>3</v>
      </c>
    </row>
    <row r="35" spans="1:37" x14ac:dyDescent="0.25">
      <c r="A35" s="296">
        <v>504670767</v>
      </c>
      <c r="B35" s="296" t="s">
        <v>509</v>
      </c>
      <c r="C35" s="296" t="s">
        <v>183</v>
      </c>
      <c r="D35" s="296" t="s">
        <v>183</v>
      </c>
      <c r="E35" s="296" t="s">
        <v>183</v>
      </c>
      <c r="F35" s="296" t="s">
        <v>510</v>
      </c>
      <c r="G35" s="296" t="s">
        <v>183</v>
      </c>
      <c r="H35" s="296" t="s">
        <v>511</v>
      </c>
      <c r="I35" s="296" t="s">
        <v>442</v>
      </c>
      <c r="J35" s="296" t="s">
        <v>512</v>
      </c>
      <c r="K35" s="296" t="s">
        <v>513</v>
      </c>
      <c r="L35" s="296" t="s">
        <v>514</v>
      </c>
      <c r="M35" s="296" t="s">
        <v>179</v>
      </c>
      <c r="N35" s="296" t="s">
        <v>515</v>
      </c>
      <c r="O35" s="296" t="s">
        <v>516</v>
      </c>
      <c r="P35" s="296" t="s">
        <v>517</v>
      </c>
      <c r="Q35" s="296" t="s">
        <v>183</v>
      </c>
      <c r="R35" s="296" t="s">
        <v>518</v>
      </c>
      <c r="S35" s="296" t="s">
        <v>185</v>
      </c>
      <c r="T35" s="296" t="s">
        <v>185</v>
      </c>
      <c r="U35" s="296" t="s">
        <v>186</v>
      </c>
      <c r="V35" s="296" t="s">
        <v>187</v>
      </c>
      <c r="W35" s="296" t="s">
        <v>188</v>
      </c>
      <c r="X35" s="296" t="s">
        <v>246</v>
      </c>
      <c r="Y35" s="296" t="s">
        <v>183</v>
      </c>
      <c r="Z35" s="296" t="s">
        <v>183</v>
      </c>
      <c r="AA35" s="296" t="s">
        <v>183</v>
      </c>
      <c r="AB35" s="296" t="s">
        <v>183</v>
      </c>
      <c r="AC35" s="296" t="s">
        <v>519</v>
      </c>
      <c r="AD35" s="296" t="s">
        <v>520</v>
      </c>
      <c r="AE35" s="296" t="s">
        <v>192</v>
      </c>
      <c r="AF35" s="296" t="s">
        <v>193</v>
      </c>
      <c r="AG35" s="296">
        <v>0</v>
      </c>
      <c r="AH35" s="298">
        <v>45581</v>
      </c>
      <c r="AJ35" s="296" t="s">
        <v>194</v>
      </c>
      <c r="AK35" s="299">
        <f>COUNTIF($A$3:A$917,A35)</f>
        <v>1</v>
      </c>
    </row>
    <row r="36" spans="1:37" x14ac:dyDescent="0.25">
      <c r="A36" s="296">
        <v>3101476392</v>
      </c>
      <c r="B36" s="296" t="s">
        <v>521</v>
      </c>
      <c r="C36" s="296" t="s">
        <v>183</v>
      </c>
      <c r="D36" s="296" t="s">
        <v>183</v>
      </c>
      <c r="E36" s="296" t="s">
        <v>183</v>
      </c>
      <c r="F36" s="296" t="s">
        <v>522</v>
      </c>
      <c r="G36" s="296" t="s">
        <v>522</v>
      </c>
      <c r="H36" s="296" t="s">
        <v>523</v>
      </c>
      <c r="I36" s="296" t="s">
        <v>442</v>
      </c>
      <c r="J36" s="296" t="s">
        <v>524</v>
      </c>
      <c r="K36" s="296" t="s">
        <v>525</v>
      </c>
      <c r="L36" s="296" t="s">
        <v>526</v>
      </c>
      <c r="M36" s="296" t="s">
        <v>179</v>
      </c>
      <c r="N36" s="296" t="s">
        <v>522</v>
      </c>
      <c r="O36" s="296" t="s">
        <v>527</v>
      </c>
      <c r="P36" s="296" t="s">
        <v>528</v>
      </c>
      <c r="Q36" s="296" t="s">
        <v>183</v>
      </c>
      <c r="R36" s="296" t="s">
        <v>529</v>
      </c>
      <c r="S36" s="296" t="s">
        <v>185</v>
      </c>
      <c r="T36" s="296" t="s">
        <v>185</v>
      </c>
      <c r="U36" s="296" t="s">
        <v>186</v>
      </c>
      <c r="V36" s="296" t="s">
        <v>187</v>
      </c>
      <c r="W36" s="296" t="s">
        <v>188</v>
      </c>
      <c r="X36" s="296" t="s">
        <v>246</v>
      </c>
      <c r="Y36" s="296" t="s">
        <v>183</v>
      </c>
      <c r="Z36" s="296" t="s">
        <v>183</v>
      </c>
      <c r="AA36" s="296" t="s">
        <v>183</v>
      </c>
      <c r="AB36" s="296" t="s">
        <v>183</v>
      </c>
      <c r="AC36" s="296" t="s">
        <v>530</v>
      </c>
      <c r="AD36" s="296" t="s">
        <v>531</v>
      </c>
      <c r="AE36" s="296" t="s">
        <v>192</v>
      </c>
      <c r="AF36" s="296" t="s">
        <v>193</v>
      </c>
      <c r="AG36" s="296">
        <v>0</v>
      </c>
      <c r="AH36" s="298">
        <v>44280</v>
      </c>
      <c r="AJ36" s="296" t="s">
        <v>194</v>
      </c>
      <c r="AK36" s="299">
        <f>COUNTIF($A$3:A$917,A36)</f>
        <v>1</v>
      </c>
    </row>
    <row r="37" spans="1:37" x14ac:dyDescent="0.25">
      <c r="A37" s="296">
        <v>501850267</v>
      </c>
      <c r="B37" s="296" t="s">
        <v>532</v>
      </c>
      <c r="C37" s="296" t="s">
        <v>183</v>
      </c>
      <c r="D37" s="296" t="s">
        <v>183</v>
      </c>
      <c r="E37" s="296" t="s">
        <v>183</v>
      </c>
      <c r="F37" s="296" t="s">
        <v>533</v>
      </c>
      <c r="G37" s="296" t="s">
        <v>183</v>
      </c>
      <c r="H37" s="296" t="s">
        <v>534</v>
      </c>
      <c r="I37" s="296" t="s">
        <v>442</v>
      </c>
      <c r="J37" s="296" t="s">
        <v>535</v>
      </c>
      <c r="K37" s="296" t="s">
        <v>536</v>
      </c>
      <c r="L37" s="296" t="s">
        <v>537</v>
      </c>
      <c r="M37" s="296" t="s">
        <v>179</v>
      </c>
      <c r="N37" s="296" t="s">
        <v>538</v>
      </c>
      <c r="O37" s="296" t="s">
        <v>538</v>
      </c>
      <c r="P37" s="296" t="s">
        <v>539</v>
      </c>
      <c r="Q37" s="296" t="s">
        <v>183</v>
      </c>
      <c r="R37" s="296" t="s">
        <v>540</v>
      </c>
      <c r="S37" s="296" t="s">
        <v>185</v>
      </c>
      <c r="T37" s="296" t="s">
        <v>185</v>
      </c>
      <c r="U37" s="296" t="s">
        <v>186</v>
      </c>
      <c r="V37" s="296" t="s">
        <v>187</v>
      </c>
      <c r="W37" s="296" t="s">
        <v>188</v>
      </c>
      <c r="X37" s="296" t="s">
        <v>246</v>
      </c>
      <c r="Y37" s="296" t="s">
        <v>183</v>
      </c>
      <c r="Z37" s="296" t="s">
        <v>183</v>
      </c>
      <c r="AA37" s="296" t="s">
        <v>183</v>
      </c>
      <c r="AB37" s="296" t="s">
        <v>183</v>
      </c>
      <c r="AC37" s="296" t="s">
        <v>541</v>
      </c>
      <c r="AD37" s="296" t="s">
        <v>542</v>
      </c>
      <c r="AE37" s="296" t="s">
        <v>192</v>
      </c>
      <c r="AF37" s="296" t="s">
        <v>193</v>
      </c>
      <c r="AG37" s="296">
        <v>0</v>
      </c>
      <c r="AH37" s="298">
        <v>45334</v>
      </c>
      <c r="AJ37" s="296" t="s">
        <v>194</v>
      </c>
      <c r="AK37" s="299">
        <f>COUNTIF($A$3:A$917,A37)</f>
        <v>3</v>
      </c>
    </row>
    <row r="38" spans="1:37" x14ac:dyDescent="0.25">
      <c r="A38" s="296">
        <v>501850267</v>
      </c>
      <c r="B38" s="296" t="s">
        <v>532</v>
      </c>
      <c r="C38" s="296" t="s">
        <v>183</v>
      </c>
      <c r="D38" s="296" t="s">
        <v>183</v>
      </c>
      <c r="E38" s="296" t="s">
        <v>183</v>
      </c>
      <c r="F38" s="296" t="s">
        <v>533</v>
      </c>
      <c r="G38" s="296" t="s">
        <v>183</v>
      </c>
      <c r="H38" s="296" t="s">
        <v>534</v>
      </c>
      <c r="I38" s="296" t="s">
        <v>442</v>
      </c>
      <c r="J38" s="296" t="s">
        <v>543</v>
      </c>
      <c r="K38" s="296" t="s">
        <v>544</v>
      </c>
      <c r="L38" s="296" t="s">
        <v>545</v>
      </c>
      <c r="M38" s="296" t="s">
        <v>179</v>
      </c>
      <c r="N38" s="296" t="s">
        <v>546</v>
      </c>
      <c r="O38" s="296" t="s">
        <v>546</v>
      </c>
      <c r="P38" s="296" t="s">
        <v>547</v>
      </c>
      <c r="Q38" s="296" t="s">
        <v>183</v>
      </c>
      <c r="R38" s="296" t="s">
        <v>548</v>
      </c>
      <c r="S38" s="296" t="s">
        <v>185</v>
      </c>
      <c r="T38" s="296" t="s">
        <v>185</v>
      </c>
      <c r="U38" s="296" t="s">
        <v>186</v>
      </c>
      <c r="V38" s="296" t="s">
        <v>187</v>
      </c>
      <c r="W38" s="296" t="s">
        <v>188</v>
      </c>
      <c r="X38" s="296" t="s">
        <v>246</v>
      </c>
      <c r="Y38" s="296" t="s">
        <v>183</v>
      </c>
      <c r="Z38" s="296" t="s">
        <v>183</v>
      </c>
      <c r="AA38" s="296" t="s">
        <v>183</v>
      </c>
      <c r="AB38" s="296" t="s">
        <v>183</v>
      </c>
      <c r="AC38" s="296" t="s">
        <v>549</v>
      </c>
      <c r="AD38" s="296" t="s">
        <v>550</v>
      </c>
      <c r="AE38" s="296" t="s">
        <v>192</v>
      </c>
      <c r="AF38" s="296" t="s">
        <v>193</v>
      </c>
      <c r="AG38" s="296">
        <v>0</v>
      </c>
      <c r="AH38" s="298">
        <v>45566</v>
      </c>
      <c r="AJ38" s="296" t="s">
        <v>194</v>
      </c>
      <c r="AK38" s="299">
        <f>COUNTIF($A$3:A$917,A38)</f>
        <v>3</v>
      </c>
    </row>
    <row r="39" spans="1:37" x14ac:dyDescent="0.25">
      <c r="A39" s="296">
        <v>3102768312</v>
      </c>
      <c r="B39" s="296" t="s">
        <v>551</v>
      </c>
      <c r="C39" s="296" t="s">
        <v>552</v>
      </c>
      <c r="D39" s="296" t="s">
        <v>553</v>
      </c>
      <c r="E39" s="296" t="s">
        <v>172</v>
      </c>
      <c r="F39" s="296" t="s">
        <v>554</v>
      </c>
      <c r="G39" s="296" t="s">
        <v>183</v>
      </c>
      <c r="H39" s="296" t="s">
        <v>555</v>
      </c>
      <c r="I39" s="296" t="s">
        <v>442</v>
      </c>
      <c r="J39" s="296" t="s">
        <v>556</v>
      </c>
      <c r="K39" s="296" t="s">
        <v>557</v>
      </c>
      <c r="L39" s="296" t="s">
        <v>558</v>
      </c>
      <c r="M39" s="296" t="s">
        <v>179</v>
      </c>
      <c r="N39" s="296" t="s">
        <v>559</v>
      </c>
      <c r="O39" s="296" t="s">
        <v>560</v>
      </c>
      <c r="P39" s="296" t="s">
        <v>561</v>
      </c>
      <c r="Q39" s="296" t="s">
        <v>183</v>
      </c>
      <c r="R39" s="296" t="s">
        <v>562</v>
      </c>
      <c r="S39" s="296" t="s">
        <v>185</v>
      </c>
      <c r="T39" s="296" t="s">
        <v>185</v>
      </c>
      <c r="U39" s="296" t="s">
        <v>186</v>
      </c>
      <c r="V39" s="296" t="s">
        <v>187</v>
      </c>
      <c r="W39" s="296" t="s">
        <v>188</v>
      </c>
      <c r="X39" s="296" t="s">
        <v>188</v>
      </c>
      <c r="Y39" s="296" t="s">
        <v>183</v>
      </c>
      <c r="Z39" s="296" t="s">
        <v>183</v>
      </c>
      <c r="AA39" s="296" t="s">
        <v>183</v>
      </c>
      <c r="AB39" s="296" t="s">
        <v>183</v>
      </c>
      <c r="AC39" s="296" t="s">
        <v>563</v>
      </c>
      <c r="AD39" s="296" t="s">
        <v>564</v>
      </c>
      <c r="AE39" s="296" t="s">
        <v>192</v>
      </c>
      <c r="AF39" s="296" t="s">
        <v>193</v>
      </c>
      <c r="AG39" s="296">
        <v>25859</v>
      </c>
      <c r="AH39" s="298">
        <v>43419</v>
      </c>
      <c r="AJ39" s="296" t="s">
        <v>194</v>
      </c>
      <c r="AK39" s="299">
        <f>COUNTIF($A$3:A$917,A39)</f>
        <v>3</v>
      </c>
    </row>
    <row r="40" spans="1:37" x14ac:dyDescent="0.25">
      <c r="A40" s="296">
        <v>504250794</v>
      </c>
      <c r="B40" s="296" t="s">
        <v>565</v>
      </c>
      <c r="C40" s="296" t="s">
        <v>183</v>
      </c>
      <c r="D40" s="296" t="s">
        <v>183</v>
      </c>
      <c r="E40" s="296" t="s">
        <v>183</v>
      </c>
      <c r="F40" s="296" t="s">
        <v>566</v>
      </c>
      <c r="G40" s="296" t="s">
        <v>183</v>
      </c>
      <c r="H40" s="296" t="s">
        <v>567</v>
      </c>
      <c r="I40" s="296" t="s">
        <v>442</v>
      </c>
      <c r="J40" s="296" t="s">
        <v>568</v>
      </c>
      <c r="K40" s="296" t="s">
        <v>569</v>
      </c>
      <c r="L40" s="296" t="s">
        <v>570</v>
      </c>
      <c r="M40" s="296" t="s">
        <v>179</v>
      </c>
      <c r="N40" s="296" t="s">
        <v>571</v>
      </c>
      <c r="O40" s="296" t="s">
        <v>278</v>
      </c>
      <c r="P40" s="296" t="s">
        <v>183</v>
      </c>
      <c r="Q40" s="296" t="s">
        <v>183</v>
      </c>
      <c r="R40" s="296" t="s">
        <v>572</v>
      </c>
      <c r="S40" s="296" t="s">
        <v>185</v>
      </c>
      <c r="T40" s="296" t="s">
        <v>185</v>
      </c>
      <c r="U40" s="296" t="s">
        <v>186</v>
      </c>
      <c r="V40" s="296" t="s">
        <v>187</v>
      </c>
      <c r="W40" s="296" t="s">
        <v>188</v>
      </c>
      <c r="X40" s="296" t="s">
        <v>573</v>
      </c>
      <c r="Y40" s="296" t="s">
        <v>183</v>
      </c>
      <c r="Z40" s="296" t="s">
        <v>183</v>
      </c>
      <c r="AA40" s="296" t="s">
        <v>183</v>
      </c>
      <c r="AB40" s="296" t="s">
        <v>183</v>
      </c>
      <c r="AC40" s="296" t="s">
        <v>574</v>
      </c>
      <c r="AD40" s="296" t="s">
        <v>575</v>
      </c>
      <c r="AE40" s="296" t="s">
        <v>192</v>
      </c>
      <c r="AF40" s="296" t="s">
        <v>193</v>
      </c>
      <c r="AG40" s="296">
        <v>0</v>
      </c>
      <c r="AH40" s="298">
        <v>45329</v>
      </c>
      <c r="AJ40" s="296" t="s">
        <v>194</v>
      </c>
      <c r="AK40" s="299">
        <f>COUNTIF($A$3:A$917,A40)</f>
        <v>1</v>
      </c>
    </row>
    <row r="41" spans="1:37" x14ac:dyDescent="0.25">
      <c r="A41" s="296">
        <v>3101377358</v>
      </c>
      <c r="B41" s="296" t="s">
        <v>576</v>
      </c>
      <c r="C41" s="296" t="s">
        <v>183</v>
      </c>
      <c r="D41" s="296" t="s">
        <v>183</v>
      </c>
      <c r="E41" s="296" t="s">
        <v>183</v>
      </c>
      <c r="F41" s="296" t="s">
        <v>577</v>
      </c>
      <c r="G41" s="296" t="s">
        <v>183</v>
      </c>
      <c r="H41" s="296" t="s">
        <v>578</v>
      </c>
      <c r="I41" s="296" t="s">
        <v>442</v>
      </c>
      <c r="J41" s="296" t="s">
        <v>579</v>
      </c>
      <c r="K41" s="296" t="s">
        <v>580</v>
      </c>
      <c r="L41" s="296" t="s">
        <v>581</v>
      </c>
      <c r="M41" s="296" t="s">
        <v>179</v>
      </c>
      <c r="N41" s="296" t="s">
        <v>582</v>
      </c>
      <c r="O41" s="296" t="s">
        <v>583</v>
      </c>
      <c r="P41" s="296" t="s">
        <v>584</v>
      </c>
      <c r="Q41" s="296" t="s">
        <v>183</v>
      </c>
      <c r="R41" s="296" t="s">
        <v>585</v>
      </c>
      <c r="S41" s="296" t="s">
        <v>185</v>
      </c>
      <c r="T41" s="296" t="s">
        <v>185</v>
      </c>
      <c r="U41" s="296" t="s">
        <v>186</v>
      </c>
      <c r="V41" s="296" t="s">
        <v>187</v>
      </c>
      <c r="W41" s="296" t="s">
        <v>188</v>
      </c>
      <c r="X41" s="296" t="s">
        <v>188</v>
      </c>
      <c r="Y41" s="296" t="s">
        <v>183</v>
      </c>
      <c r="Z41" s="296" t="s">
        <v>183</v>
      </c>
      <c r="AA41" s="296" t="s">
        <v>183</v>
      </c>
      <c r="AB41" s="296" t="s">
        <v>183</v>
      </c>
      <c r="AC41" s="296" t="s">
        <v>586</v>
      </c>
      <c r="AD41" s="296" t="s">
        <v>587</v>
      </c>
      <c r="AE41" s="296" t="s">
        <v>192</v>
      </c>
      <c r="AF41" s="296" t="s">
        <v>193</v>
      </c>
      <c r="AG41" s="296">
        <v>1769250.75</v>
      </c>
      <c r="AH41" s="298">
        <v>41709</v>
      </c>
      <c r="AJ41" s="296" t="s">
        <v>194</v>
      </c>
      <c r="AK41" s="299">
        <f>COUNTIF($A$3:A$917,A41)</f>
        <v>1</v>
      </c>
    </row>
    <row r="42" spans="1:37" x14ac:dyDescent="0.25">
      <c r="A42" s="296">
        <v>3102719670</v>
      </c>
      <c r="B42" s="296" t="s">
        <v>588</v>
      </c>
      <c r="C42" s="296" t="s">
        <v>183</v>
      </c>
      <c r="D42" s="296" t="s">
        <v>183</v>
      </c>
      <c r="E42" s="296" t="s">
        <v>183</v>
      </c>
      <c r="F42" s="296" t="s">
        <v>589</v>
      </c>
      <c r="G42" s="296" t="s">
        <v>183</v>
      </c>
      <c r="H42" s="296" t="s">
        <v>590</v>
      </c>
      <c r="I42" s="296" t="s">
        <v>442</v>
      </c>
      <c r="J42" s="296" t="s">
        <v>591</v>
      </c>
      <c r="K42" s="296" t="s">
        <v>592</v>
      </c>
      <c r="L42" s="296" t="s">
        <v>593</v>
      </c>
      <c r="M42" s="296" t="s">
        <v>179</v>
      </c>
      <c r="N42" s="296" t="s">
        <v>589</v>
      </c>
      <c r="O42" s="296" t="s">
        <v>183</v>
      </c>
      <c r="P42" s="296" t="s">
        <v>590</v>
      </c>
      <c r="Q42" s="296" t="s">
        <v>183</v>
      </c>
      <c r="R42" s="296" t="s">
        <v>594</v>
      </c>
      <c r="S42" s="296" t="s">
        <v>185</v>
      </c>
      <c r="T42" s="296" t="s">
        <v>185</v>
      </c>
      <c r="U42" s="296" t="s">
        <v>186</v>
      </c>
      <c r="V42" s="296" t="s">
        <v>187</v>
      </c>
      <c r="W42" s="296" t="s">
        <v>188</v>
      </c>
      <c r="X42" s="296" t="s">
        <v>308</v>
      </c>
      <c r="Y42" s="296" t="s">
        <v>183</v>
      </c>
      <c r="Z42" s="296" t="s">
        <v>183</v>
      </c>
      <c r="AA42" s="296" t="s">
        <v>183</v>
      </c>
      <c r="AB42" s="296" t="s">
        <v>183</v>
      </c>
      <c r="AC42" s="296" t="s">
        <v>595</v>
      </c>
      <c r="AD42" s="296" t="s">
        <v>596</v>
      </c>
      <c r="AE42" s="296" t="s">
        <v>192</v>
      </c>
      <c r="AF42" s="296" t="s">
        <v>193</v>
      </c>
      <c r="AG42" s="296">
        <v>0</v>
      </c>
      <c r="AH42" s="298">
        <v>45806</v>
      </c>
      <c r="AJ42" s="296" t="s">
        <v>194</v>
      </c>
      <c r="AK42" s="299">
        <f>COUNTIF($A$3:A$917,A42)</f>
        <v>2</v>
      </c>
    </row>
    <row r="43" spans="1:37" x14ac:dyDescent="0.25">
      <c r="A43" s="296">
        <v>503930560</v>
      </c>
      <c r="B43" s="296" t="s">
        <v>597</v>
      </c>
      <c r="C43" s="296" t="s">
        <v>183</v>
      </c>
      <c r="D43" s="296" t="s">
        <v>183</v>
      </c>
      <c r="E43" s="296" t="s">
        <v>183</v>
      </c>
      <c r="F43" s="296" t="s">
        <v>598</v>
      </c>
      <c r="G43" s="296" t="s">
        <v>183</v>
      </c>
      <c r="H43" s="296" t="s">
        <v>599</v>
      </c>
      <c r="I43" s="296" t="s">
        <v>600</v>
      </c>
      <c r="J43" s="296" t="s">
        <v>601</v>
      </c>
      <c r="K43" s="296" t="s">
        <v>602</v>
      </c>
      <c r="L43" s="296" t="s">
        <v>603</v>
      </c>
      <c r="M43" s="296" t="s">
        <v>179</v>
      </c>
      <c r="N43" s="296" t="s">
        <v>604</v>
      </c>
      <c r="O43" s="296" t="s">
        <v>604</v>
      </c>
      <c r="P43" s="296" t="s">
        <v>605</v>
      </c>
      <c r="Q43" s="296" t="s">
        <v>183</v>
      </c>
      <c r="R43" s="296" t="s">
        <v>606</v>
      </c>
      <c r="S43" s="296" t="s">
        <v>185</v>
      </c>
      <c r="T43" s="296" t="s">
        <v>185</v>
      </c>
      <c r="U43" s="296" t="s">
        <v>186</v>
      </c>
      <c r="V43" s="296" t="s">
        <v>187</v>
      </c>
      <c r="W43" s="296" t="s">
        <v>188</v>
      </c>
      <c r="X43" s="296" t="s">
        <v>189</v>
      </c>
      <c r="Y43" s="296" t="s">
        <v>183</v>
      </c>
      <c r="Z43" s="296" t="s">
        <v>183</v>
      </c>
      <c r="AA43" s="296" t="s">
        <v>183</v>
      </c>
      <c r="AB43" s="296" t="s">
        <v>183</v>
      </c>
      <c r="AC43" s="296" t="s">
        <v>607</v>
      </c>
      <c r="AD43" s="296" t="s">
        <v>608</v>
      </c>
      <c r="AE43" s="296" t="s">
        <v>192</v>
      </c>
      <c r="AF43" s="296" t="s">
        <v>193</v>
      </c>
      <c r="AG43" s="296">
        <v>0</v>
      </c>
      <c r="AH43" s="298">
        <v>45938</v>
      </c>
      <c r="AJ43" s="296" t="s">
        <v>194</v>
      </c>
      <c r="AK43" s="299">
        <f>COUNTIF($A$3:A$917,A43)</f>
        <v>1</v>
      </c>
    </row>
    <row r="44" spans="1:37" x14ac:dyDescent="0.25">
      <c r="A44" s="296">
        <v>503380978</v>
      </c>
      <c r="B44" s="296" t="s">
        <v>609</v>
      </c>
      <c r="C44" s="296" t="s">
        <v>183</v>
      </c>
      <c r="D44" s="296" t="s">
        <v>183</v>
      </c>
      <c r="E44" s="296" t="s">
        <v>183</v>
      </c>
      <c r="F44" s="296" t="s">
        <v>610</v>
      </c>
      <c r="G44" s="296" t="s">
        <v>610</v>
      </c>
      <c r="H44" s="296" t="s">
        <v>611</v>
      </c>
      <c r="I44" s="296" t="s">
        <v>612</v>
      </c>
      <c r="J44" s="296" t="s">
        <v>613</v>
      </c>
      <c r="K44" s="296" t="s">
        <v>614</v>
      </c>
      <c r="L44" s="296" t="s">
        <v>615</v>
      </c>
      <c r="M44" s="296" t="s">
        <v>179</v>
      </c>
      <c r="N44" s="296" t="s">
        <v>610</v>
      </c>
      <c r="O44" s="296" t="s">
        <v>610</v>
      </c>
      <c r="P44" s="296" t="s">
        <v>616</v>
      </c>
      <c r="Q44" s="296" t="s">
        <v>183</v>
      </c>
      <c r="R44" s="296" t="s">
        <v>617</v>
      </c>
      <c r="S44" s="296" t="s">
        <v>185</v>
      </c>
      <c r="T44" s="296" t="s">
        <v>185</v>
      </c>
      <c r="U44" s="296" t="s">
        <v>186</v>
      </c>
      <c r="V44" s="296" t="s">
        <v>187</v>
      </c>
      <c r="W44" s="296" t="s">
        <v>188</v>
      </c>
      <c r="X44" s="296" t="s">
        <v>189</v>
      </c>
      <c r="Y44" s="296" t="s">
        <v>183</v>
      </c>
      <c r="Z44" s="296" t="s">
        <v>183</v>
      </c>
      <c r="AA44" s="296" t="s">
        <v>183</v>
      </c>
      <c r="AB44" s="296" t="s">
        <v>183</v>
      </c>
      <c r="AC44" s="296" t="s">
        <v>618</v>
      </c>
      <c r="AD44" s="296" t="s">
        <v>619</v>
      </c>
      <c r="AE44" s="296" t="s">
        <v>192</v>
      </c>
      <c r="AF44" s="296" t="s">
        <v>193</v>
      </c>
      <c r="AG44" s="296">
        <v>19886</v>
      </c>
      <c r="AH44" s="298">
        <v>41982</v>
      </c>
      <c r="AJ44" s="296" t="s">
        <v>194</v>
      </c>
      <c r="AK44" s="299">
        <f>COUNTIF($A$3:A$917,A44)</f>
        <v>1</v>
      </c>
    </row>
    <row r="45" spans="1:37" x14ac:dyDescent="0.25">
      <c r="A45" s="296">
        <v>117690764</v>
      </c>
      <c r="B45" s="296" t="s">
        <v>620</v>
      </c>
      <c r="C45" s="296" t="s">
        <v>183</v>
      </c>
      <c r="D45" s="296" t="s">
        <v>183</v>
      </c>
      <c r="E45" s="296" t="s">
        <v>183</v>
      </c>
      <c r="F45" s="296" t="s">
        <v>621</v>
      </c>
      <c r="G45" s="296" t="s">
        <v>183</v>
      </c>
      <c r="H45" s="296" t="s">
        <v>622</v>
      </c>
      <c r="I45" s="296" t="s">
        <v>612</v>
      </c>
      <c r="J45" s="296" t="s">
        <v>623</v>
      </c>
      <c r="K45" s="296" t="s">
        <v>624</v>
      </c>
      <c r="L45" s="296" t="s">
        <v>625</v>
      </c>
      <c r="M45" s="296" t="s">
        <v>179</v>
      </c>
      <c r="N45" s="296" t="s">
        <v>626</v>
      </c>
      <c r="O45" s="296" t="s">
        <v>627</v>
      </c>
      <c r="P45" s="296" t="s">
        <v>628</v>
      </c>
      <c r="Q45" s="296" t="s">
        <v>183</v>
      </c>
      <c r="R45" s="296" t="s">
        <v>629</v>
      </c>
      <c r="S45" s="296" t="s">
        <v>185</v>
      </c>
      <c r="T45" s="296" t="s">
        <v>185</v>
      </c>
      <c r="U45" s="296" t="s">
        <v>186</v>
      </c>
      <c r="V45" s="296" t="s">
        <v>187</v>
      </c>
      <c r="W45" s="296" t="s">
        <v>188</v>
      </c>
      <c r="X45" s="296" t="s">
        <v>189</v>
      </c>
      <c r="Y45" s="296" t="s">
        <v>183</v>
      </c>
      <c r="Z45" s="296" t="s">
        <v>183</v>
      </c>
      <c r="AA45" s="296" t="s">
        <v>183</v>
      </c>
      <c r="AB45" s="296" t="s">
        <v>183</v>
      </c>
      <c r="AC45" s="296" t="s">
        <v>630</v>
      </c>
      <c r="AD45" s="296" t="s">
        <v>631</v>
      </c>
      <c r="AE45" s="296" t="s">
        <v>192</v>
      </c>
      <c r="AF45" s="296" t="s">
        <v>193</v>
      </c>
      <c r="AG45" s="296">
        <v>0</v>
      </c>
      <c r="AH45" s="298">
        <v>44547</v>
      </c>
      <c r="AJ45" s="296" t="s">
        <v>194</v>
      </c>
      <c r="AK45" s="299">
        <f>COUNTIF($A$3:A$917,A45)</f>
        <v>2</v>
      </c>
    </row>
    <row r="46" spans="1:37" x14ac:dyDescent="0.25">
      <c r="A46" s="296">
        <v>502660456</v>
      </c>
      <c r="B46" s="296" t="s">
        <v>632</v>
      </c>
      <c r="C46" s="296" t="s">
        <v>183</v>
      </c>
      <c r="D46" s="296" t="s">
        <v>183</v>
      </c>
      <c r="E46" s="296" t="s">
        <v>183</v>
      </c>
      <c r="F46" s="296" t="s">
        <v>633</v>
      </c>
      <c r="G46" s="296" t="s">
        <v>633</v>
      </c>
      <c r="H46" s="296" t="s">
        <v>634</v>
      </c>
      <c r="I46" s="296" t="s">
        <v>635</v>
      </c>
      <c r="J46" s="296" t="s">
        <v>636</v>
      </c>
      <c r="K46" s="296" t="s">
        <v>637</v>
      </c>
      <c r="L46" s="296" t="s">
        <v>638</v>
      </c>
      <c r="M46" s="296" t="s">
        <v>179</v>
      </c>
      <c r="N46" s="296" t="s">
        <v>639</v>
      </c>
      <c r="O46" s="296" t="s">
        <v>639</v>
      </c>
      <c r="P46" s="296" t="s">
        <v>640</v>
      </c>
      <c r="Q46" s="296" t="s">
        <v>183</v>
      </c>
      <c r="R46" s="296" t="s">
        <v>641</v>
      </c>
      <c r="S46" s="296" t="s">
        <v>185</v>
      </c>
      <c r="T46" s="296" t="s">
        <v>185</v>
      </c>
      <c r="U46" s="296" t="s">
        <v>186</v>
      </c>
      <c r="V46" s="296" t="s">
        <v>187</v>
      </c>
      <c r="W46" s="296" t="s">
        <v>188</v>
      </c>
      <c r="X46" s="296" t="s">
        <v>189</v>
      </c>
      <c r="Y46" s="296" t="s">
        <v>183</v>
      </c>
      <c r="Z46" s="296" t="s">
        <v>183</v>
      </c>
      <c r="AA46" s="296" t="s">
        <v>183</v>
      </c>
      <c r="AB46" s="296" t="s">
        <v>183</v>
      </c>
      <c r="AC46" s="296" t="s">
        <v>642</v>
      </c>
      <c r="AD46" s="296" t="s">
        <v>643</v>
      </c>
      <c r="AE46" s="296" t="s">
        <v>192</v>
      </c>
      <c r="AF46" s="296" t="s">
        <v>193</v>
      </c>
      <c r="AG46" s="296">
        <v>0</v>
      </c>
      <c r="AH46" s="298">
        <v>44887</v>
      </c>
      <c r="AJ46" s="296" t="s">
        <v>194</v>
      </c>
      <c r="AK46" s="299">
        <f>COUNTIF($A$3:A$917,A46)</f>
        <v>1</v>
      </c>
    </row>
    <row r="47" spans="1:37" x14ac:dyDescent="0.25">
      <c r="A47" s="296">
        <v>3105849960</v>
      </c>
      <c r="B47" s="296" t="s">
        <v>644</v>
      </c>
      <c r="C47" s="296" t="s">
        <v>183</v>
      </c>
      <c r="D47" s="296" t="s">
        <v>183</v>
      </c>
      <c r="E47" s="296" t="s">
        <v>183</v>
      </c>
      <c r="F47" s="296" t="s">
        <v>645</v>
      </c>
      <c r="G47" s="296" t="s">
        <v>645</v>
      </c>
      <c r="H47" s="296" t="s">
        <v>646</v>
      </c>
      <c r="I47" s="296" t="s">
        <v>635</v>
      </c>
      <c r="J47" s="296" t="s">
        <v>647</v>
      </c>
      <c r="K47" s="296" t="s">
        <v>648</v>
      </c>
      <c r="L47" s="296" t="s">
        <v>649</v>
      </c>
      <c r="M47" s="296" t="s">
        <v>179</v>
      </c>
      <c r="N47" s="296" t="s">
        <v>650</v>
      </c>
      <c r="O47" s="296" t="s">
        <v>183</v>
      </c>
      <c r="P47" s="296" t="s">
        <v>651</v>
      </c>
      <c r="Q47" s="296" t="s">
        <v>183</v>
      </c>
      <c r="R47" s="296" t="s">
        <v>652</v>
      </c>
      <c r="S47" s="296" t="s">
        <v>185</v>
      </c>
      <c r="T47" s="296" t="s">
        <v>185</v>
      </c>
      <c r="U47" s="296" t="s">
        <v>186</v>
      </c>
      <c r="V47" s="296" t="s">
        <v>187</v>
      </c>
      <c r="W47" s="296" t="s">
        <v>188</v>
      </c>
      <c r="X47" s="296" t="s">
        <v>189</v>
      </c>
      <c r="Y47" s="296" t="s">
        <v>183</v>
      </c>
      <c r="Z47" s="296" t="s">
        <v>183</v>
      </c>
      <c r="AA47" s="296" t="s">
        <v>183</v>
      </c>
      <c r="AB47" s="296" t="s">
        <v>183</v>
      </c>
      <c r="AC47" s="296" t="s">
        <v>653</v>
      </c>
      <c r="AD47" s="296" t="s">
        <v>654</v>
      </c>
      <c r="AE47" s="296" t="s">
        <v>192</v>
      </c>
      <c r="AF47" s="296" t="s">
        <v>193</v>
      </c>
      <c r="AG47" s="296">
        <v>0</v>
      </c>
      <c r="AH47" s="298">
        <v>45104</v>
      </c>
      <c r="AJ47" s="296" t="s">
        <v>194</v>
      </c>
      <c r="AK47" s="299">
        <f>COUNTIF($A$3:A$917,A47)</f>
        <v>1</v>
      </c>
    </row>
    <row r="48" spans="1:37" x14ac:dyDescent="0.25">
      <c r="A48" s="296">
        <v>106170094</v>
      </c>
      <c r="B48" s="296" t="s">
        <v>655</v>
      </c>
      <c r="C48" s="296" t="s">
        <v>183</v>
      </c>
      <c r="D48" s="296" t="s">
        <v>183</v>
      </c>
      <c r="E48" s="296" t="s">
        <v>183</v>
      </c>
      <c r="F48" s="296" t="s">
        <v>656</v>
      </c>
      <c r="G48" s="296" t="s">
        <v>656</v>
      </c>
      <c r="H48" s="296" t="s">
        <v>657</v>
      </c>
      <c r="I48" s="296" t="s">
        <v>635</v>
      </c>
      <c r="J48" s="296" t="s">
        <v>658</v>
      </c>
      <c r="K48" s="296" t="s">
        <v>659</v>
      </c>
      <c r="L48" s="296" t="s">
        <v>655</v>
      </c>
      <c r="M48" s="296" t="s">
        <v>179</v>
      </c>
      <c r="N48" s="296" t="s">
        <v>656</v>
      </c>
      <c r="O48" s="296" t="s">
        <v>656</v>
      </c>
      <c r="P48" s="296" t="s">
        <v>657</v>
      </c>
      <c r="Q48" s="296" t="s">
        <v>183</v>
      </c>
      <c r="R48" s="296" t="s">
        <v>660</v>
      </c>
      <c r="S48" s="296" t="s">
        <v>185</v>
      </c>
      <c r="T48" s="296" t="s">
        <v>185</v>
      </c>
      <c r="U48" s="296" t="s">
        <v>186</v>
      </c>
      <c r="V48" s="296" t="s">
        <v>187</v>
      </c>
      <c r="W48" s="296" t="s">
        <v>188</v>
      </c>
      <c r="X48" s="296" t="s">
        <v>189</v>
      </c>
      <c r="Y48" s="296" t="s">
        <v>183</v>
      </c>
      <c r="Z48" s="296" t="s">
        <v>183</v>
      </c>
      <c r="AA48" s="296" t="s">
        <v>183</v>
      </c>
      <c r="AB48" s="296" t="s">
        <v>183</v>
      </c>
      <c r="AC48" s="296" t="s">
        <v>661</v>
      </c>
      <c r="AD48" s="296" t="s">
        <v>662</v>
      </c>
      <c r="AE48" s="296" t="s">
        <v>192</v>
      </c>
      <c r="AF48" s="296" t="s">
        <v>193</v>
      </c>
      <c r="AG48" s="296">
        <v>0</v>
      </c>
      <c r="AH48" s="298">
        <v>45539</v>
      </c>
      <c r="AJ48" s="296" t="s">
        <v>194</v>
      </c>
      <c r="AK48" s="299">
        <f>COUNTIF($A$3:A$917,A48)</f>
        <v>1</v>
      </c>
    </row>
    <row r="49" spans="1:37" x14ac:dyDescent="0.25">
      <c r="A49" s="296">
        <v>503540977</v>
      </c>
      <c r="B49" s="296" t="s">
        <v>663</v>
      </c>
      <c r="C49" s="296" t="s">
        <v>183</v>
      </c>
      <c r="D49" s="296" t="s">
        <v>183</v>
      </c>
      <c r="E49" s="296" t="s">
        <v>183</v>
      </c>
      <c r="F49" s="296" t="s">
        <v>664</v>
      </c>
      <c r="G49" s="296" t="s">
        <v>665</v>
      </c>
      <c r="H49" s="296" t="s">
        <v>666</v>
      </c>
      <c r="I49" s="296" t="s">
        <v>667</v>
      </c>
      <c r="J49" s="296" t="s">
        <v>668</v>
      </c>
      <c r="K49" s="296" t="s">
        <v>669</v>
      </c>
      <c r="L49" s="296" t="s">
        <v>670</v>
      </c>
      <c r="M49" s="296" t="s">
        <v>179</v>
      </c>
      <c r="N49" s="296" t="s">
        <v>671</v>
      </c>
      <c r="O49" s="296" t="s">
        <v>671</v>
      </c>
      <c r="P49" s="296" t="s">
        <v>672</v>
      </c>
      <c r="Q49" s="296" t="s">
        <v>183</v>
      </c>
      <c r="R49" s="296" t="s">
        <v>673</v>
      </c>
      <c r="S49" s="296" t="s">
        <v>185</v>
      </c>
      <c r="T49" s="296" t="s">
        <v>185</v>
      </c>
      <c r="U49" s="296" t="s">
        <v>186</v>
      </c>
      <c r="V49" s="296" t="s">
        <v>187</v>
      </c>
      <c r="W49" s="296" t="s">
        <v>188</v>
      </c>
      <c r="X49" s="296" t="s">
        <v>189</v>
      </c>
      <c r="Y49" s="296" t="s">
        <v>183</v>
      </c>
      <c r="Z49" s="296" t="s">
        <v>183</v>
      </c>
      <c r="AA49" s="296" t="s">
        <v>183</v>
      </c>
      <c r="AB49" s="296" t="s">
        <v>183</v>
      </c>
      <c r="AC49" s="296" t="s">
        <v>674</v>
      </c>
      <c r="AD49" s="296" t="s">
        <v>675</v>
      </c>
      <c r="AE49" s="296" t="s">
        <v>192</v>
      </c>
      <c r="AF49" s="296" t="s">
        <v>193</v>
      </c>
      <c r="AG49" s="296">
        <v>0</v>
      </c>
      <c r="AH49" s="298">
        <v>42068</v>
      </c>
      <c r="AJ49" s="296" t="s">
        <v>194</v>
      </c>
      <c r="AK49" s="299">
        <f>COUNTIF($A$3:A$917,A49)</f>
        <v>1</v>
      </c>
    </row>
    <row r="50" spans="1:37" x14ac:dyDescent="0.25">
      <c r="A50" s="296">
        <v>3101636442</v>
      </c>
      <c r="B50" s="296" t="s">
        <v>676</v>
      </c>
      <c r="C50" s="296" t="s">
        <v>183</v>
      </c>
      <c r="D50" s="296" t="s">
        <v>183</v>
      </c>
      <c r="E50" s="296" t="s">
        <v>183</v>
      </c>
      <c r="F50" s="296" t="s">
        <v>677</v>
      </c>
      <c r="G50" s="296" t="s">
        <v>183</v>
      </c>
      <c r="H50" s="296" t="s">
        <v>678</v>
      </c>
      <c r="I50" s="296" t="s">
        <v>667</v>
      </c>
      <c r="J50" s="296" t="s">
        <v>679</v>
      </c>
      <c r="K50" s="296" t="s">
        <v>680</v>
      </c>
      <c r="L50" s="296" t="s">
        <v>676</v>
      </c>
      <c r="M50" s="296" t="s">
        <v>179</v>
      </c>
      <c r="N50" s="296" t="s">
        <v>677</v>
      </c>
      <c r="O50" s="296" t="s">
        <v>183</v>
      </c>
      <c r="P50" s="296" t="s">
        <v>678</v>
      </c>
      <c r="Q50" s="296" t="s">
        <v>183</v>
      </c>
      <c r="R50" s="296" t="s">
        <v>681</v>
      </c>
      <c r="S50" s="296" t="s">
        <v>185</v>
      </c>
      <c r="T50" s="296" t="s">
        <v>185</v>
      </c>
      <c r="U50" s="296" t="s">
        <v>186</v>
      </c>
      <c r="V50" s="296" t="s">
        <v>187</v>
      </c>
      <c r="W50" s="296" t="s">
        <v>188</v>
      </c>
      <c r="X50" s="296" t="s">
        <v>189</v>
      </c>
      <c r="Y50" s="296" t="s">
        <v>183</v>
      </c>
      <c r="Z50" s="296" t="s">
        <v>183</v>
      </c>
      <c r="AA50" s="296" t="s">
        <v>183</v>
      </c>
      <c r="AB50" s="296" t="s">
        <v>183</v>
      </c>
      <c r="AC50" s="296" t="s">
        <v>682</v>
      </c>
      <c r="AD50" s="296" t="s">
        <v>683</v>
      </c>
      <c r="AE50" s="296" t="s">
        <v>192</v>
      </c>
      <c r="AF50" s="296" t="s">
        <v>193</v>
      </c>
      <c r="AG50" s="296">
        <v>0</v>
      </c>
      <c r="AH50" s="298">
        <v>43788</v>
      </c>
      <c r="AJ50" s="296" t="s">
        <v>194</v>
      </c>
      <c r="AK50" s="299">
        <f>COUNTIF($A$3:A$917,A50)</f>
        <v>1</v>
      </c>
    </row>
    <row r="51" spans="1:37" x14ac:dyDescent="0.25">
      <c r="A51" s="296">
        <v>502110414</v>
      </c>
      <c r="B51" s="296" t="s">
        <v>684</v>
      </c>
      <c r="C51" s="296" t="s">
        <v>183</v>
      </c>
      <c r="D51" s="296" t="s">
        <v>183</v>
      </c>
      <c r="E51" s="296" t="s">
        <v>183</v>
      </c>
      <c r="F51" s="296" t="s">
        <v>685</v>
      </c>
      <c r="G51" s="296" t="s">
        <v>686</v>
      </c>
      <c r="H51" s="296" t="s">
        <v>687</v>
      </c>
      <c r="I51" s="296" t="s">
        <v>667</v>
      </c>
      <c r="J51" s="296" t="s">
        <v>688</v>
      </c>
      <c r="K51" s="296" t="s">
        <v>689</v>
      </c>
      <c r="L51" s="296" t="s">
        <v>690</v>
      </c>
      <c r="M51" s="296" t="s">
        <v>179</v>
      </c>
      <c r="N51" s="296" t="s">
        <v>685</v>
      </c>
      <c r="O51" s="296" t="s">
        <v>278</v>
      </c>
      <c r="P51" s="296" t="s">
        <v>687</v>
      </c>
      <c r="Q51" s="296" t="s">
        <v>183</v>
      </c>
      <c r="R51" s="296" t="s">
        <v>691</v>
      </c>
      <c r="S51" s="296" t="s">
        <v>185</v>
      </c>
      <c r="T51" s="296" t="s">
        <v>185</v>
      </c>
      <c r="U51" s="296" t="s">
        <v>186</v>
      </c>
      <c r="V51" s="296" t="s">
        <v>187</v>
      </c>
      <c r="W51" s="296" t="s">
        <v>188</v>
      </c>
      <c r="X51" s="296" t="s">
        <v>189</v>
      </c>
      <c r="Y51" s="296" t="s">
        <v>183</v>
      </c>
      <c r="Z51" s="296" t="s">
        <v>183</v>
      </c>
      <c r="AA51" s="296" t="s">
        <v>183</v>
      </c>
      <c r="AB51" s="296" t="s">
        <v>183</v>
      </c>
      <c r="AC51" s="296" t="s">
        <v>692</v>
      </c>
      <c r="AD51" s="296" t="s">
        <v>693</v>
      </c>
      <c r="AE51" s="296" t="s">
        <v>192</v>
      </c>
      <c r="AF51" s="296" t="s">
        <v>193</v>
      </c>
      <c r="AG51" s="296">
        <v>0</v>
      </c>
      <c r="AH51" s="298">
        <v>36599</v>
      </c>
      <c r="AJ51" s="296" t="s">
        <v>194</v>
      </c>
      <c r="AK51" s="299">
        <f>COUNTIF($A$3:A$917,A51)</f>
        <v>1</v>
      </c>
    </row>
    <row r="52" spans="1:37" x14ac:dyDescent="0.25">
      <c r="A52" s="296">
        <v>206540192</v>
      </c>
      <c r="B52" s="296" t="s">
        <v>694</v>
      </c>
      <c r="C52" s="296" t="s">
        <v>183</v>
      </c>
      <c r="D52" s="296" t="s">
        <v>183</v>
      </c>
      <c r="E52" s="296" t="s">
        <v>183</v>
      </c>
      <c r="F52" s="296" t="s">
        <v>695</v>
      </c>
      <c r="G52" s="296" t="s">
        <v>696</v>
      </c>
      <c r="H52" s="296" t="s">
        <v>697</v>
      </c>
      <c r="I52" s="296" t="s">
        <v>698</v>
      </c>
      <c r="J52" s="296" t="s">
        <v>699</v>
      </c>
      <c r="K52" s="296" t="s">
        <v>700</v>
      </c>
      <c r="L52" s="296" t="s">
        <v>701</v>
      </c>
      <c r="M52" s="296" t="s">
        <v>179</v>
      </c>
      <c r="N52" s="296" t="s">
        <v>702</v>
      </c>
      <c r="O52" s="296" t="s">
        <v>702</v>
      </c>
      <c r="P52" s="296" t="s">
        <v>703</v>
      </c>
      <c r="Q52" s="296" t="s">
        <v>183</v>
      </c>
      <c r="R52" s="296" t="s">
        <v>704</v>
      </c>
      <c r="S52" s="296" t="s">
        <v>185</v>
      </c>
      <c r="T52" s="296" t="s">
        <v>185</v>
      </c>
      <c r="U52" s="296" t="s">
        <v>186</v>
      </c>
      <c r="V52" s="296" t="s">
        <v>187</v>
      </c>
      <c r="W52" s="296" t="s">
        <v>188</v>
      </c>
      <c r="X52" s="296" t="s">
        <v>189</v>
      </c>
      <c r="Y52" s="296" t="s">
        <v>183</v>
      </c>
      <c r="Z52" s="296" t="s">
        <v>183</v>
      </c>
      <c r="AA52" s="296" t="s">
        <v>183</v>
      </c>
      <c r="AB52" s="296" t="s">
        <v>183</v>
      </c>
      <c r="AC52" s="296" t="s">
        <v>705</v>
      </c>
      <c r="AD52" s="296" t="s">
        <v>706</v>
      </c>
      <c r="AE52" s="296" t="s">
        <v>192</v>
      </c>
      <c r="AF52" s="296" t="s">
        <v>193</v>
      </c>
      <c r="AG52" s="296">
        <v>0</v>
      </c>
      <c r="AH52" s="298">
        <v>45279</v>
      </c>
      <c r="AJ52" s="296" t="s">
        <v>194</v>
      </c>
      <c r="AK52" s="299">
        <f>COUNTIF($A$3:A$917,A52)</f>
        <v>2</v>
      </c>
    </row>
    <row r="53" spans="1:37" x14ac:dyDescent="0.25">
      <c r="A53" s="296">
        <v>503000872</v>
      </c>
      <c r="B53" s="296" t="s">
        <v>707</v>
      </c>
      <c r="C53" s="296" t="s">
        <v>183</v>
      </c>
      <c r="D53" s="296" t="s">
        <v>183</v>
      </c>
      <c r="E53" s="296" t="s">
        <v>183</v>
      </c>
      <c r="F53" s="296" t="s">
        <v>708</v>
      </c>
      <c r="G53" s="296" t="s">
        <v>183</v>
      </c>
      <c r="H53" s="296" t="s">
        <v>709</v>
      </c>
      <c r="I53" s="296" t="s">
        <v>698</v>
      </c>
      <c r="J53" s="296" t="s">
        <v>710</v>
      </c>
      <c r="K53" s="296" t="s">
        <v>711</v>
      </c>
      <c r="L53" s="296" t="s">
        <v>707</v>
      </c>
      <c r="M53" s="296" t="s">
        <v>179</v>
      </c>
      <c r="N53" s="296" t="s">
        <v>708</v>
      </c>
      <c r="O53" s="296" t="s">
        <v>183</v>
      </c>
      <c r="P53" s="296" t="s">
        <v>709</v>
      </c>
      <c r="Q53" s="296" t="s">
        <v>183</v>
      </c>
      <c r="R53" s="296" t="s">
        <v>712</v>
      </c>
      <c r="S53" s="296" t="s">
        <v>185</v>
      </c>
      <c r="T53" s="296" t="s">
        <v>185</v>
      </c>
      <c r="U53" s="296" t="s">
        <v>186</v>
      </c>
      <c r="V53" s="296" t="s">
        <v>187</v>
      </c>
      <c r="W53" s="296" t="s">
        <v>188</v>
      </c>
      <c r="X53" s="296" t="s">
        <v>246</v>
      </c>
      <c r="Y53" s="296" t="s">
        <v>183</v>
      </c>
      <c r="Z53" s="296" t="s">
        <v>183</v>
      </c>
      <c r="AA53" s="296" t="s">
        <v>183</v>
      </c>
      <c r="AB53" s="296" t="s">
        <v>183</v>
      </c>
      <c r="AC53" s="296" t="s">
        <v>713</v>
      </c>
      <c r="AD53" s="296" t="s">
        <v>714</v>
      </c>
      <c r="AE53" s="296" t="s">
        <v>192</v>
      </c>
      <c r="AF53" s="296" t="s">
        <v>193</v>
      </c>
      <c r="AG53" s="296">
        <v>0</v>
      </c>
      <c r="AH53" s="298">
        <v>45300</v>
      </c>
      <c r="AJ53" s="296" t="s">
        <v>194</v>
      </c>
      <c r="AK53" s="299">
        <f>COUNTIF($A$3:A$917,A53)</f>
        <v>2</v>
      </c>
    </row>
    <row r="54" spans="1:37" x14ac:dyDescent="0.25">
      <c r="A54" s="296">
        <v>110690145</v>
      </c>
      <c r="B54" s="296" t="s">
        <v>715</v>
      </c>
      <c r="C54" s="296" t="s">
        <v>183</v>
      </c>
      <c r="D54" s="296" t="s">
        <v>183</v>
      </c>
      <c r="E54" s="296" t="s">
        <v>183</v>
      </c>
      <c r="F54" s="296" t="s">
        <v>716</v>
      </c>
      <c r="G54" s="296" t="s">
        <v>716</v>
      </c>
      <c r="H54" s="296" t="s">
        <v>717</v>
      </c>
      <c r="I54" s="296" t="s">
        <v>698</v>
      </c>
      <c r="J54" s="296" t="s">
        <v>718</v>
      </c>
      <c r="K54" s="296" t="s">
        <v>719</v>
      </c>
      <c r="L54" s="296" t="s">
        <v>715</v>
      </c>
      <c r="M54" s="296" t="s">
        <v>179</v>
      </c>
      <c r="N54" s="296" t="s">
        <v>716</v>
      </c>
      <c r="O54" s="296" t="s">
        <v>716</v>
      </c>
      <c r="P54" s="296" t="s">
        <v>717</v>
      </c>
      <c r="Q54" s="296" t="s">
        <v>183</v>
      </c>
      <c r="R54" s="296" t="s">
        <v>720</v>
      </c>
      <c r="S54" s="296" t="s">
        <v>185</v>
      </c>
      <c r="T54" s="296" t="s">
        <v>185</v>
      </c>
      <c r="U54" s="296" t="s">
        <v>186</v>
      </c>
      <c r="V54" s="296" t="s">
        <v>187</v>
      </c>
      <c r="W54" s="296" t="s">
        <v>188</v>
      </c>
      <c r="X54" s="296" t="s">
        <v>189</v>
      </c>
      <c r="Y54" s="296" t="s">
        <v>183</v>
      </c>
      <c r="Z54" s="296" t="s">
        <v>183</v>
      </c>
      <c r="AA54" s="296" t="s">
        <v>183</v>
      </c>
      <c r="AB54" s="296" t="s">
        <v>183</v>
      </c>
      <c r="AC54" s="296" t="s">
        <v>721</v>
      </c>
      <c r="AD54" s="296" t="s">
        <v>722</v>
      </c>
      <c r="AE54" s="296" t="s">
        <v>192</v>
      </c>
      <c r="AF54" s="296" t="s">
        <v>193</v>
      </c>
      <c r="AG54" s="296">
        <v>0</v>
      </c>
      <c r="AH54" s="298">
        <v>39345</v>
      </c>
      <c r="AJ54" s="296" t="s">
        <v>194</v>
      </c>
      <c r="AK54" s="299">
        <f>COUNTIF($A$3:A$917,A54)</f>
        <v>1</v>
      </c>
    </row>
    <row r="55" spans="1:37" x14ac:dyDescent="0.25">
      <c r="A55" s="296">
        <v>604130192</v>
      </c>
      <c r="B55" s="296" t="s">
        <v>723</v>
      </c>
      <c r="C55" s="296" t="s">
        <v>183</v>
      </c>
      <c r="D55" s="296" t="s">
        <v>183</v>
      </c>
      <c r="E55" s="296" t="s">
        <v>183</v>
      </c>
      <c r="F55" s="296" t="s">
        <v>183</v>
      </c>
      <c r="G55" s="296" t="s">
        <v>724</v>
      </c>
      <c r="H55" s="296" t="s">
        <v>725</v>
      </c>
      <c r="I55" s="296" t="s">
        <v>698</v>
      </c>
      <c r="J55" s="296" t="s">
        <v>726</v>
      </c>
      <c r="K55" s="296" t="s">
        <v>727</v>
      </c>
      <c r="L55" s="296" t="s">
        <v>728</v>
      </c>
      <c r="M55" s="296" t="s">
        <v>179</v>
      </c>
      <c r="N55" s="296" t="s">
        <v>729</v>
      </c>
      <c r="O55" s="296" t="s">
        <v>729</v>
      </c>
      <c r="P55" s="296" t="s">
        <v>730</v>
      </c>
      <c r="Q55" s="296" t="s">
        <v>183</v>
      </c>
      <c r="R55" s="296" t="s">
        <v>731</v>
      </c>
      <c r="S55" s="296" t="s">
        <v>185</v>
      </c>
      <c r="T55" s="296" t="s">
        <v>185</v>
      </c>
      <c r="U55" s="296" t="s">
        <v>186</v>
      </c>
      <c r="V55" s="296" t="s">
        <v>187</v>
      </c>
      <c r="W55" s="296" t="s">
        <v>188</v>
      </c>
      <c r="X55" s="296" t="s">
        <v>246</v>
      </c>
      <c r="Y55" s="296" t="s">
        <v>183</v>
      </c>
      <c r="Z55" s="296" t="s">
        <v>183</v>
      </c>
      <c r="AA55" s="296" t="s">
        <v>183</v>
      </c>
      <c r="AB55" s="296" t="s">
        <v>183</v>
      </c>
      <c r="AC55" s="296" t="s">
        <v>732</v>
      </c>
      <c r="AD55" s="296" t="s">
        <v>733</v>
      </c>
      <c r="AE55" s="296" t="s">
        <v>192</v>
      </c>
      <c r="AF55" s="296" t="s">
        <v>193</v>
      </c>
      <c r="AG55" s="296">
        <v>0</v>
      </c>
      <c r="AH55" s="298">
        <v>44035</v>
      </c>
      <c r="AJ55" s="296" t="s">
        <v>194</v>
      </c>
      <c r="AK55" s="299">
        <f>COUNTIF($A$3:A$917,A55)</f>
        <v>2</v>
      </c>
    </row>
    <row r="56" spans="1:37" x14ac:dyDescent="0.25">
      <c r="A56" s="296">
        <v>112040116</v>
      </c>
      <c r="B56" s="296" t="s">
        <v>734</v>
      </c>
      <c r="C56" s="296" t="s">
        <v>183</v>
      </c>
      <c r="D56" s="296" t="s">
        <v>183</v>
      </c>
      <c r="E56" s="296" t="s">
        <v>183</v>
      </c>
      <c r="F56" s="296" t="s">
        <v>735</v>
      </c>
      <c r="G56" s="296" t="s">
        <v>736</v>
      </c>
      <c r="H56" s="296" t="s">
        <v>737</v>
      </c>
      <c r="I56" s="296" t="s">
        <v>698</v>
      </c>
      <c r="J56" s="296" t="s">
        <v>738</v>
      </c>
      <c r="K56" s="296" t="s">
        <v>739</v>
      </c>
      <c r="L56" s="296" t="s">
        <v>740</v>
      </c>
      <c r="M56" s="296" t="s">
        <v>179</v>
      </c>
      <c r="N56" s="296" t="s">
        <v>741</v>
      </c>
      <c r="O56" s="296" t="s">
        <v>741</v>
      </c>
      <c r="P56" s="296" t="s">
        <v>742</v>
      </c>
      <c r="Q56" s="296" t="s">
        <v>183</v>
      </c>
      <c r="R56" s="296" t="s">
        <v>743</v>
      </c>
      <c r="S56" s="296" t="s">
        <v>185</v>
      </c>
      <c r="T56" s="296" t="s">
        <v>185</v>
      </c>
      <c r="U56" s="296" t="s">
        <v>186</v>
      </c>
      <c r="V56" s="296" t="s">
        <v>187</v>
      </c>
      <c r="W56" s="296" t="s">
        <v>188</v>
      </c>
      <c r="X56" s="296" t="s">
        <v>189</v>
      </c>
      <c r="Y56" s="296" t="s">
        <v>183</v>
      </c>
      <c r="Z56" s="296" t="s">
        <v>183</v>
      </c>
      <c r="AA56" s="296" t="s">
        <v>183</v>
      </c>
      <c r="AB56" s="296" t="s">
        <v>183</v>
      </c>
      <c r="AC56" s="296" t="s">
        <v>744</v>
      </c>
      <c r="AD56" s="296" t="s">
        <v>745</v>
      </c>
      <c r="AE56" s="296" t="s">
        <v>192</v>
      </c>
      <c r="AF56" s="296" t="s">
        <v>193</v>
      </c>
      <c r="AG56" s="296">
        <v>0</v>
      </c>
      <c r="AH56" s="298">
        <v>45694</v>
      </c>
      <c r="AJ56" s="296" t="s">
        <v>194</v>
      </c>
      <c r="AK56" s="299">
        <f>COUNTIF($A$3:A$917,A56)</f>
        <v>1</v>
      </c>
    </row>
    <row r="57" spans="1:37" x14ac:dyDescent="0.25">
      <c r="A57" s="296">
        <v>107740967</v>
      </c>
      <c r="B57" s="296" t="s">
        <v>746</v>
      </c>
      <c r="C57" s="296" t="s">
        <v>183</v>
      </c>
      <c r="D57" s="296" t="s">
        <v>183</v>
      </c>
      <c r="E57" s="296" t="s">
        <v>183</v>
      </c>
      <c r="F57" s="296" t="s">
        <v>747</v>
      </c>
      <c r="G57" s="296" t="s">
        <v>748</v>
      </c>
      <c r="H57" s="296" t="s">
        <v>749</v>
      </c>
      <c r="I57" s="296" t="s">
        <v>698</v>
      </c>
      <c r="J57" s="296" t="s">
        <v>750</v>
      </c>
      <c r="K57" s="296" t="s">
        <v>751</v>
      </c>
      <c r="L57" s="296" t="s">
        <v>746</v>
      </c>
      <c r="M57" s="296" t="s">
        <v>179</v>
      </c>
      <c r="N57" s="296" t="s">
        <v>747</v>
      </c>
      <c r="O57" s="296" t="s">
        <v>748</v>
      </c>
      <c r="P57" s="296" t="s">
        <v>749</v>
      </c>
      <c r="Q57" s="296" t="s">
        <v>183</v>
      </c>
      <c r="R57" s="296" t="s">
        <v>752</v>
      </c>
      <c r="S57" s="296" t="s">
        <v>185</v>
      </c>
      <c r="T57" s="296" t="s">
        <v>185</v>
      </c>
      <c r="U57" s="296" t="s">
        <v>186</v>
      </c>
      <c r="V57" s="296" t="s">
        <v>187</v>
      </c>
      <c r="W57" s="296" t="s">
        <v>188</v>
      </c>
      <c r="X57" s="296" t="s">
        <v>189</v>
      </c>
      <c r="Y57" s="296" t="s">
        <v>183</v>
      </c>
      <c r="Z57" s="296" t="s">
        <v>183</v>
      </c>
      <c r="AA57" s="296" t="s">
        <v>183</v>
      </c>
      <c r="AB57" s="296" t="s">
        <v>183</v>
      </c>
      <c r="AC57" s="296" t="s">
        <v>753</v>
      </c>
      <c r="AD57" s="296" t="s">
        <v>754</v>
      </c>
      <c r="AE57" s="296" t="s">
        <v>192</v>
      </c>
      <c r="AF57" s="296" t="s">
        <v>193</v>
      </c>
      <c r="AG57" s="296">
        <v>0</v>
      </c>
      <c r="AH57" s="298">
        <v>36616</v>
      </c>
      <c r="AJ57" s="296" t="s">
        <v>194</v>
      </c>
      <c r="AK57" s="299">
        <f>COUNTIF($A$3:A$917,A57)</f>
        <v>1</v>
      </c>
    </row>
    <row r="58" spans="1:37" x14ac:dyDescent="0.25">
      <c r="A58" s="296">
        <v>502390899</v>
      </c>
      <c r="B58" s="296" t="s">
        <v>755</v>
      </c>
      <c r="C58" s="296" t="s">
        <v>183</v>
      </c>
      <c r="D58" s="296" t="s">
        <v>183</v>
      </c>
      <c r="E58" s="296" t="s">
        <v>183</v>
      </c>
      <c r="F58" s="296" t="s">
        <v>756</v>
      </c>
      <c r="G58" s="296" t="s">
        <v>756</v>
      </c>
      <c r="H58" s="296" t="s">
        <v>757</v>
      </c>
      <c r="I58" s="296" t="s">
        <v>698</v>
      </c>
      <c r="J58" s="296" t="s">
        <v>758</v>
      </c>
      <c r="K58" s="296" t="s">
        <v>759</v>
      </c>
      <c r="L58" s="296" t="s">
        <v>760</v>
      </c>
      <c r="M58" s="296" t="s">
        <v>179</v>
      </c>
      <c r="N58" s="296" t="s">
        <v>756</v>
      </c>
      <c r="O58" s="296" t="s">
        <v>278</v>
      </c>
      <c r="P58" s="296" t="s">
        <v>757</v>
      </c>
      <c r="Q58" s="296" t="s">
        <v>183</v>
      </c>
      <c r="R58" s="296" t="s">
        <v>761</v>
      </c>
      <c r="S58" s="296" t="s">
        <v>185</v>
      </c>
      <c r="T58" s="296" t="s">
        <v>185</v>
      </c>
      <c r="U58" s="296" t="s">
        <v>186</v>
      </c>
      <c r="V58" s="296" t="s">
        <v>187</v>
      </c>
      <c r="W58" s="296" t="s">
        <v>188</v>
      </c>
      <c r="X58" s="296" t="s">
        <v>189</v>
      </c>
      <c r="Y58" s="296" t="s">
        <v>183</v>
      </c>
      <c r="Z58" s="296" t="s">
        <v>183</v>
      </c>
      <c r="AA58" s="296" t="s">
        <v>183</v>
      </c>
      <c r="AB58" s="296" t="s">
        <v>183</v>
      </c>
      <c r="AC58" s="296" t="s">
        <v>762</v>
      </c>
      <c r="AD58" s="296" t="s">
        <v>763</v>
      </c>
      <c r="AE58" s="296" t="s">
        <v>192</v>
      </c>
      <c r="AF58" s="296" t="s">
        <v>193</v>
      </c>
      <c r="AG58" s="296">
        <v>0</v>
      </c>
      <c r="AH58" s="298">
        <v>44587</v>
      </c>
      <c r="AJ58" s="296" t="s">
        <v>194</v>
      </c>
      <c r="AK58" s="299">
        <f>COUNTIF($A$3:A$917,A58)</f>
        <v>2</v>
      </c>
    </row>
    <row r="59" spans="1:37" x14ac:dyDescent="0.25">
      <c r="A59" s="296">
        <v>503900876</v>
      </c>
      <c r="B59" s="296" t="s">
        <v>764</v>
      </c>
      <c r="C59" s="296" t="s">
        <v>183</v>
      </c>
      <c r="D59" s="296" t="s">
        <v>183</v>
      </c>
      <c r="E59" s="296" t="s">
        <v>183</v>
      </c>
      <c r="F59" s="296" t="s">
        <v>765</v>
      </c>
      <c r="G59" s="296" t="s">
        <v>765</v>
      </c>
      <c r="H59" s="296" t="s">
        <v>766</v>
      </c>
      <c r="I59" s="296" t="s">
        <v>698</v>
      </c>
      <c r="J59" s="296" t="s">
        <v>767</v>
      </c>
      <c r="K59" s="296" t="s">
        <v>768</v>
      </c>
      <c r="L59" s="296" t="s">
        <v>769</v>
      </c>
      <c r="M59" s="296" t="s">
        <v>179</v>
      </c>
      <c r="N59" s="296" t="s">
        <v>770</v>
      </c>
      <c r="O59" s="296" t="s">
        <v>770</v>
      </c>
      <c r="P59" s="296" t="s">
        <v>771</v>
      </c>
      <c r="Q59" s="296" t="s">
        <v>183</v>
      </c>
      <c r="R59" s="296" t="s">
        <v>772</v>
      </c>
      <c r="S59" s="296" t="s">
        <v>185</v>
      </c>
      <c r="T59" s="296" t="s">
        <v>185</v>
      </c>
      <c r="U59" s="296" t="s">
        <v>186</v>
      </c>
      <c r="V59" s="296" t="s">
        <v>187</v>
      </c>
      <c r="W59" s="296" t="s">
        <v>188</v>
      </c>
      <c r="X59" s="296" t="s">
        <v>256</v>
      </c>
      <c r="Y59" s="296" t="s">
        <v>183</v>
      </c>
      <c r="Z59" s="296" t="s">
        <v>183</v>
      </c>
      <c r="AA59" s="296" t="s">
        <v>183</v>
      </c>
      <c r="AB59" s="296" t="s">
        <v>183</v>
      </c>
      <c r="AC59" s="296" t="s">
        <v>773</v>
      </c>
      <c r="AD59" s="296" t="s">
        <v>774</v>
      </c>
      <c r="AE59" s="296" t="s">
        <v>192</v>
      </c>
      <c r="AF59" s="296" t="s">
        <v>193</v>
      </c>
      <c r="AG59" s="296">
        <v>0</v>
      </c>
      <c r="AH59" s="298">
        <v>44927</v>
      </c>
      <c r="AJ59" s="296" t="s">
        <v>194</v>
      </c>
      <c r="AK59" s="299">
        <f>COUNTIF($A$3:A$917,A59)</f>
        <v>1</v>
      </c>
    </row>
    <row r="60" spans="1:37" x14ac:dyDescent="0.25">
      <c r="A60" s="296">
        <v>3101169230</v>
      </c>
      <c r="B60" s="296" t="s">
        <v>775</v>
      </c>
      <c r="C60" s="296" t="s">
        <v>183</v>
      </c>
      <c r="D60" s="296" t="s">
        <v>183</v>
      </c>
      <c r="E60" s="296" t="s">
        <v>183</v>
      </c>
      <c r="F60" s="296" t="s">
        <v>776</v>
      </c>
      <c r="G60" s="296" t="s">
        <v>777</v>
      </c>
      <c r="H60" s="296" t="s">
        <v>778</v>
      </c>
      <c r="I60" s="296" t="s">
        <v>698</v>
      </c>
      <c r="J60" s="296" t="s">
        <v>779</v>
      </c>
      <c r="K60" s="296" t="s">
        <v>780</v>
      </c>
      <c r="L60" s="296" t="s">
        <v>775</v>
      </c>
      <c r="M60" s="296" t="s">
        <v>179</v>
      </c>
      <c r="N60" s="296" t="s">
        <v>776</v>
      </c>
      <c r="O60" s="296" t="s">
        <v>777</v>
      </c>
      <c r="P60" s="296" t="s">
        <v>778</v>
      </c>
      <c r="Q60" s="296" t="s">
        <v>183</v>
      </c>
      <c r="R60" s="296" t="s">
        <v>781</v>
      </c>
      <c r="S60" s="296" t="s">
        <v>185</v>
      </c>
      <c r="T60" s="296" t="s">
        <v>185</v>
      </c>
      <c r="U60" s="296" t="s">
        <v>186</v>
      </c>
      <c r="V60" s="296" t="s">
        <v>187</v>
      </c>
      <c r="W60" s="296" t="s">
        <v>188</v>
      </c>
      <c r="X60" s="296" t="s">
        <v>189</v>
      </c>
      <c r="Y60" s="296" t="s">
        <v>183</v>
      </c>
      <c r="Z60" s="296" t="s">
        <v>183</v>
      </c>
      <c r="AA60" s="296" t="s">
        <v>183</v>
      </c>
      <c r="AB60" s="296" t="s">
        <v>183</v>
      </c>
      <c r="AC60" s="296" t="s">
        <v>782</v>
      </c>
      <c r="AD60" s="296" t="s">
        <v>783</v>
      </c>
      <c r="AE60" s="296" t="s">
        <v>192</v>
      </c>
      <c r="AF60" s="296" t="s">
        <v>193</v>
      </c>
      <c r="AG60" s="296">
        <v>0</v>
      </c>
      <c r="AH60" s="298">
        <v>44798</v>
      </c>
      <c r="AJ60" s="296" t="s">
        <v>194</v>
      </c>
      <c r="AK60" s="299">
        <f>COUNTIF($A$3:A$917,A60)</f>
        <v>1</v>
      </c>
    </row>
    <row r="61" spans="1:37" x14ac:dyDescent="0.25">
      <c r="A61" s="296">
        <v>504670162</v>
      </c>
      <c r="B61" s="296" t="s">
        <v>784</v>
      </c>
      <c r="C61" s="296" t="s">
        <v>183</v>
      </c>
      <c r="D61" s="296" t="s">
        <v>183</v>
      </c>
      <c r="E61" s="296" t="s">
        <v>183</v>
      </c>
      <c r="F61" s="296" t="s">
        <v>785</v>
      </c>
      <c r="G61" s="296" t="s">
        <v>785</v>
      </c>
      <c r="H61" s="296" t="s">
        <v>786</v>
      </c>
      <c r="I61" s="296" t="s">
        <v>698</v>
      </c>
      <c r="J61" s="296" t="s">
        <v>787</v>
      </c>
      <c r="K61" s="296" t="s">
        <v>788</v>
      </c>
      <c r="L61" s="296" t="s">
        <v>789</v>
      </c>
      <c r="M61" s="296" t="s">
        <v>179</v>
      </c>
      <c r="N61" s="296" t="s">
        <v>790</v>
      </c>
      <c r="O61" s="296" t="s">
        <v>791</v>
      </c>
      <c r="P61" s="296" t="s">
        <v>792</v>
      </c>
      <c r="Q61" s="296" t="s">
        <v>183</v>
      </c>
      <c r="R61" s="296" t="s">
        <v>793</v>
      </c>
      <c r="S61" s="296" t="s">
        <v>185</v>
      </c>
      <c r="T61" s="296" t="s">
        <v>185</v>
      </c>
      <c r="U61" s="296" t="s">
        <v>186</v>
      </c>
      <c r="V61" s="296" t="s">
        <v>187</v>
      </c>
      <c r="W61" s="296" t="s">
        <v>188</v>
      </c>
      <c r="X61" s="296" t="s">
        <v>189</v>
      </c>
      <c r="Y61" s="296" t="s">
        <v>183</v>
      </c>
      <c r="Z61" s="296" t="s">
        <v>183</v>
      </c>
      <c r="AA61" s="296" t="s">
        <v>183</v>
      </c>
      <c r="AB61" s="296" t="s">
        <v>183</v>
      </c>
      <c r="AC61" s="296" t="s">
        <v>794</v>
      </c>
      <c r="AD61" s="296" t="s">
        <v>795</v>
      </c>
      <c r="AE61" s="296" t="s">
        <v>192</v>
      </c>
      <c r="AF61" s="296" t="s">
        <v>193</v>
      </c>
      <c r="AG61" s="296">
        <v>0</v>
      </c>
      <c r="AH61" s="298">
        <v>45993</v>
      </c>
      <c r="AJ61" s="296" t="s">
        <v>194</v>
      </c>
      <c r="AK61" s="299">
        <f>COUNTIF($A$3:A$917,A61)</f>
        <v>1</v>
      </c>
    </row>
    <row r="62" spans="1:37" x14ac:dyDescent="0.25">
      <c r="A62" s="296">
        <v>602670136</v>
      </c>
      <c r="B62" s="296" t="s">
        <v>796</v>
      </c>
      <c r="C62" s="296" t="s">
        <v>183</v>
      </c>
      <c r="D62" s="296" t="s">
        <v>183</v>
      </c>
      <c r="E62" s="296" t="s">
        <v>183</v>
      </c>
      <c r="F62" s="296" t="s">
        <v>797</v>
      </c>
      <c r="G62" s="296" t="s">
        <v>183</v>
      </c>
      <c r="H62" s="296" t="s">
        <v>798</v>
      </c>
      <c r="I62" s="296" t="s">
        <v>799</v>
      </c>
      <c r="J62" s="296" t="s">
        <v>800</v>
      </c>
      <c r="K62" s="296" t="s">
        <v>801</v>
      </c>
      <c r="L62" s="296" t="s">
        <v>796</v>
      </c>
      <c r="M62" s="296" t="s">
        <v>179</v>
      </c>
      <c r="N62" s="296" t="s">
        <v>797</v>
      </c>
      <c r="O62" s="296" t="s">
        <v>183</v>
      </c>
      <c r="P62" s="296" t="s">
        <v>798</v>
      </c>
      <c r="Q62" s="296" t="s">
        <v>183</v>
      </c>
      <c r="R62" s="296" t="s">
        <v>802</v>
      </c>
      <c r="S62" s="296" t="s">
        <v>185</v>
      </c>
      <c r="T62" s="296" t="s">
        <v>185</v>
      </c>
      <c r="U62" s="296" t="s">
        <v>186</v>
      </c>
      <c r="V62" s="296" t="s">
        <v>187</v>
      </c>
      <c r="W62" s="296" t="s">
        <v>188</v>
      </c>
      <c r="X62" s="296" t="s">
        <v>189</v>
      </c>
      <c r="Y62" s="296" t="s">
        <v>183</v>
      </c>
      <c r="Z62" s="296" t="s">
        <v>183</v>
      </c>
      <c r="AA62" s="296" t="s">
        <v>183</v>
      </c>
      <c r="AB62" s="296" t="s">
        <v>183</v>
      </c>
      <c r="AC62" s="296" t="s">
        <v>803</v>
      </c>
      <c r="AD62" s="296" t="s">
        <v>804</v>
      </c>
      <c r="AE62" s="296" t="s">
        <v>192</v>
      </c>
      <c r="AF62" s="296" t="s">
        <v>193</v>
      </c>
      <c r="AG62" s="296">
        <v>0</v>
      </c>
      <c r="AH62" s="298">
        <v>45007</v>
      </c>
      <c r="AJ62" s="296" t="s">
        <v>194</v>
      </c>
      <c r="AK62" s="299">
        <f>COUNTIF($A$3:A$917,A62)</f>
        <v>1</v>
      </c>
    </row>
    <row r="63" spans="1:37" x14ac:dyDescent="0.25">
      <c r="A63" s="337">
        <v>3101761481</v>
      </c>
      <c r="B63" s="296" t="s">
        <v>805</v>
      </c>
      <c r="C63" s="296" t="s">
        <v>806</v>
      </c>
      <c r="D63" s="296" t="s">
        <v>807</v>
      </c>
      <c r="E63" s="296" t="s">
        <v>172</v>
      </c>
      <c r="F63" s="296" t="s">
        <v>808</v>
      </c>
      <c r="G63" s="296" t="s">
        <v>278</v>
      </c>
      <c r="H63" s="296" t="s">
        <v>809</v>
      </c>
      <c r="I63" s="296" t="s">
        <v>810</v>
      </c>
      <c r="J63" s="296" t="s">
        <v>811</v>
      </c>
      <c r="K63" s="296" t="s">
        <v>812</v>
      </c>
      <c r="L63" s="296" t="s">
        <v>813</v>
      </c>
      <c r="M63" s="296" t="s">
        <v>179</v>
      </c>
      <c r="N63" s="296" t="s">
        <v>604</v>
      </c>
      <c r="O63" s="296" t="s">
        <v>604</v>
      </c>
      <c r="P63" s="296" t="s">
        <v>605</v>
      </c>
      <c r="Q63" s="296" t="s">
        <v>183</v>
      </c>
      <c r="R63" s="296" t="s">
        <v>814</v>
      </c>
      <c r="S63" s="296" t="s">
        <v>185</v>
      </c>
      <c r="T63" s="296" t="s">
        <v>185</v>
      </c>
      <c r="U63" s="296" t="s">
        <v>186</v>
      </c>
      <c r="V63" s="296" t="s">
        <v>187</v>
      </c>
      <c r="W63" s="296" t="s">
        <v>188</v>
      </c>
      <c r="X63" s="296" t="s">
        <v>189</v>
      </c>
      <c r="Y63" s="296" t="s">
        <v>183</v>
      </c>
      <c r="Z63" s="296" t="s">
        <v>183</v>
      </c>
      <c r="AA63" s="296" t="s">
        <v>183</v>
      </c>
      <c r="AB63" s="296" t="s">
        <v>183</v>
      </c>
      <c r="AC63" s="296" t="s">
        <v>815</v>
      </c>
      <c r="AD63" s="296" t="s">
        <v>816</v>
      </c>
      <c r="AE63" s="296" t="s">
        <v>192</v>
      </c>
      <c r="AF63" s="296" t="s">
        <v>193</v>
      </c>
      <c r="AG63" s="296">
        <v>0</v>
      </c>
      <c r="AH63" s="298">
        <v>45495</v>
      </c>
      <c r="AJ63" s="296" t="s">
        <v>194</v>
      </c>
      <c r="AK63" s="299">
        <f>COUNTIF($A$3:A$917,A63)</f>
        <v>1</v>
      </c>
    </row>
    <row r="64" spans="1:37" x14ac:dyDescent="0.25">
      <c r="A64" s="296">
        <v>3101207333</v>
      </c>
      <c r="B64" s="296" t="s">
        <v>817</v>
      </c>
      <c r="C64" s="296" t="s">
        <v>818</v>
      </c>
      <c r="D64" s="296" t="s">
        <v>819</v>
      </c>
      <c r="E64" s="296" t="s">
        <v>172</v>
      </c>
      <c r="F64" s="296" t="s">
        <v>820</v>
      </c>
      <c r="G64" s="296" t="s">
        <v>821</v>
      </c>
      <c r="H64" s="296" t="s">
        <v>822</v>
      </c>
      <c r="I64" s="296" t="s">
        <v>810</v>
      </c>
      <c r="J64" s="296" t="s">
        <v>823</v>
      </c>
      <c r="K64" s="296" t="s">
        <v>824</v>
      </c>
      <c r="L64" s="296" t="s">
        <v>825</v>
      </c>
      <c r="M64" s="296" t="s">
        <v>179</v>
      </c>
      <c r="N64" s="296" t="s">
        <v>826</v>
      </c>
      <c r="O64" s="296" t="s">
        <v>183</v>
      </c>
      <c r="P64" s="296" t="s">
        <v>827</v>
      </c>
      <c r="Q64" s="296" t="s">
        <v>183</v>
      </c>
      <c r="R64" s="296" t="s">
        <v>828</v>
      </c>
      <c r="S64" s="296" t="s">
        <v>185</v>
      </c>
      <c r="T64" s="296" t="s">
        <v>185</v>
      </c>
      <c r="U64" s="296" t="s">
        <v>186</v>
      </c>
      <c r="V64" s="296" t="s">
        <v>187</v>
      </c>
      <c r="W64" s="296" t="s">
        <v>188</v>
      </c>
      <c r="X64" s="296" t="s">
        <v>189</v>
      </c>
      <c r="Y64" s="296" t="s">
        <v>183</v>
      </c>
      <c r="Z64" s="296" t="s">
        <v>183</v>
      </c>
      <c r="AA64" s="296" t="s">
        <v>183</v>
      </c>
      <c r="AB64" s="296" t="s">
        <v>183</v>
      </c>
      <c r="AC64" s="296" t="s">
        <v>829</v>
      </c>
      <c r="AD64" s="296" t="s">
        <v>830</v>
      </c>
      <c r="AE64" s="296" t="s">
        <v>192</v>
      </c>
      <c r="AF64" s="296" t="s">
        <v>193</v>
      </c>
      <c r="AG64" s="296">
        <v>0</v>
      </c>
      <c r="AH64" s="298">
        <v>36623</v>
      </c>
      <c r="AJ64" s="296" t="s">
        <v>194</v>
      </c>
      <c r="AK64" s="299">
        <f>COUNTIF($A$3:A$917,A64)</f>
        <v>1</v>
      </c>
    </row>
    <row r="65" spans="1:37" x14ac:dyDescent="0.25">
      <c r="A65" s="296">
        <v>3002377976</v>
      </c>
      <c r="B65" s="296" t="s">
        <v>831</v>
      </c>
      <c r="C65" s="296" t="s">
        <v>832</v>
      </c>
      <c r="D65" s="296" t="s">
        <v>833</v>
      </c>
      <c r="E65" s="296" t="s">
        <v>172</v>
      </c>
      <c r="F65" s="296" t="s">
        <v>834</v>
      </c>
      <c r="G65" s="296" t="s">
        <v>835</v>
      </c>
      <c r="H65" s="296" t="s">
        <v>836</v>
      </c>
      <c r="I65" s="296" t="s">
        <v>810</v>
      </c>
      <c r="J65" s="296" t="s">
        <v>837</v>
      </c>
      <c r="K65" s="296" t="s">
        <v>838</v>
      </c>
      <c r="L65" s="296" t="s">
        <v>831</v>
      </c>
      <c r="M65" s="296" t="s">
        <v>179</v>
      </c>
      <c r="N65" s="296" t="s">
        <v>834</v>
      </c>
      <c r="O65" s="296" t="s">
        <v>839</v>
      </c>
      <c r="P65" s="296" t="s">
        <v>840</v>
      </c>
      <c r="Q65" s="296" t="s">
        <v>183</v>
      </c>
      <c r="R65" s="296" t="s">
        <v>841</v>
      </c>
      <c r="S65" s="296" t="s">
        <v>185</v>
      </c>
      <c r="T65" s="296" t="s">
        <v>185</v>
      </c>
      <c r="U65" s="296" t="s">
        <v>186</v>
      </c>
      <c r="V65" s="296" t="s">
        <v>187</v>
      </c>
      <c r="W65" s="296" t="s">
        <v>188</v>
      </c>
      <c r="X65" s="296" t="s">
        <v>188</v>
      </c>
      <c r="Y65" s="296" t="s">
        <v>183</v>
      </c>
      <c r="Z65" s="296" t="s">
        <v>183</v>
      </c>
      <c r="AA65" s="296" t="s">
        <v>183</v>
      </c>
      <c r="AB65" s="296" t="s">
        <v>183</v>
      </c>
      <c r="AC65" s="296" t="s">
        <v>842</v>
      </c>
      <c r="AD65" s="296" t="s">
        <v>843</v>
      </c>
      <c r="AE65" s="296" t="s">
        <v>192</v>
      </c>
      <c r="AF65" s="296" t="s">
        <v>193</v>
      </c>
      <c r="AG65" s="296">
        <v>0</v>
      </c>
      <c r="AH65" s="298">
        <v>42265</v>
      </c>
      <c r="AJ65" s="296" t="s">
        <v>194</v>
      </c>
      <c r="AK65" s="299">
        <f>COUNTIF($A$3:A$917,A65)</f>
        <v>2</v>
      </c>
    </row>
    <row r="66" spans="1:37" x14ac:dyDescent="0.25">
      <c r="A66" s="296">
        <v>3004045952</v>
      </c>
      <c r="B66" s="296" t="s">
        <v>844</v>
      </c>
      <c r="C66" s="296" t="s">
        <v>845</v>
      </c>
      <c r="D66" s="296" t="s">
        <v>846</v>
      </c>
      <c r="E66" s="296" t="s">
        <v>172</v>
      </c>
      <c r="F66" s="296" t="s">
        <v>847</v>
      </c>
      <c r="G66" s="296" t="s">
        <v>278</v>
      </c>
      <c r="H66" s="296" t="s">
        <v>848</v>
      </c>
      <c r="I66" s="296" t="s">
        <v>810</v>
      </c>
      <c r="J66" s="296" t="s">
        <v>849</v>
      </c>
      <c r="K66" s="296" t="s">
        <v>850</v>
      </c>
      <c r="L66" s="296" t="s">
        <v>851</v>
      </c>
      <c r="M66" s="296" t="s">
        <v>179</v>
      </c>
      <c r="N66" s="296" t="s">
        <v>852</v>
      </c>
      <c r="O66" s="296" t="s">
        <v>852</v>
      </c>
      <c r="P66" s="296" t="s">
        <v>853</v>
      </c>
      <c r="Q66" s="296" t="s">
        <v>183</v>
      </c>
      <c r="R66" s="296" t="s">
        <v>854</v>
      </c>
      <c r="S66" s="296" t="s">
        <v>194</v>
      </c>
      <c r="T66" s="296" t="s">
        <v>185</v>
      </c>
      <c r="U66" s="296" t="s">
        <v>186</v>
      </c>
      <c r="V66" s="296" t="s">
        <v>187</v>
      </c>
      <c r="W66" s="296" t="s">
        <v>188</v>
      </c>
      <c r="X66" s="296" t="s">
        <v>246</v>
      </c>
      <c r="Y66" s="296" t="s">
        <v>183</v>
      </c>
      <c r="Z66" s="296" t="s">
        <v>183</v>
      </c>
      <c r="AA66" s="296" t="s">
        <v>183</v>
      </c>
      <c r="AB66" s="296" t="s">
        <v>183</v>
      </c>
      <c r="AC66" s="296" t="s">
        <v>855</v>
      </c>
      <c r="AD66" s="296" t="s">
        <v>856</v>
      </c>
      <c r="AE66" s="296" t="s">
        <v>192</v>
      </c>
      <c r="AF66" s="296" t="s">
        <v>193</v>
      </c>
      <c r="AG66" s="296">
        <v>0</v>
      </c>
      <c r="AH66" s="298">
        <v>36823</v>
      </c>
      <c r="AJ66" s="296" t="s">
        <v>194</v>
      </c>
      <c r="AK66" s="299">
        <f>COUNTIF($A$3:A$917,A66)</f>
        <v>2</v>
      </c>
    </row>
    <row r="67" spans="1:37" x14ac:dyDescent="0.25">
      <c r="A67" s="296">
        <v>3101268981</v>
      </c>
      <c r="B67" s="296" t="s">
        <v>857</v>
      </c>
      <c r="C67" s="296" t="s">
        <v>183</v>
      </c>
      <c r="D67" s="296" t="s">
        <v>183</v>
      </c>
      <c r="E67" s="296" t="s">
        <v>183</v>
      </c>
      <c r="F67" s="296" t="s">
        <v>858</v>
      </c>
      <c r="G67" s="296" t="s">
        <v>859</v>
      </c>
      <c r="H67" s="296" t="s">
        <v>860</v>
      </c>
      <c r="I67" s="296" t="s">
        <v>810</v>
      </c>
      <c r="J67" s="296" t="s">
        <v>861</v>
      </c>
      <c r="K67" s="296" t="s">
        <v>862</v>
      </c>
      <c r="L67" s="296" t="s">
        <v>863</v>
      </c>
      <c r="M67" s="296" t="s">
        <v>179</v>
      </c>
      <c r="N67" s="296" t="s">
        <v>465</v>
      </c>
      <c r="O67" s="296" t="s">
        <v>864</v>
      </c>
      <c r="P67" s="296" t="s">
        <v>865</v>
      </c>
      <c r="Q67" s="296" t="s">
        <v>183</v>
      </c>
      <c r="R67" s="296" t="s">
        <v>866</v>
      </c>
      <c r="S67" s="296" t="s">
        <v>185</v>
      </c>
      <c r="T67" s="296" t="s">
        <v>185</v>
      </c>
      <c r="U67" s="296" t="s">
        <v>186</v>
      </c>
      <c r="V67" s="296" t="s">
        <v>187</v>
      </c>
      <c r="W67" s="296" t="s">
        <v>188</v>
      </c>
      <c r="X67" s="296" t="s">
        <v>189</v>
      </c>
      <c r="Y67" s="296" t="s">
        <v>183</v>
      </c>
      <c r="Z67" s="296" t="s">
        <v>183</v>
      </c>
      <c r="AA67" s="296" t="s">
        <v>183</v>
      </c>
      <c r="AB67" s="296" t="s">
        <v>183</v>
      </c>
      <c r="AC67" s="296" t="s">
        <v>867</v>
      </c>
      <c r="AD67" s="296" t="s">
        <v>868</v>
      </c>
      <c r="AE67" s="296" t="s">
        <v>192</v>
      </c>
      <c r="AF67" s="296" t="s">
        <v>193</v>
      </c>
      <c r="AG67" s="296">
        <v>0</v>
      </c>
      <c r="AH67" s="298">
        <v>40870</v>
      </c>
      <c r="AJ67" s="296" t="s">
        <v>194</v>
      </c>
      <c r="AK67" s="299">
        <f>COUNTIF($A$3:A$917,A67)</f>
        <v>1</v>
      </c>
    </row>
    <row r="68" spans="1:37" x14ac:dyDescent="0.25">
      <c r="A68" s="296">
        <v>501360132</v>
      </c>
      <c r="B68" s="296" t="s">
        <v>869</v>
      </c>
      <c r="C68" s="296" t="s">
        <v>183</v>
      </c>
      <c r="D68" s="296" t="s">
        <v>183</v>
      </c>
      <c r="E68" s="296" t="s">
        <v>183</v>
      </c>
      <c r="F68" s="296" t="s">
        <v>870</v>
      </c>
      <c r="G68" s="296" t="s">
        <v>871</v>
      </c>
      <c r="H68" s="296" t="s">
        <v>872</v>
      </c>
      <c r="I68" s="296" t="s">
        <v>810</v>
      </c>
      <c r="J68" s="296" t="s">
        <v>873</v>
      </c>
      <c r="K68" s="296" t="s">
        <v>874</v>
      </c>
      <c r="L68" s="296" t="s">
        <v>869</v>
      </c>
      <c r="M68" s="296" t="s">
        <v>179</v>
      </c>
      <c r="N68" s="296" t="s">
        <v>870</v>
      </c>
      <c r="O68" s="296" t="s">
        <v>871</v>
      </c>
      <c r="P68" s="296" t="s">
        <v>872</v>
      </c>
      <c r="Q68" s="296" t="s">
        <v>183</v>
      </c>
      <c r="R68" s="296" t="s">
        <v>875</v>
      </c>
      <c r="S68" s="296" t="s">
        <v>185</v>
      </c>
      <c r="T68" s="296" t="s">
        <v>185</v>
      </c>
      <c r="U68" s="296" t="s">
        <v>186</v>
      </c>
      <c r="V68" s="296" t="s">
        <v>187</v>
      </c>
      <c r="W68" s="296" t="s">
        <v>188</v>
      </c>
      <c r="X68" s="296" t="s">
        <v>189</v>
      </c>
      <c r="Y68" s="296" t="s">
        <v>183</v>
      </c>
      <c r="Z68" s="296" t="s">
        <v>183</v>
      </c>
      <c r="AA68" s="296" t="s">
        <v>183</v>
      </c>
      <c r="AB68" s="296" t="s">
        <v>183</v>
      </c>
      <c r="AC68" s="296" t="s">
        <v>876</v>
      </c>
      <c r="AD68" s="296" t="s">
        <v>877</v>
      </c>
      <c r="AE68" s="296" t="s">
        <v>192</v>
      </c>
      <c r="AF68" s="296" t="s">
        <v>193</v>
      </c>
      <c r="AG68" s="296">
        <v>69616.5</v>
      </c>
      <c r="AH68" s="298">
        <v>43294</v>
      </c>
      <c r="AJ68" s="296" t="s">
        <v>194</v>
      </c>
      <c r="AK68" s="299">
        <f>COUNTIF($A$3:A$917,A68)</f>
        <v>1</v>
      </c>
    </row>
    <row r="69" spans="1:37" x14ac:dyDescent="0.25">
      <c r="A69" s="296">
        <v>117690764</v>
      </c>
      <c r="B69" s="296" t="s">
        <v>620</v>
      </c>
      <c r="C69" s="296" t="s">
        <v>183</v>
      </c>
      <c r="D69" s="296" t="s">
        <v>183</v>
      </c>
      <c r="E69" s="296" t="s">
        <v>183</v>
      </c>
      <c r="F69" s="296" t="s">
        <v>621</v>
      </c>
      <c r="G69" s="296" t="s">
        <v>183</v>
      </c>
      <c r="H69" s="296" t="s">
        <v>622</v>
      </c>
      <c r="I69" s="296" t="s">
        <v>810</v>
      </c>
      <c r="J69" s="296" t="s">
        <v>878</v>
      </c>
      <c r="K69" s="296" t="s">
        <v>624</v>
      </c>
      <c r="L69" s="296" t="s">
        <v>625</v>
      </c>
      <c r="M69" s="296" t="s">
        <v>179</v>
      </c>
      <c r="N69" s="296" t="s">
        <v>626</v>
      </c>
      <c r="O69" s="296" t="s">
        <v>627</v>
      </c>
      <c r="P69" s="296" t="s">
        <v>628</v>
      </c>
      <c r="Q69" s="296" t="s">
        <v>183</v>
      </c>
      <c r="R69" s="296" t="s">
        <v>629</v>
      </c>
      <c r="S69" s="296" t="s">
        <v>185</v>
      </c>
      <c r="T69" s="296" t="s">
        <v>185</v>
      </c>
      <c r="U69" s="296" t="s">
        <v>186</v>
      </c>
      <c r="V69" s="296" t="s">
        <v>187</v>
      </c>
      <c r="W69" s="296" t="s">
        <v>188</v>
      </c>
      <c r="X69" s="296" t="s">
        <v>189</v>
      </c>
      <c r="Y69" s="296" t="s">
        <v>183</v>
      </c>
      <c r="Z69" s="296" t="s">
        <v>183</v>
      </c>
      <c r="AA69" s="296" t="s">
        <v>183</v>
      </c>
      <c r="AB69" s="296" t="s">
        <v>183</v>
      </c>
      <c r="AC69" s="296" t="s">
        <v>630</v>
      </c>
      <c r="AD69" s="296" t="s">
        <v>879</v>
      </c>
      <c r="AE69" s="296" t="s">
        <v>192</v>
      </c>
      <c r="AF69" s="296" t="s">
        <v>193</v>
      </c>
      <c r="AG69" s="296">
        <v>0</v>
      </c>
      <c r="AH69" s="298">
        <v>45408</v>
      </c>
      <c r="AJ69" s="296" t="s">
        <v>194</v>
      </c>
      <c r="AK69" s="299">
        <f>COUNTIF($A$3:A$917,A69)</f>
        <v>2</v>
      </c>
    </row>
    <row r="70" spans="1:37" x14ac:dyDescent="0.25">
      <c r="A70" s="296">
        <v>3102886219</v>
      </c>
      <c r="B70" s="296" t="s">
        <v>880</v>
      </c>
      <c r="C70" s="296" t="s">
        <v>881</v>
      </c>
      <c r="D70" s="296" t="s">
        <v>882</v>
      </c>
      <c r="E70" s="296" t="s">
        <v>172</v>
      </c>
      <c r="F70" s="296" t="s">
        <v>883</v>
      </c>
      <c r="G70" s="296" t="s">
        <v>884</v>
      </c>
      <c r="H70" s="296" t="s">
        <v>885</v>
      </c>
      <c r="I70" s="296" t="s">
        <v>810</v>
      </c>
      <c r="J70" s="296" t="s">
        <v>886</v>
      </c>
      <c r="K70" s="296" t="s">
        <v>887</v>
      </c>
      <c r="L70" s="296" t="s">
        <v>888</v>
      </c>
      <c r="M70" s="296" t="s">
        <v>179</v>
      </c>
      <c r="N70" s="296" t="s">
        <v>604</v>
      </c>
      <c r="O70" s="296" t="s">
        <v>604</v>
      </c>
      <c r="P70" s="296" t="s">
        <v>889</v>
      </c>
      <c r="Q70" s="296" t="s">
        <v>183</v>
      </c>
      <c r="R70" s="296" t="s">
        <v>890</v>
      </c>
      <c r="S70" s="296" t="s">
        <v>185</v>
      </c>
      <c r="T70" s="296" t="s">
        <v>185</v>
      </c>
      <c r="U70" s="296" t="s">
        <v>186</v>
      </c>
      <c r="V70" s="296" t="s">
        <v>187</v>
      </c>
      <c r="W70" s="296" t="s">
        <v>188</v>
      </c>
      <c r="X70" s="296" t="s">
        <v>189</v>
      </c>
      <c r="Y70" s="296" t="s">
        <v>183</v>
      </c>
      <c r="Z70" s="296" t="s">
        <v>183</v>
      </c>
      <c r="AA70" s="296" t="s">
        <v>183</v>
      </c>
      <c r="AB70" s="296" t="s">
        <v>183</v>
      </c>
      <c r="AC70" s="296" t="s">
        <v>891</v>
      </c>
      <c r="AD70" s="296" t="s">
        <v>892</v>
      </c>
      <c r="AE70" s="296" t="s">
        <v>192</v>
      </c>
      <c r="AF70" s="296" t="s">
        <v>193</v>
      </c>
      <c r="AG70" s="296">
        <v>0</v>
      </c>
      <c r="AH70" s="298">
        <v>45240</v>
      </c>
      <c r="AJ70" s="296" t="s">
        <v>194</v>
      </c>
      <c r="AK70" s="299">
        <f>COUNTIF($A$3:A$917,A70)</f>
        <v>1</v>
      </c>
    </row>
    <row r="71" spans="1:37" x14ac:dyDescent="0.25">
      <c r="A71" s="296">
        <v>3101116146</v>
      </c>
      <c r="B71" s="296" t="s">
        <v>893</v>
      </c>
      <c r="C71" s="296" t="s">
        <v>183</v>
      </c>
      <c r="D71" s="296" t="s">
        <v>183</v>
      </c>
      <c r="E71" s="296" t="s">
        <v>183</v>
      </c>
      <c r="F71" s="296" t="s">
        <v>894</v>
      </c>
      <c r="G71" s="296" t="s">
        <v>894</v>
      </c>
      <c r="H71" s="296" t="s">
        <v>895</v>
      </c>
      <c r="I71" s="296" t="s">
        <v>896</v>
      </c>
      <c r="J71" s="296" t="s">
        <v>897</v>
      </c>
      <c r="K71" s="296" t="s">
        <v>898</v>
      </c>
      <c r="L71" s="296" t="s">
        <v>899</v>
      </c>
      <c r="M71" s="296" t="s">
        <v>179</v>
      </c>
      <c r="N71" s="296" t="s">
        <v>894</v>
      </c>
      <c r="O71" s="296" t="s">
        <v>894</v>
      </c>
      <c r="P71" s="296" t="s">
        <v>895</v>
      </c>
      <c r="Q71" s="296" t="s">
        <v>183</v>
      </c>
      <c r="R71" s="296" t="s">
        <v>900</v>
      </c>
      <c r="S71" s="296" t="s">
        <v>185</v>
      </c>
      <c r="T71" s="296" t="s">
        <v>185</v>
      </c>
      <c r="U71" s="296" t="s">
        <v>186</v>
      </c>
      <c r="V71" s="296" t="s">
        <v>187</v>
      </c>
      <c r="W71" s="296" t="s">
        <v>188</v>
      </c>
      <c r="X71" s="296" t="s">
        <v>224</v>
      </c>
      <c r="Y71" s="296" t="s">
        <v>183</v>
      </c>
      <c r="Z71" s="296" t="s">
        <v>183</v>
      </c>
      <c r="AA71" s="296" t="s">
        <v>183</v>
      </c>
      <c r="AB71" s="296" t="s">
        <v>183</v>
      </c>
      <c r="AC71" s="296" t="s">
        <v>901</v>
      </c>
      <c r="AD71" s="296" t="s">
        <v>902</v>
      </c>
      <c r="AE71" s="296" t="s">
        <v>192</v>
      </c>
      <c r="AF71" s="296" t="s">
        <v>193</v>
      </c>
      <c r="AG71" s="296">
        <v>0</v>
      </c>
      <c r="AH71" s="298">
        <v>44698</v>
      </c>
      <c r="AJ71" s="296" t="s">
        <v>194</v>
      </c>
      <c r="AK71" s="299">
        <f>COUNTIF($A$3:A$917,A71)</f>
        <v>1</v>
      </c>
    </row>
    <row r="72" spans="1:37" x14ac:dyDescent="0.25">
      <c r="A72" s="296">
        <v>3101689003</v>
      </c>
      <c r="B72" s="296" t="s">
        <v>903</v>
      </c>
      <c r="C72" s="296" t="s">
        <v>904</v>
      </c>
      <c r="D72" s="296" t="s">
        <v>905</v>
      </c>
      <c r="E72" s="296" t="s">
        <v>172</v>
      </c>
      <c r="F72" s="296" t="s">
        <v>906</v>
      </c>
      <c r="G72" s="296" t="s">
        <v>906</v>
      </c>
      <c r="H72" s="296" t="s">
        <v>907</v>
      </c>
      <c r="I72" s="296" t="s">
        <v>908</v>
      </c>
      <c r="J72" s="296" t="s">
        <v>909</v>
      </c>
      <c r="K72" s="296" t="s">
        <v>183</v>
      </c>
      <c r="L72" s="296" t="s">
        <v>183</v>
      </c>
      <c r="M72" s="296" t="s">
        <v>183</v>
      </c>
      <c r="N72" s="296" t="s">
        <v>910</v>
      </c>
      <c r="O72" s="296" t="s">
        <v>183</v>
      </c>
      <c r="P72" s="296" t="s">
        <v>183</v>
      </c>
      <c r="Q72" s="296" t="s">
        <v>183</v>
      </c>
      <c r="R72" s="296" t="s">
        <v>183</v>
      </c>
      <c r="S72" s="296" t="s">
        <v>183</v>
      </c>
      <c r="T72" s="296" t="s">
        <v>183</v>
      </c>
      <c r="U72" s="296" t="s">
        <v>183</v>
      </c>
      <c r="V72" s="296" t="s">
        <v>183</v>
      </c>
      <c r="W72" s="296" t="s">
        <v>183</v>
      </c>
      <c r="X72" s="296" t="s">
        <v>183</v>
      </c>
      <c r="Y72" s="296" t="s">
        <v>183</v>
      </c>
      <c r="Z72" s="296" t="s">
        <v>183</v>
      </c>
      <c r="AA72" s="296" t="s">
        <v>183</v>
      </c>
      <c r="AB72" s="296" t="s">
        <v>183</v>
      </c>
      <c r="AC72" s="296" t="s">
        <v>183</v>
      </c>
      <c r="AD72" s="296" t="s">
        <v>911</v>
      </c>
      <c r="AE72" s="296" t="s">
        <v>192</v>
      </c>
      <c r="AF72" s="296" t="s">
        <v>193</v>
      </c>
      <c r="AG72" s="296">
        <v>0</v>
      </c>
      <c r="AH72" s="298">
        <v>43591</v>
      </c>
      <c r="AJ72" s="296" t="s">
        <v>194</v>
      </c>
      <c r="AK72" s="299">
        <f>COUNTIF($A$3:A$917,A72)</f>
        <v>1</v>
      </c>
    </row>
    <row r="73" spans="1:37" x14ac:dyDescent="0.25">
      <c r="A73" s="296">
        <v>503470175</v>
      </c>
      <c r="B73" s="296" t="s">
        <v>912</v>
      </c>
      <c r="C73" s="296" t="s">
        <v>183</v>
      </c>
      <c r="D73" s="296" t="s">
        <v>183</v>
      </c>
      <c r="E73" s="296" t="s">
        <v>183</v>
      </c>
      <c r="F73" s="296" t="s">
        <v>913</v>
      </c>
      <c r="G73" s="296" t="s">
        <v>913</v>
      </c>
      <c r="H73" s="296" t="s">
        <v>914</v>
      </c>
      <c r="I73" s="296" t="s">
        <v>908</v>
      </c>
      <c r="J73" s="296" t="s">
        <v>915</v>
      </c>
      <c r="K73" s="296" t="s">
        <v>183</v>
      </c>
      <c r="L73" s="296" t="s">
        <v>183</v>
      </c>
      <c r="M73" s="296" t="s">
        <v>183</v>
      </c>
      <c r="N73" s="296" t="s">
        <v>916</v>
      </c>
      <c r="O73" s="296" t="s">
        <v>183</v>
      </c>
      <c r="P73" s="296" t="s">
        <v>183</v>
      </c>
      <c r="Q73" s="296" t="s">
        <v>183</v>
      </c>
      <c r="R73" s="296" t="s">
        <v>183</v>
      </c>
      <c r="S73" s="296" t="s">
        <v>183</v>
      </c>
      <c r="T73" s="296" t="s">
        <v>183</v>
      </c>
      <c r="U73" s="296" t="s">
        <v>183</v>
      </c>
      <c r="V73" s="296" t="s">
        <v>183</v>
      </c>
      <c r="W73" s="296" t="s">
        <v>183</v>
      </c>
      <c r="X73" s="296" t="s">
        <v>183</v>
      </c>
      <c r="Y73" s="296" t="s">
        <v>183</v>
      </c>
      <c r="Z73" s="296" t="s">
        <v>183</v>
      </c>
      <c r="AA73" s="296" t="s">
        <v>183</v>
      </c>
      <c r="AB73" s="296" t="s">
        <v>183</v>
      </c>
      <c r="AC73" s="296" t="s">
        <v>183</v>
      </c>
      <c r="AD73" s="296" t="s">
        <v>917</v>
      </c>
      <c r="AE73" s="296" t="s">
        <v>192</v>
      </c>
      <c r="AF73" s="296" t="s">
        <v>193</v>
      </c>
      <c r="AG73" s="296">
        <v>0</v>
      </c>
      <c r="AH73" s="298">
        <v>45014</v>
      </c>
      <c r="AJ73" s="296" t="s">
        <v>194</v>
      </c>
      <c r="AK73" s="299">
        <f>COUNTIF($A$3:A$917,A73)</f>
        <v>1</v>
      </c>
    </row>
    <row r="74" spans="1:37" x14ac:dyDescent="0.25">
      <c r="A74" s="296">
        <v>3102635301</v>
      </c>
      <c r="B74" s="296" t="s">
        <v>918</v>
      </c>
      <c r="C74" s="296" t="s">
        <v>183</v>
      </c>
      <c r="D74" s="296" t="s">
        <v>183</v>
      </c>
      <c r="E74" s="296" t="s">
        <v>183</v>
      </c>
      <c r="F74" s="296" t="s">
        <v>919</v>
      </c>
      <c r="G74" s="296" t="s">
        <v>183</v>
      </c>
      <c r="H74" s="296" t="s">
        <v>920</v>
      </c>
      <c r="I74" s="296" t="s">
        <v>921</v>
      </c>
      <c r="J74" s="296" t="s">
        <v>922</v>
      </c>
      <c r="K74" s="296" t="s">
        <v>183</v>
      </c>
      <c r="L74" s="296" t="s">
        <v>183</v>
      </c>
      <c r="M74" s="296" t="s">
        <v>183</v>
      </c>
      <c r="N74" s="296" t="s">
        <v>923</v>
      </c>
      <c r="O74" s="296" t="s">
        <v>183</v>
      </c>
      <c r="P74" s="296" t="s">
        <v>183</v>
      </c>
      <c r="Q74" s="296" t="s">
        <v>183</v>
      </c>
      <c r="R74" s="296" t="s">
        <v>183</v>
      </c>
      <c r="S74" s="296" t="s">
        <v>183</v>
      </c>
      <c r="T74" s="296" t="s">
        <v>183</v>
      </c>
      <c r="U74" s="296" t="s">
        <v>183</v>
      </c>
      <c r="V74" s="296" t="s">
        <v>183</v>
      </c>
      <c r="W74" s="296" t="s">
        <v>183</v>
      </c>
      <c r="X74" s="296" t="s">
        <v>183</v>
      </c>
      <c r="Y74" s="296" t="s">
        <v>183</v>
      </c>
      <c r="Z74" s="296" t="s">
        <v>183</v>
      </c>
      <c r="AA74" s="296" t="s">
        <v>183</v>
      </c>
      <c r="AB74" s="296" t="s">
        <v>183</v>
      </c>
      <c r="AC74" s="296" t="s">
        <v>183</v>
      </c>
      <c r="AD74" s="296" t="s">
        <v>924</v>
      </c>
      <c r="AE74" s="296" t="s">
        <v>192</v>
      </c>
      <c r="AF74" s="296" t="s">
        <v>193</v>
      </c>
      <c r="AG74" s="296">
        <v>52584.75</v>
      </c>
      <c r="AH74" s="298">
        <v>42271</v>
      </c>
      <c r="AJ74" s="296" t="s">
        <v>194</v>
      </c>
      <c r="AK74" s="299">
        <f>COUNTIF($A$3:A$917,A74)</f>
        <v>1</v>
      </c>
    </row>
    <row r="75" spans="1:37" x14ac:dyDescent="0.25">
      <c r="A75" s="296">
        <v>3102559209</v>
      </c>
      <c r="B75" s="296" t="s">
        <v>925</v>
      </c>
      <c r="C75" s="296" t="s">
        <v>183</v>
      </c>
      <c r="D75" s="296" t="s">
        <v>183</v>
      </c>
      <c r="E75" s="296" t="s">
        <v>183</v>
      </c>
      <c r="F75" s="296" t="s">
        <v>183</v>
      </c>
      <c r="G75" s="296" t="s">
        <v>926</v>
      </c>
      <c r="H75" s="296" t="s">
        <v>927</v>
      </c>
      <c r="I75" s="296" t="s">
        <v>921</v>
      </c>
      <c r="J75" s="296" t="s">
        <v>928</v>
      </c>
      <c r="K75" s="296" t="s">
        <v>929</v>
      </c>
      <c r="L75" s="296" t="s">
        <v>930</v>
      </c>
      <c r="M75" s="296" t="s">
        <v>179</v>
      </c>
      <c r="N75" s="296" t="s">
        <v>923</v>
      </c>
      <c r="O75" s="296" t="s">
        <v>931</v>
      </c>
      <c r="P75" s="296" t="s">
        <v>932</v>
      </c>
      <c r="Q75" s="296" t="s">
        <v>183</v>
      </c>
      <c r="R75" s="296" t="s">
        <v>933</v>
      </c>
      <c r="S75" s="296" t="s">
        <v>185</v>
      </c>
      <c r="T75" s="296" t="s">
        <v>185</v>
      </c>
      <c r="U75" s="296" t="s">
        <v>186</v>
      </c>
      <c r="V75" s="296" t="s">
        <v>187</v>
      </c>
      <c r="W75" s="296" t="s">
        <v>188</v>
      </c>
      <c r="X75" s="296" t="s">
        <v>189</v>
      </c>
      <c r="Y75" s="296" t="s">
        <v>183</v>
      </c>
      <c r="Z75" s="296" t="s">
        <v>183</v>
      </c>
      <c r="AA75" s="296" t="s">
        <v>183</v>
      </c>
      <c r="AB75" s="296" t="s">
        <v>183</v>
      </c>
      <c r="AC75" s="296" t="s">
        <v>934</v>
      </c>
      <c r="AD75" s="296" t="s">
        <v>935</v>
      </c>
      <c r="AE75" s="296" t="s">
        <v>192</v>
      </c>
      <c r="AF75" s="296" t="s">
        <v>193</v>
      </c>
      <c r="AG75" s="296">
        <v>0</v>
      </c>
      <c r="AH75" s="298">
        <v>40774</v>
      </c>
      <c r="AJ75" s="296" t="s">
        <v>194</v>
      </c>
      <c r="AK75" s="299">
        <f>COUNTIF($A$3:A$917,A75)</f>
        <v>1</v>
      </c>
    </row>
    <row r="76" spans="1:37" x14ac:dyDescent="0.25">
      <c r="A76" s="296">
        <v>603250919</v>
      </c>
      <c r="B76" s="296" t="s">
        <v>936</v>
      </c>
      <c r="C76" s="296" t="s">
        <v>183</v>
      </c>
      <c r="D76" s="296" t="s">
        <v>183</v>
      </c>
      <c r="E76" s="296" t="s">
        <v>183</v>
      </c>
      <c r="F76" s="296" t="s">
        <v>937</v>
      </c>
      <c r="G76" s="296" t="s">
        <v>183</v>
      </c>
      <c r="H76" s="296" t="s">
        <v>938</v>
      </c>
      <c r="I76" s="296" t="s">
        <v>939</v>
      </c>
      <c r="J76" s="296" t="s">
        <v>940</v>
      </c>
      <c r="K76" s="296" t="s">
        <v>941</v>
      </c>
      <c r="L76" s="296" t="s">
        <v>936</v>
      </c>
      <c r="M76" s="296" t="s">
        <v>179</v>
      </c>
      <c r="N76" s="296" t="s">
        <v>937</v>
      </c>
      <c r="O76" s="296" t="s">
        <v>183</v>
      </c>
      <c r="P76" s="296" t="s">
        <v>938</v>
      </c>
      <c r="Q76" s="296" t="s">
        <v>183</v>
      </c>
      <c r="R76" s="296" t="s">
        <v>942</v>
      </c>
      <c r="S76" s="296" t="s">
        <v>185</v>
      </c>
      <c r="T76" s="296" t="s">
        <v>185</v>
      </c>
      <c r="U76" s="296" t="s">
        <v>186</v>
      </c>
      <c r="V76" s="296" t="s">
        <v>187</v>
      </c>
      <c r="W76" s="296" t="s">
        <v>188</v>
      </c>
      <c r="X76" s="296" t="s">
        <v>189</v>
      </c>
      <c r="Y76" s="296" t="s">
        <v>183</v>
      </c>
      <c r="Z76" s="296" t="s">
        <v>183</v>
      </c>
      <c r="AA76" s="296" t="s">
        <v>183</v>
      </c>
      <c r="AB76" s="296" t="s">
        <v>183</v>
      </c>
      <c r="AC76" s="296" t="s">
        <v>943</v>
      </c>
      <c r="AD76" s="296" t="s">
        <v>944</v>
      </c>
      <c r="AE76" s="296" t="s">
        <v>192</v>
      </c>
      <c r="AF76" s="296" t="s">
        <v>193</v>
      </c>
      <c r="AG76" s="296">
        <v>0</v>
      </c>
      <c r="AH76" s="298">
        <v>45244</v>
      </c>
      <c r="AJ76" s="296" t="s">
        <v>194</v>
      </c>
      <c r="AK76" s="299">
        <f>COUNTIF($A$3:A$917,A76)</f>
        <v>2</v>
      </c>
    </row>
    <row r="77" spans="1:37" x14ac:dyDescent="0.25">
      <c r="A77" s="296">
        <v>3101665793</v>
      </c>
      <c r="B77" s="296" t="s">
        <v>945</v>
      </c>
      <c r="C77" s="296" t="s">
        <v>183</v>
      </c>
      <c r="D77" s="296" t="s">
        <v>183</v>
      </c>
      <c r="E77" s="296" t="s">
        <v>183</v>
      </c>
      <c r="F77" s="296" t="s">
        <v>946</v>
      </c>
      <c r="G77" s="296" t="s">
        <v>947</v>
      </c>
      <c r="H77" s="296" t="s">
        <v>948</v>
      </c>
      <c r="I77" s="296" t="s">
        <v>949</v>
      </c>
      <c r="J77" s="296" t="s">
        <v>950</v>
      </c>
      <c r="K77" s="296" t="s">
        <v>951</v>
      </c>
      <c r="L77" s="296" t="s">
        <v>952</v>
      </c>
      <c r="M77" s="296" t="s">
        <v>179</v>
      </c>
      <c r="N77" s="296" t="s">
        <v>953</v>
      </c>
      <c r="O77" s="296" t="s">
        <v>954</v>
      </c>
      <c r="P77" s="296" t="s">
        <v>948</v>
      </c>
      <c r="Q77" s="296" t="s">
        <v>183</v>
      </c>
      <c r="R77" s="296" t="s">
        <v>955</v>
      </c>
      <c r="S77" s="296" t="s">
        <v>185</v>
      </c>
      <c r="T77" s="296" t="s">
        <v>185</v>
      </c>
      <c r="U77" s="296" t="s">
        <v>186</v>
      </c>
      <c r="V77" s="296" t="s">
        <v>187</v>
      </c>
      <c r="W77" s="296" t="s">
        <v>188</v>
      </c>
      <c r="X77" s="296" t="s">
        <v>224</v>
      </c>
      <c r="Y77" s="296" t="s">
        <v>183</v>
      </c>
      <c r="Z77" s="296" t="s">
        <v>183</v>
      </c>
      <c r="AA77" s="296" t="s">
        <v>183</v>
      </c>
      <c r="AB77" s="296" t="s">
        <v>183</v>
      </c>
      <c r="AC77" s="296" t="s">
        <v>956</v>
      </c>
      <c r="AD77" s="296" t="s">
        <v>957</v>
      </c>
      <c r="AE77" s="296" t="s">
        <v>192</v>
      </c>
      <c r="AF77" s="296" t="s">
        <v>193</v>
      </c>
      <c r="AG77" s="296">
        <v>0</v>
      </c>
      <c r="AH77" s="298">
        <v>41558</v>
      </c>
      <c r="AJ77" s="296" t="s">
        <v>194</v>
      </c>
      <c r="AK77" s="299">
        <f>COUNTIF($A$3:A$917,A77)</f>
        <v>7</v>
      </c>
    </row>
    <row r="78" spans="1:37" x14ac:dyDescent="0.25">
      <c r="A78" s="296">
        <v>501050591</v>
      </c>
      <c r="B78" s="296" t="s">
        <v>958</v>
      </c>
      <c r="C78" s="296" t="s">
        <v>183</v>
      </c>
      <c r="D78" s="296" t="s">
        <v>183</v>
      </c>
      <c r="E78" s="296" t="s">
        <v>183</v>
      </c>
      <c r="F78" s="296" t="s">
        <v>959</v>
      </c>
      <c r="G78" s="296" t="s">
        <v>959</v>
      </c>
      <c r="H78" s="296" t="s">
        <v>960</v>
      </c>
      <c r="I78" s="296" t="s">
        <v>961</v>
      </c>
      <c r="J78" s="296" t="s">
        <v>962</v>
      </c>
      <c r="K78" s="296" t="s">
        <v>963</v>
      </c>
      <c r="L78" s="296" t="s">
        <v>958</v>
      </c>
      <c r="M78" s="296" t="s">
        <v>179</v>
      </c>
      <c r="N78" s="296" t="s">
        <v>959</v>
      </c>
      <c r="O78" s="296" t="s">
        <v>959</v>
      </c>
      <c r="P78" s="296" t="s">
        <v>960</v>
      </c>
      <c r="Q78" s="296" t="s">
        <v>183</v>
      </c>
      <c r="R78" s="296" t="s">
        <v>964</v>
      </c>
      <c r="S78" s="296" t="s">
        <v>185</v>
      </c>
      <c r="T78" s="296" t="s">
        <v>185</v>
      </c>
      <c r="U78" s="296" t="s">
        <v>186</v>
      </c>
      <c r="V78" s="296" t="s">
        <v>187</v>
      </c>
      <c r="W78" s="296" t="s">
        <v>188</v>
      </c>
      <c r="X78" s="296" t="s">
        <v>189</v>
      </c>
      <c r="Y78" s="296" t="s">
        <v>183</v>
      </c>
      <c r="Z78" s="296" t="s">
        <v>183</v>
      </c>
      <c r="AA78" s="296" t="s">
        <v>183</v>
      </c>
      <c r="AB78" s="296" t="s">
        <v>183</v>
      </c>
      <c r="AC78" s="296" t="s">
        <v>965</v>
      </c>
      <c r="AD78" s="296" t="s">
        <v>966</v>
      </c>
      <c r="AE78" s="296" t="s">
        <v>192</v>
      </c>
      <c r="AF78" s="296" t="s">
        <v>193</v>
      </c>
      <c r="AG78" s="296">
        <v>20038.5</v>
      </c>
      <c r="AH78" s="298">
        <v>38288</v>
      </c>
      <c r="AJ78" s="296" t="s">
        <v>194</v>
      </c>
      <c r="AK78" s="299">
        <f>COUNTIF($A$3:A$917,A78)</f>
        <v>2</v>
      </c>
    </row>
    <row r="79" spans="1:37" x14ac:dyDescent="0.25">
      <c r="A79" s="296">
        <v>3101680765</v>
      </c>
      <c r="B79" s="296" t="s">
        <v>967</v>
      </c>
      <c r="C79" s="296" t="s">
        <v>183</v>
      </c>
      <c r="D79" s="296" t="s">
        <v>183</v>
      </c>
      <c r="E79" s="296" t="s">
        <v>183</v>
      </c>
      <c r="F79" s="296" t="s">
        <v>968</v>
      </c>
      <c r="G79" s="296" t="s">
        <v>969</v>
      </c>
      <c r="H79" s="296" t="s">
        <v>970</v>
      </c>
      <c r="I79" s="296" t="s">
        <v>971</v>
      </c>
      <c r="J79" s="296" t="s">
        <v>972</v>
      </c>
      <c r="K79" s="296" t="s">
        <v>973</v>
      </c>
      <c r="L79" s="296" t="s">
        <v>967</v>
      </c>
      <c r="M79" s="296" t="s">
        <v>179</v>
      </c>
      <c r="N79" s="296" t="s">
        <v>968</v>
      </c>
      <c r="O79" s="296" t="s">
        <v>969</v>
      </c>
      <c r="P79" s="296" t="s">
        <v>970</v>
      </c>
      <c r="Q79" s="296" t="s">
        <v>183</v>
      </c>
      <c r="R79" s="296" t="s">
        <v>974</v>
      </c>
      <c r="S79" s="296" t="s">
        <v>185</v>
      </c>
      <c r="T79" s="296" t="s">
        <v>185</v>
      </c>
      <c r="U79" s="296" t="s">
        <v>186</v>
      </c>
      <c r="V79" s="296" t="s">
        <v>187</v>
      </c>
      <c r="W79" s="296" t="s">
        <v>188</v>
      </c>
      <c r="X79" s="296" t="s">
        <v>224</v>
      </c>
      <c r="Y79" s="296" t="s">
        <v>183</v>
      </c>
      <c r="Z79" s="296" t="s">
        <v>183</v>
      </c>
      <c r="AA79" s="296" t="s">
        <v>183</v>
      </c>
      <c r="AB79" s="296" t="s">
        <v>183</v>
      </c>
      <c r="AC79" s="296" t="s">
        <v>975</v>
      </c>
      <c r="AD79" s="296" t="s">
        <v>976</v>
      </c>
      <c r="AE79" s="296" t="s">
        <v>192</v>
      </c>
      <c r="AF79" s="296" t="s">
        <v>193</v>
      </c>
      <c r="AG79" s="296">
        <v>0</v>
      </c>
      <c r="AH79" s="298">
        <v>43564</v>
      </c>
      <c r="AJ79" s="296" t="s">
        <v>194</v>
      </c>
      <c r="AK79" s="299">
        <f>COUNTIF($A$3:A$917,A79)</f>
        <v>1</v>
      </c>
    </row>
    <row r="80" spans="1:37" x14ac:dyDescent="0.25">
      <c r="A80" s="296">
        <v>3101663223</v>
      </c>
      <c r="B80" s="296" t="s">
        <v>977</v>
      </c>
      <c r="C80" s="296" t="s">
        <v>183</v>
      </c>
      <c r="D80" s="296" t="s">
        <v>183</v>
      </c>
      <c r="E80" s="296" t="s">
        <v>183</v>
      </c>
      <c r="F80" s="296" t="s">
        <v>968</v>
      </c>
      <c r="G80" s="296" t="s">
        <v>969</v>
      </c>
      <c r="H80" s="296" t="s">
        <v>970</v>
      </c>
      <c r="I80" s="296" t="s">
        <v>971</v>
      </c>
      <c r="J80" s="296" t="s">
        <v>978</v>
      </c>
      <c r="K80" s="296" t="s">
        <v>973</v>
      </c>
      <c r="L80" s="296" t="s">
        <v>967</v>
      </c>
      <c r="M80" s="296" t="s">
        <v>179</v>
      </c>
      <c r="N80" s="296" t="s">
        <v>968</v>
      </c>
      <c r="O80" s="296" t="s">
        <v>969</v>
      </c>
      <c r="P80" s="296" t="s">
        <v>970</v>
      </c>
      <c r="Q80" s="296" t="s">
        <v>183</v>
      </c>
      <c r="R80" s="296" t="s">
        <v>974</v>
      </c>
      <c r="S80" s="296" t="s">
        <v>185</v>
      </c>
      <c r="T80" s="296" t="s">
        <v>185</v>
      </c>
      <c r="U80" s="296" t="s">
        <v>186</v>
      </c>
      <c r="V80" s="296" t="s">
        <v>187</v>
      </c>
      <c r="W80" s="296" t="s">
        <v>188</v>
      </c>
      <c r="X80" s="296" t="s">
        <v>224</v>
      </c>
      <c r="Y80" s="296" t="s">
        <v>183</v>
      </c>
      <c r="Z80" s="296" t="s">
        <v>183</v>
      </c>
      <c r="AA80" s="296" t="s">
        <v>183</v>
      </c>
      <c r="AB80" s="296" t="s">
        <v>183</v>
      </c>
      <c r="AC80" s="296" t="s">
        <v>975</v>
      </c>
      <c r="AD80" s="296" t="s">
        <v>979</v>
      </c>
      <c r="AE80" s="296" t="s">
        <v>192</v>
      </c>
      <c r="AF80" s="296" t="s">
        <v>193</v>
      </c>
      <c r="AG80" s="296">
        <v>0</v>
      </c>
      <c r="AH80" s="298">
        <v>41694</v>
      </c>
      <c r="AJ80" s="296" t="s">
        <v>194</v>
      </c>
      <c r="AK80" s="299">
        <f>COUNTIF($A$3:A$917,A80)</f>
        <v>1</v>
      </c>
    </row>
    <row r="81" spans="1:37" x14ac:dyDescent="0.25">
      <c r="A81" s="296">
        <v>3102794886</v>
      </c>
      <c r="B81" s="296" t="s">
        <v>980</v>
      </c>
      <c r="C81" s="296" t="s">
        <v>183</v>
      </c>
      <c r="D81" s="296" t="s">
        <v>183</v>
      </c>
      <c r="E81" s="296" t="s">
        <v>183</v>
      </c>
      <c r="F81" s="296" t="s">
        <v>981</v>
      </c>
      <c r="G81" s="296" t="s">
        <v>982</v>
      </c>
      <c r="H81" s="296" t="s">
        <v>983</v>
      </c>
      <c r="I81" s="296" t="s">
        <v>984</v>
      </c>
      <c r="J81" s="296" t="s">
        <v>985</v>
      </c>
      <c r="K81" s="296" t="s">
        <v>986</v>
      </c>
      <c r="L81" s="296" t="s">
        <v>987</v>
      </c>
      <c r="M81" s="296" t="s">
        <v>179</v>
      </c>
      <c r="N81" s="296" t="s">
        <v>982</v>
      </c>
      <c r="O81" s="296" t="s">
        <v>988</v>
      </c>
      <c r="P81" s="296" t="s">
        <v>983</v>
      </c>
      <c r="Q81" s="296" t="s">
        <v>183</v>
      </c>
      <c r="R81" s="296" t="s">
        <v>989</v>
      </c>
      <c r="S81" s="296" t="s">
        <v>185</v>
      </c>
      <c r="T81" s="296" t="s">
        <v>185</v>
      </c>
      <c r="U81" s="296" t="s">
        <v>186</v>
      </c>
      <c r="V81" s="296" t="s">
        <v>187</v>
      </c>
      <c r="W81" s="296" t="s">
        <v>188</v>
      </c>
      <c r="X81" s="296" t="s">
        <v>189</v>
      </c>
      <c r="Y81" s="296" t="s">
        <v>183</v>
      </c>
      <c r="Z81" s="296" t="s">
        <v>183</v>
      </c>
      <c r="AA81" s="296" t="s">
        <v>183</v>
      </c>
      <c r="AB81" s="296" t="s">
        <v>183</v>
      </c>
      <c r="AC81" s="296" t="s">
        <v>990</v>
      </c>
      <c r="AD81" s="296" t="s">
        <v>991</v>
      </c>
      <c r="AE81" s="296" t="s">
        <v>192</v>
      </c>
      <c r="AF81" s="296" t="s">
        <v>193</v>
      </c>
      <c r="AG81" s="296">
        <v>0</v>
      </c>
      <c r="AH81" s="298">
        <v>44320</v>
      </c>
      <c r="AJ81" s="296" t="s">
        <v>194</v>
      </c>
      <c r="AK81" s="299">
        <f>COUNTIF($A$3:A$917,A81)</f>
        <v>3</v>
      </c>
    </row>
    <row r="82" spans="1:37" x14ac:dyDescent="0.25">
      <c r="A82" s="296">
        <v>3101665793</v>
      </c>
      <c r="B82" s="296" t="s">
        <v>945</v>
      </c>
      <c r="C82" s="296" t="s">
        <v>183</v>
      </c>
      <c r="D82" s="296" t="s">
        <v>183</v>
      </c>
      <c r="E82" s="296" t="s">
        <v>183</v>
      </c>
      <c r="F82" s="296" t="s">
        <v>946</v>
      </c>
      <c r="G82" s="296" t="s">
        <v>947</v>
      </c>
      <c r="H82" s="296" t="s">
        <v>948</v>
      </c>
      <c r="I82" s="296" t="s">
        <v>984</v>
      </c>
      <c r="J82" s="296" t="s">
        <v>992</v>
      </c>
      <c r="K82" s="296" t="s">
        <v>951</v>
      </c>
      <c r="L82" s="296" t="s">
        <v>952</v>
      </c>
      <c r="M82" s="296" t="s">
        <v>179</v>
      </c>
      <c r="N82" s="296" t="s">
        <v>953</v>
      </c>
      <c r="O82" s="296" t="s">
        <v>954</v>
      </c>
      <c r="P82" s="296" t="s">
        <v>948</v>
      </c>
      <c r="Q82" s="296" t="s">
        <v>183</v>
      </c>
      <c r="R82" s="296" t="s">
        <v>955</v>
      </c>
      <c r="S82" s="296" t="s">
        <v>185</v>
      </c>
      <c r="T82" s="296" t="s">
        <v>185</v>
      </c>
      <c r="U82" s="296" t="s">
        <v>186</v>
      </c>
      <c r="V82" s="296" t="s">
        <v>187</v>
      </c>
      <c r="W82" s="296" t="s">
        <v>188</v>
      </c>
      <c r="X82" s="296" t="s">
        <v>224</v>
      </c>
      <c r="Y82" s="296" t="s">
        <v>183</v>
      </c>
      <c r="Z82" s="296" t="s">
        <v>183</v>
      </c>
      <c r="AA82" s="296" t="s">
        <v>183</v>
      </c>
      <c r="AB82" s="296" t="s">
        <v>183</v>
      </c>
      <c r="AC82" s="296" t="s">
        <v>956</v>
      </c>
      <c r="AD82" s="296" t="s">
        <v>993</v>
      </c>
      <c r="AE82" s="296" t="s">
        <v>192</v>
      </c>
      <c r="AF82" s="296" t="s">
        <v>193</v>
      </c>
      <c r="AG82" s="296">
        <v>0</v>
      </c>
      <c r="AH82" s="298">
        <v>44127</v>
      </c>
      <c r="AJ82" s="296" t="s">
        <v>194</v>
      </c>
      <c r="AK82" s="299">
        <f>COUNTIF($A$3:A$917,A82)</f>
        <v>7</v>
      </c>
    </row>
    <row r="83" spans="1:37" x14ac:dyDescent="0.25">
      <c r="A83" s="296">
        <v>503290690</v>
      </c>
      <c r="B83" s="296" t="s">
        <v>994</v>
      </c>
      <c r="C83" s="296" t="s">
        <v>183</v>
      </c>
      <c r="D83" s="296" t="s">
        <v>183</v>
      </c>
      <c r="E83" s="296" t="s">
        <v>183</v>
      </c>
      <c r="F83" s="296" t="s">
        <v>995</v>
      </c>
      <c r="G83" s="296" t="s">
        <v>995</v>
      </c>
      <c r="H83" s="296" t="s">
        <v>996</v>
      </c>
      <c r="I83" s="296" t="s">
        <v>997</v>
      </c>
      <c r="J83" s="296" t="s">
        <v>998</v>
      </c>
      <c r="K83" s="296" t="s">
        <v>999</v>
      </c>
      <c r="L83" s="296" t="s">
        <v>340</v>
      </c>
      <c r="M83" s="296" t="s">
        <v>179</v>
      </c>
      <c r="N83" s="296" t="s">
        <v>341</v>
      </c>
      <c r="O83" s="296" t="s">
        <v>342</v>
      </c>
      <c r="P83" s="296" t="s">
        <v>343</v>
      </c>
      <c r="Q83" s="296" t="s">
        <v>183</v>
      </c>
      <c r="R83" s="296" t="s">
        <v>1000</v>
      </c>
      <c r="S83" s="296" t="s">
        <v>185</v>
      </c>
      <c r="T83" s="296" t="s">
        <v>185</v>
      </c>
      <c r="U83" s="296" t="s">
        <v>186</v>
      </c>
      <c r="V83" s="296" t="s">
        <v>187</v>
      </c>
      <c r="W83" s="296" t="s">
        <v>188</v>
      </c>
      <c r="X83" s="296" t="s">
        <v>246</v>
      </c>
      <c r="Y83" s="296" t="s">
        <v>183</v>
      </c>
      <c r="Z83" s="296" t="s">
        <v>183</v>
      </c>
      <c r="AA83" s="296" t="s">
        <v>183</v>
      </c>
      <c r="AB83" s="296" t="s">
        <v>183</v>
      </c>
      <c r="AC83" s="296" t="s">
        <v>1001</v>
      </c>
      <c r="AD83" s="296" t="s">
        <v>1002</v>
      </c>
      <c r="AE83" s="296" t="s">
        <v>192</v>
      </c>
      <c r="AF83" s="296" t="s">
        <v>193</v>
      </c>
      <c r="AG83" s="296">
        <v>0</v>
      </c>
      <c r="AH83" s="298">
        <v>45348</v>
      </c>
      <c r="AJ83" s="296" t="s">
        <v>194</v>
      </c>
      <c r="AK83" s="299">
        <f>COUNTIF($A$3:A$917,A83)</f>
        <v>2</v>
      </c>
    </row>
    <row r="84" spans="1:37" x14ac:dyDescent="0.25">
      <c r="A84" s="296">
        <v>3002056564</v>
      </c>
      <c r="B84" s="296" t="s">
        <v>1003</v>
      </c>
      <c r="C84" s="296" t="s">
        <v>1004</v>
      </c>
      <c r="D84" s="296" t="s">
        <v>1005</v>
      </c>
      <c r="E84" s="296" t="s">
        <v>172</v>
      </c>
      <c r="F84" s="296" t="s">
        <v>1006</v>
      </c>
      <c r="G84" s="296" t="s">
        <v>278</v>
      </c>
      <c r="H84" s="296" t="s">
        <v>1007</v>
      </c>
      <c r="I84" s="296" t="s">
        <v>997</v>
      </c>
      <c r="J84" s="296" t="s">
        <v>1008</v>
      </c>
      <c r="K84" s="296" t="s">
        <v>1009</v>
      </c>
      <c r="L84" s="296" t="s">
        <v>1003</v>
      </c>
      <c r="M84" s="296" t="s">
        <v>179</v>
      </c>
      <c r="N84" s="296" t="s">
        <v>1006</v>
      </c>
      <c r="O84" s="296" t="s">
        <v>1010</v>
      </c>
      <c r="P84" s="296" t="s">
        <v>1011</v>
      </c>
      <c r="Q84" s="296" t="s">
        <v>183</v>
      </c>
      <c r="R84" s="296" t="s">
        <v>1012</v>
      </c>
      <c r="S84" s="296" t="s">
        <v>185</v>
      </c>
      <c r="T84" s="296" t="s">
        <v>185</v>
      </c>
      <c r="U84" s="296" t="s">
        <v>186</v>
      </c>
      <c r="V84" s="296" t="s">
        <v>187</v>
      </c>
      <c r="W84" s="296" t="s">
        <v>188</v>
      </c>
      <c r="X84" s="296" t="s">
        <v>189</v>
      </c>
      <c r="Y84" s="296" t="s">
        <v>183</v>
      </c>
      <c r="Z84" s="296" t="s">
        <v>183</v>
      </c>
      <c r="AA84" s="296" t="s">
        <v>183</v>
      </c>
      <c r="AB84" s="296" t="s">
        <v>183</v>
      </c>
      <c r="AC84" s="296" t="s">
        <v>1013</v>
      </c>
      <c r="AD84" s="296" t="s">
        <v>1014</v>
      </c>
      <c r="AE84" s="296" t="s">
        <v>192</v>
      </c>
      <c r="AF84" s="296" t="s">
        <v>193</v>
      </c>
      <c r="AG84" s="296">
        <v>14146.2</v>
      </c>
      <c r="AH84" s="298">
        <v>44047</v>
      </c>
      <c r="AJ84" s="296" t="s">
        <v>194</v>
      </c>
      <c r="AK84" s="299">
        <f>COUNTIF($A$3:A$917,A84)</f>
        <v>4</v>
      </c>
    </row>
    <row r="85" spans="1:37" x14ac:dyDescent="0.25">
      <c r="A85" s="296">
        <v>501940659</v>
      </c>
      <c r="B85" s="296" t="s">
        <v>1015</v>
      </c>
      <c r="C85" s="296" t="s">
        <v>183</v>
      </c>
      <c r="D85" s="296" t="s">
        <v>183</v>
      </c>
      <c r="E85" s="296" t="s">
        <v>183</v>
      </c>
      <c r="F85" s="296" t="s">
        <v>1016</v>
      </c>
      <c r="G85" s="296" t="s">
        <v>1016</v>
      </c>
      <c r="H85" s="296" t="s">
        <v>1017</v>
      </c>
      <c r="I85" s="296" t="s">
        <v>997</v>
      </c>
      <c r="J85" s="296" t="s">
        <v>1018</v>
      </c>
      <c r="K85" s="296" t="s">
        <v>1019</v>
      </c>
      <c r="L85" s="296" t="s">
        <v>1015</v>
      </c>
      <c r="M85" s="296" t="s">
        <v>179</v>
      </c>
      <c r="N85" s="296" t="s">
        <v>1016</v>
      </c>
      <c r="O85" s="296" t="s">
        <v>1016</v>
      </c>
      <c r="P85" s="296" t="s">
        <v>1017</v>
      </c>
      <c r="Q85" s="296" t="s">
        <v>183</v>
      </c>
      <c r="R85" s="296" t="s">
        <v>1020</v>
      </c>
      <c r="S85" s="296" t="s">
        <v>185</v>
      </c>
      <c r="T85" s="296" t="s">
        <v>185</v>
      </c>
      <c r="U85" s="296" t="s">
        <v>186</v>
      </c>
      <c r="V85" s="296" t="s">
        <v>187</v>
      </c>
      <c r="W85" s="296" t="s">
        <v>188</v>
      </c>
      <c r="X85" s="296" t="s">
        <v>308</v>
      </c>
      <c r="Y85" s="296" t="s">
        <v>183</v>
      </c>
      <c r="Z85" s="296" t="s">
        <v>183</v>
      </c>
      <c r="AA85" s="296" t="s">
        <v>183</v>
      </c>
      <c r="AB85" s="296" t="s">
        <v>183</v>
      </c>
      <c r="AC85" s="296" t="s">
        <v>1021</v>
      </c>
      <c r="AD85" s="296" t="s">
        <v>1022</v>
      </c>
      <c r="AE85" s="296" t="s">
        <v>192</v>
      </c>
      <c r="AF85" s="296" t="s">
        <v>193</v>
      </c>
      <c r="AG85" s="296">
        <v>14089.75</v>
      </c>
      <c r="AH85" s="298">
        <v>38405</v>
      </c>
      <c r="AJ85" s="296" t="s">
        <v>194</v>
      </c>
      <c r="AK85" s="299">
        <f>COUNTIF($A$3:A$917,A85)</f>
        <v>2</v>
      </c>
    </row>
    <row r="86" spans="1:37" x14ac:dyDescent="0.25">
      <c r="A86" s="296">
        <v>501810885</v>
      </c>
      <c r="B86" s="296" t="s">
        <v>1023</v>
      </c>
      <c r="C86" s="296" t="s">
        <v>183</v>
      </c>
      <c r="D86" s="296" t="s">
        <v>183</v>
      </c>
      <c r="E86" s="296" t="s">
        <v>183</v>
      </c>
      <c r="F86" s="296" t="s">
        <v>1024</v>
      </c>
      <c r="G86" s="296" t="s">
        <v>183</v>
      </c>
      <c r="H86" s="296" t="s">
        <v>1025</v>
      </c>
      <c r="I86" s="296" t="s">
        <v>997</v>
      </c>
      <c r="J86" s="296" t="s">
        <v>1026</v>
      </c>
      <c r="K86" s="296" t="s">
        <v>1027</v>
      </c>
      <c r="L86" s="296" t="s">
        <v>1028</v>
      </c>
      <c r="M86" s="296" t="s">
        <v>179</v>
      </c>
      <c r="N86" s="296" t="s">
        <v>1024</v>
      </c>
      <c r="O86" s="296" t="s">
        <v>278</v>
      </c>
      <c r="P86" s="296" t="s">
        <v>1029</v>
      </c>
      <c r="Q86" s="296" t="s">
        <v>183</v>
      </c>
      <c r="R86" s="296" t="s">
        <v>1030</v>
      </c>
      <c r="S86" s="296" t="s">
        <v>185</v>
      </c>
      <c r="T86" s="296" t="s">
        <v>185</v>
      </c>
      <c r="U86" s="296" t="s">
        <v>186</v>
      </c>
      <c r="V86" s="296" t="s">
        <v>187</v>
      </c>
      <c r="W86" s="296" t="s">
        <v>188</v>
      </c>
      <c r="X86" s="296" t="s">
        <v>404</v>
      </c>
      <c r="Y86" s="296" t="s">
        <v>183</v>
      </c>
      <c r="Z86" s="296" t="s">
        <v>183</v>
      </c>
      <c r="AA86" s="296" t="s">
        <v>183</v>
      </c>
      <c r="AB86" s="296" t="s">
        <v>183</v>
      </c>
      <c r="AC86" s="296" t="s">
        <v>1031</v>
      </c>
      <c r="AD86" s="296" t="s">
        <v>1032</v>
      </c>
      <c r="AE86" s="296" t="s">
        <v>192</v>
      </c>
      <c r="AF86" s="296" t="s">
        <v>193</v>
      </c>
      <c r="AG86" s="296">
        <v>0</v>
      </c>
      <c r="AH86" s="298">
        <v>42037</v>
      </c>
      <c r="AJ86" s="296" t="s">
        <v>194</v>
      </c>
      <c r="AK86" s="299">
        <f>COUNTIF($A$3:A$917,A86)</f>
        <v>2</v>
      </c>
    </row>
    <row r="87" spans="1:37" x14ac:dyDescent="0.25">
      <c r="A87" s="296">
        <v>207700340</v>
      </c>
      <c r="B87" s="296" t="s">
        <v>1033</v>
      </c>
      <c r="C87" s="296" t="s">
        <v>183</v>
      </c>
      <c r="D87" s="296" t="s">
        <v>183</v>
      </c>
      <c r="E87" s="296" t="s">
        <v>183</v>
      </c>
      <c r="F87" s="296" t="s">
        <v>1034</v>
      </c>
      <c r="G87" s="296" t="s">
        <v>1034</v>
      </c>
      <c r="H87" s="296" t="s">
        <v>1035</v>
      </c>
      <c r="I87" s="296" t="s">
        <v>997</v>
      </c>
      <c r="J87" s="296" t="s">
        <v>1036</v>
      </c>
      <c r="K87" s="296" t="s">
        <v>1037</v>
      </c>
      <c r="L87" s="296" t="s">
        <v>1038</v>
      </c>
      <c r="M87" s="296" t="s">
        <v>179</v>
      </c>
      <c r="N87" s="296" t="s">
        <v>1034</v>
      </c>
      <c r="O87" s="296" t="s">
        <v>1034</v>
      </c>
      <c r="P87" s="296" t="s">
        <v>1039</v>
      </c>
      <c r="Q87" s="296" t="s">
        <v>183</v>
      </c>
      <c r="R87" s="296" t="s">
        <v>1040</v>
      </c>
      <c r="S87" s="296" t="s">
        <v>1041</v>
      </c>
      <c r="T87" s="296" t="s">
        <v>185</v>
      </c>
      <c r="U87" s="296" t="s">
        <v>186</v>
      </c>
      <c r="V87" s="296" t="s">
        <v>187</v>
      </c>
      <c r="W87" s="296" t="s">
        <v>188</v>
      </c>
      <c r="X87" s="296" t="s">
        <v>256</v>
      </c>
      <c r="Y87" s="296" t="s">
        <v>183</v>
      </c>
      <c r="Z87" s="296" t="s">
        <v>183</v>
      </c>
      <c r="AA87" s="296" t="s">
        <v>183</v>
      </c>
      <c r="AB87" s="296" t="s">
        <v>183</v>
      </c>
      <c r="AC87" s="296" t="s">
        <v>1042</v>
      </c>
      <c r="AD87" s="296" t="s">
        <v>1043</v>
      </c>
      <c r="AE87" s="296" t="s">
        <v>192</v>
      </c>
      <c r="AF87" s="296" t="s">
        <v>193</v>
      </c>
      <c r="AG87" s="296">
        <v>0</v>
      </c>
      <c r="AH87" s="298">
        <v>45903</v>
      </c>
      <c r="AJ87" s="296" t="s">
        <v>194</v>
      </c>
      <c r="AK87" s="299">
        <f>COUNTIF($A$3:A$917,A87)</f>
        <v>3</v>
      </c>
    </row>
    <row r="88" spans="1:37" x14ac:dyDescent="0.25">
      <c r="A88" s="296">
        <v>3101781324</v>
      </c>
      <c r="B88" s="296" t="s">
        <v>1044</v>
      </c>
      <c r="C88" s="296" t="s">
        <v>183</v>
      </c>
      <c r="D88" s="296" t="s">
        <v>183</v>
      </c>
      <c r="E88" s="296" t="s">
        <v>183</v>
      </c>
      <c r="F88" s="296" t="s">
        <v>1045</v>
      </c>
      <c r="G88" s="296" t="s">
        <v>1045</v>
      </c>
      <c r="H88" s="296" t="s">
        <v>1046</v>
      </c>
      <c r="I88" s="296" t="s">
        <v>997</v>
      </c>
      <c r="J88" s="296" t="s">
        <v>1047</v>
      </c>
      <c r="K88" s="296" t="s">
        <v>1048</v>
      </c>
      <c r="L88" s="296" t="s">
        <v>1049</v>
      </c>
      <c r="M88" s="296" t="s">
        <v>179</v>
      </c>
      <c r="N88" s="296" t="s">
        <v>1050</v>
      </c>
      <c r="O88" s="296" t="s">
        <v>278</v>
      </c>
      <c r="P88" s="296" t="s">
        <v>183</v>
      </c>
      <c r="Q88" s="296" t="s">
        <v>183</v>
      </c>
      <c r="R88" s="296" t="s">
        <v>1051</v>
      </c>
      <c r="S88" s="296" t="s">
        <v>185</v>
      </c>
      <c r="T88" s="296" t="s">
        <v>185</v>
      </c>
      <c r="U88" s="296" t="s">
        <v>186</v>
      </c>
      <c r="V88" s="296" t="s">
        <v>187</v>
      </c>
      <c r="W88" s="296" t="s">
        <v>188</v>
      </c>
      <c r="X88" s="296" t="s">
        <v>189</v>
      </c>
      <c r="Y88" s="296" t="s">
        <v>183</v>
      </c>
      <c r="Z88" s="296" t="s">
        <v>183</v>
      </c>
      <c r="AA88" s="296" t="s">
        <v>183</v>
      </c>
      <c r="AB88" s="296" t="s">
        <v>183</v>
      </c>
      <c r="AC88" s="296" t="s">
        <v>1052</v>
      </c>
      <c r="AD88" s="296" t="s">
        <v>1053</v>
      </c>
      <c r="AE88" s="296" t="s">
        <v>192</v>
      </c>
      <c r="AF88" s="296" t="s">
        <v>193</v>
      </c>
      <c r="AG88" s="296">
        <v>0</v>
      </c>
      <c r="AH88" s="298">
        <v>45188</v>
      </c>
      <c r="AJ88" s="296" t="s">
        <v>194</v>
      </c>
      <c r="AK88" s="299">
        <f>COUNTIF($A$3:A$917,A88)</f>
        <v>3</v>
      </c>
    </row>
    <row r="89" spans="1:37" x14ac:dyDescent="0.25">
      <c r="A89" s="296">
        <v>3102922559</v>
      </c>
      <c r="B89" s="296" t="s">
        <v>1054</v>
      </c>
      <c r="C89" s="296" t="s">
        <v>1055</v>
      </c>
      <c r="D89" s="296" t="s">
        <v>1056</v>
      </c>
      <c r="E89" s="296" t="s">
        <v>1057</v>
      </c>
      <c r="F89" s="296" t="s">
        <v>1058</v>
      </c>
      <c r="G89" s="296" t="s">
        <v>278</v>
      </c>
      <c r="H89" s="296" t="s">
        <v>1059</v>
      </c>
      <c r="I89" s="296" t="s">
        <v>997</v>
      </c>
      <c r="J89" s="296" t="s">
        <v>1060</v>
      </c>
      <c r="K89" s="296" t="s">
        <v>1061</v>
      </c>
      <c r="L89" s="296" t="s">
        <v>1062</v>
      </c>
      <c r="M89" s="296" t="s">
        <v>179</v>
      </c>
      <c r="N89" s="296" t="s">
        <v>1063</v>
      </c>
      <c r="O89" s="296" t="s">
        <v>1064</v>
      </c>
      <c r="P89" s="296" t="s">
        <v>1065</v>
      </c>
      <c r="Q89" s="296" t="s">
        <v>183</v>
      </c>
      <c r="R89" s="296" t="s">
        <v>1066</v>
      </c>
      <c r="S89" s="296" t="s">
        <v>185</v>
      </c>
      <c r="T89" s="296" t="s">
        <v>185</v>
      </c>
      <c r="U89" s="296" t="s">
        <v>186</v>
      </c>
      <c r="V89" s="296" t="s">
        <v>187</v>
      </c>
      <c r="W89" s="296" t="s">
        <v>188</v>
      </c>
      <c r="X89" s="296" t="s">
        <v>256</v>
      </c>
      <c r="Y89" s="296" t="s">
        <v>183</v>
      </c>
      <c r="Z89" s="296" t="s">
        <v>183</v>
      </c>
      <c r="AA89" s="296" t="s">
        <v>183</v>
      </c>
      <c r="AB89" s="296" t="s">
        <v>183</v>
      </c>
      <c r="AC89" s="296" t="s">
        <v>1067</v>
      </c>
      <c r="AD89" s="296" t="s">
        <v>1068</v>
      </c>
      <c r="AE89" s="296" t="s">
        <v>192</v>
      </c>
      <c r="AF89" s="296" t="s">
        <v>193</v>
      </c>
      <c r="AG89" s="296">
        <v>0</v>
      </c>
      <c r="AH89" s="298">
        <v>45741</v>
      </c>
      <c r="AJ89" s="296" t="s">
        <v>194</v>
      </c>
      <c r="AK89" s="299">
        <f>COUNTIF($A$3:A$917,A89)</f>
        <v>2</v>
      </c>
    </row>
    <row r="90" spans="1:37" x14ac:dyDescent="0.25">
      <c r="A90" s="296">
        <v>501900100</v>
      </c>
      <c r="B90" s="296" t="s">
        <v>1069</v>
      </c>
      <c r="C90" s="296" t="s">
        <v>183</v>
      </c>
      <c r="D90" s="296" t="s">
        <v>183</v>
      </c>
      <c r="E90" s="296" t="s">
        <v>183</v>
      </c>
      <c r="F90" s="296" t="s">
        <v>1070</v>
      </c>
      <c r="G90" s="296" t="s">
        <v>183</v>
      </c>
      <c r="H90" s="296" t="s">
        <v>1071</v>
      </c>
      <c r="I90" s="296" t="s">
        <v>997</v>
      </c>
      <c r="J90" s="296" t="s">
        <v>1072</v>
      </c>
      <c r="K90" s="296" t="s">
        <v>1073</v>
      </c>
      <c r="L90" s="296" t="s">
        <v>1074</v>
      </c>
      <c r="M90" s="296" t="s">
        <v>179</v>
      </c>
      <c r="N90" s="296" t="s">
        <v>1075</v>
      </c>
      <c r="O90" s="296" t="s">
        <v>183</v>
      </c>
      <c r="P90" s="296" t="s">
        <v>1076</v>
      </c>
      <c r="Q90" s="296" t="s">
        <v>183</v>
      </c>
      <c r="R90" s="296" t="s">
        <v>1077</v>
      </c>
      <c r="S90" s="296" t="s">
        <v>1041</v>
      </c>
      <c r="T90" s="296" t="s">
        <v>185</v>
      </c>
      <c r="U90" s="296" t="s">
        <v>186</v>
      </c>
      <c r="V90" s="296" t="s">
        <v>187</v>
      </c>
      <c r="W90" s="296" t="s">
        <v>188</v>
      </c>
      <c r="X90" s="296" t="s">
        <v>308</v>
      </c>
      <c r="Y90" s="296" t="s">
        <v>183</v>
      </c>
      <c r="Z90" s="296" t="s">
        <v>183</v>
      </c>
      <c r="AA90" s="296" t="s">
        <v>183</v>
      </c>
      <c r="AB90" s="296" t="s">
        <v>183</v>
      </c>
      <c r="AC90" s="296" t="s">
        <v>1078</v>
      </c>
      <c r="AD90" s="296" t="s">
        <v>1079</v>
      </c>
      <c r="AE90" s="296" t="s">
        <v>192</v>
      </c>
      <c r="AF90" s="296" t="s">
        <v>193</v>
      </c>
      <c r="AG90" s="296">
        <v>11986</v>
      </c>
      <c r="AH90" s="298">
        <v>44251</v>
      </c>
      <c r="AJ90" s="296" t="s">
        <v>194</v>
      </c>
      <c r="AK90" s="299">
        <f>COUNTIF($A$3:A$917,A90)</f>
        <v>2</v>
      </c>
    </row>
    <row r="91" spans="1:37" x14ac:dyDescent="0.25">
      <c r="A91" s="296">
        <v>501580715</v>
      </c>
      <c r="B91" s="296" t="s">
        <v>1080</v>
      </c>
      <c r="C91" s="296" t="s">
        <v>183</v>
      </c>
      <c r="D91" s="296" t="s">
        <v>183</v>
      </c>
      <c r="E91" s="296" t="s">
        <v>183</v>
      </c>
      <c r="F91" s="296" t="s">
        <v>1081</v>
      </c>
      <c r="G91" s="296" t="s">
        <v>1082</v>
      </c>
      <c r="H91" s="296" t="s">
        <v>1083</v>
      </c>
      <c r="I91" s="296" t="s">
        <v>997</v>
      </c>
      <c r="J91" s="296" t="s">
        <v>1084</v>
      </c>
      <c r="K91" s="296" t="s">
        <v>1085</v>
      </c>
      <c r="L91" s="296" t="s">
        <v>1086</v>
      </c>
      <c r="M91" s="296" t="s">
        <v>179</v>
      </c>
      <c r="N91" s="296" t="s">
        <v>1087</v>
      </c>
      <c r="O91" s="296" t="s">
        <v>1088</v>
      </c>
      <c r="P91" s="296" t="s">
        <v>1089</v>
      </c>
      <c r="Q91" s="296" t="s">
        <v>183</v>
      </c>
      <c r="R91" s="296" t="s">
        <v>1090</v>
      </c>
      <c r="S91" s="296" t="s">
        <v>185</v>
      </c>
      <c r="T91" s="296" t="s">
        <v>185</v>
      </c>
      <c r="U91" s="296" t="s">
        <v>186</v>
      </c>
      <c r="V91" s="296" t="s">
        <v>187</v>
      </c>
      <c r="W91" s="296" t="s">
        <v>188</v>
      </c>
      <c r="X91" s="296" t="s">
        <v>189</v>
      </c>
      <c r="Y91" s="296" t="s">
        <v>183</v>
      </c>
      <c r="Z91" s="296" t="s">
        <v>183</v>
      </c>
      <c r="AA91" s="296" t="s">
        <v>183</v>
      </c>
      <c r="AB91" s="296" t="s">
        <v>183</v>
      </c>
      <c r="AC91" s="296" t="s">
        <v>1091</v>
      </c>
      <c r="AD91" s="296" t="s">
        <v>1092</v>
      </c>
      <c r="AE91" s="296" t="s">
        <v>192</v>
      </c>
      <c r="AF91" s="296" t="s">
        <v>193</v>
      </c>
      <c r="AG91" s="296">
        <v>0</v>
      </c>
      <c r="AH91" s="298">
        <v>44833</v>
      </c>
      <c r="AJ91" s="296" t="s">
        <v>194</v>
      </c>
      <c r="AK91" s="299">
        <f>COUNTIF($A$3:A$917,A91)</f>
        <v>2</v>
      </c>
    </row>
    <row r="92" spans="1:37" x14ac:dyDescent="0.25">
      <c r="A92" s="296">
        <v>208530874</v>
      </c>
      <c r="B92" s="296" t="s">
        <v>1093</v>
      </c>
      <c r="C92" s="296" t="s">
        <v>183</v>
      </c>
      <c r="D92" s="296" t="s">
        <v>183</v>
      </c>
      <c r="E92" s="296" t="s">
        <v>183</v>
      </c>
      <c r="F92" s="296" t="s">
        <v>1094</v>
      </c>
      <c r="G92" s="296" t="s">
        <v>1094</v>
      </c>
      <c r="H92" s="296" t="s">
        <v>1095</v>
      </c>
      <c r="I92" s="296" t="s">
        <v>997</v>
      </c>
      <c r="J92" s="296" t="s">
        <v>1096</v>
      </c>
      <c r="K92" s="296" t="s">
        <v>1097</v>
      </c>
      <c r="L92" s="296" t="s">
        <v>1098</v>
      </c>
      <c r="M92" s="296" t="s">
        <v>179</v>
      </c>
      <c r="N92" s="296" t="s">
        <v>1099</v>
      </c>
      <c r="O92" s="296" t="s">
        <v>1100</v>
      </c>
      <c r="P92" s="296" t="s">
        <v>1101</v>
      </c>
      <c r="Q92" s="296" t="s">
        <v>183</v>
      </c>
      <c r="R92" s="296" t="s">
        <v>1102</v>
      </c>
      <c r="S92" s="296" t="s">
        <v>185</v>
      </c>
      <c r="T92" s="296" t="s">
        <v>185</v>
      </c>
      <c r="U92" s="296" t="s">
        <v>186</v>
      </c>
      <c r="V92" s="296" t="s">
        <v>187</v>
      </c>
      <c r="W92" s="296" t="s">
        <v>188</v>
      </c>
      <c r="X92" s="296" t="s">
        <v>573</v>
      </c>
      <c r="Y92" s="296" t="s">
        <v>183</v>
      </c>
      <c r="Z92" s="296" t="s">
        <v>183</v>
      </c>
      <c r="AA92" s="296" t="s">
        <v>183</v>
      </c>
      <c r="AB92" s="296" t="s">
        <v>183</v>
      </c>
      <c r="AC92" s="296" t="s">
        <v>1103</v>
      </c>
      <c r="AD92" s="296" t="s">
        <v>1104</v>
      </c>
      <c r="AE92" s="296" t="s">
        <v>192</v>
      </c>
      <c r="AF92" s="296" t="s">
        <v>193</v>
      </c>
      <c r="AG92" s="296">
        <v>0</v>
      </c>
      <c r="AH92" s="298">
        <v>45861</v>
      </c>
      <c r="AJ92" s="296" t="s">
        <v>194</v>
      </c>
      <c r="AK92" s="299">
        <f>COUNTIF($A$3:A$917,A92)</f>
        <v>2</v>
      </c>
    </row>
    <row r="93" spans="1:37" x14ac:dyDescent="0.25">
      <c r="A93" s="296">
        <v>502280708</v>
      </c>
      <c r="B93" s="296" t="s">
        <v>1105</v>
      </c>
      <c r="C93" s="296" t="s">
        <v>183</v>
      </c>
      <c r="D93" s="296" t="s">
        <v>183</v>
      </c>
      <c r="E93" s="296" t="s">
        <v>183</v>
      </c>
      <c r="F93" s="296" t="s">
        <v>1106</v>
      </c>
      <c r="G93" s="296" t="s">
        <v>183</v>
      </c>
      <c r="H93" s="296" t="s">
        <v>1107</v>
      </c>
      <c r="I93" s="296" t="s">
        <v>997</v>
      </c>
      <c r="J93" s="296" t="s">
        <v>1108</v>
      </c>
      <c r="K93" s="296" t="s">
        <v>1109</v>
      </c>
      <c r="L93" s="296" t="s">
        <v>1110</v>
      </c>
      <c r="M93" s="296" t="s">
        <v>179</v>
      </c>
      <c r="N93" s="296" t="s">
        <v>1111</v>
      </c>
      <c r="O93" s="296" t="s">
        <v>278</v>
      </c>
      <c r="P93" s="296" t="s">
        <v>1112</v>
      </c>
      <c r="Q93" s="296" t="s">
        <v>183</v>
      </c>
      <c r="R93" s="296" t="s">
        <v>1113</v>
      </c>
      <c r="S93" s="296" t="s">
        <v>185</v>
      </c>
      <c r="T93" s="296" t="s">
        <v>185</v>
      </c>
      <c r="U93" s="296" t="s">
        <v>186</v>
      </c>
      <c r="V93" s="296" t="s">
        <v>187</v>
      </c>
      <c r="W93" s="296" t="s">
        <v>188</v>
      </c>
      <c r="X93" s="296" t="s">
        <v>308</v>
      </c>
      <c r="Y93" s="296" t="s">
        <v>183</v>
      </c>
      <c r="Z93" s="296" t="s">
        <v>183</v>
      </c>
      <c r="AA93" s="296" t="s">
        <v>183</v>
      </c>
      <c r="AB93" s="296" t="s">
        <v>183</v>
      </c>
      <c r="AC93" s="296" t="s">
        <v>1114</v>
      </c>
      <c r="AD93" s="296" t="s">
        <v>1115</v>
      </c>
      <c r="AE93" s="296" t="s">
        <v>192</v>
      </c>
      <c r="AF93" s="296" t="s">
        <v>193</v>
      </c>
      <c r="AG93" s="296">
        <v>0</v>
      </c>
      <c r="AH93" s="298">
        <v>44909</v>
      </c>
      <c r="AJ93" s="296" t="s">
        <v>194</v>
      </c>
      <c r="AK93" s="299">
        <f>COUNTIF($A$3:A$917,A93)</f>
        <v>3</v>
      </c>
    </row>
    <row r="94" spans="1:37" x14ac:dyDescent="0.25">
      <c r="A94" s="296">
        <v>503560655</v>
      </c>
      <c r="B94" s="296" t="s">
        <v>1116</v>
      </c>
      <c r="C94" s="296" t="s">
        <v>183</v>
      </c>
      <c r="D94" s="296" t="s">
        <v>183</v>
      </c>
      <c r="E94" s="296" t="s">
        <v>183</v>
      </c>
      <c r="F94" s="296" t="s">
        <v>1117</v>
      </c>
      <c r="G94" s="296" t="s">
        <v>183</v>
      </c>
      <c r="H94" s="296" t="s">
        <v>1118</v>
      </c>
      <c r="I94" s="296" t="s">
        <v>997</v>
      </c>
      <c r="J94" s="296" t="s">
        <v>1119</v>
      </c>
      <c r="K94" s="296" t="s">
        <v>1120</v>
      </c>
      <c r="L94" s="296" t="s">
        <v>1121</v>
      </c>
      <c r="M94" s="296" t="s">
        <v>179</v>
      </c>
      <c r="N94" s="296" t="s">
        <v>1122</v>
      </c>
      <c r="O94" s="296" t="s">
        <v>1122</v>
      </c>
      <c r="P94" s="296" t="s">
        <v>1123</v>
      </c>
      <c r="Q94" s="296" t="s">
        <v>183</v>
      </c>
      <c r="R94" s="296" t="s">
        <v>1124</v>
      </c>
      <c r="S94" s="296" t="s">
        <v>185</v>
      </c>
      <c r="T94" s="296" t="s">
        <v>185</v>
      </c>
      <c r="U94" s="296" t="s">
        <v>186</v>
      </c>
      <c r="V94" s="296" t="s">
        <v>187</v>
      </c>
      <c r="W94" s="296" t="s">
        <v>188</v>
      </c>
      <c r="X94" s="296" t="s">
        <v>224</v>
      </c>
      <c r="Y94" s="296" t="s">
        <v>183</v>
      </c>
      <c r="Z94" s="296" t="s">
        <v>183</v>
      </c>
      <c r="AA94" s="296" t="s">
        <v>183</v>
      </c>
      <c r="AB94" s="296" t="s">
        <v>183</v>
      </c>
      <c r="AC94" s="296" t="s">
        <v>1125</v>
      </c>
      <c r="AD94" s="296" t="s">
        <v>1126</v>
      </c>
      <c r="AE94" s="296" t="s">
        <v>192</v>
      </c>
      <c r="AF94" s="296" t="s">
        <v>193</v>
      </c>
      <c r="AG94" s="296">
        <v>0</v>
      </c>
      <c r="AH94" s="298">
        <v>45252</v>
      </c>
      <c r="AJ94" s="296" t="s">
        <v>194</v>
      </c>
      <c r="AK94" s="299">
        <f>COUNTIF($A$3:A$917,A94)</f>
        <v>1</v>
      </c>
    </row>
    <row r="95" spans="1:37" x14ac:dyDescent="0.25">
      <c r="A95" s="296">
        <v>502350359</v>
      </c>
      <c r="B95" s="296" t="s">
        <v>1127</v>
      </c>
      <c r="C95" s="296" t="s">
        <v>183</v>
      </c>
      <c r="D95" s="296" t="s">
        <v>183</v>
      </c>
      <c r="E95" s="296" t="s">
        <v>183</v>
      </c>
      <c r="F95" s="296" t="s">
        <v>1128</v>
      </c>
      <c r="G95" s="296" t="s">
        <v>1129</v>
      </c>
      <c r="H95" s="296" t="s">
        <v>1130</v>
      </c>
      <c r="I95" s="296" t="s">
        <v>997</v>
      </c>
      <c r="J95" s="296" t="s">
        <v>1131</v>
      </c>
      <c r="K95" s="296" t="s">
        <v>1132</v>
      </c>
      <c r="L95" s="296" t="s">
        <v>1133</v>
      </c>
      <c r="M95" s="296" t="s">
        <v>179</v>
      </c>
      <c r="N95" s="296" t="s">
        <v>1128</v>
      </c>
      <c r="O95" s="296" t="s">
        <v>1128</v>
      </c>
      <c r="P95" s="296" t="s">
        <v>183</v>
      </c>
      <c r="Q95" s="296" t="s">
        <v>183</v>
      </c>
      <c r="R95" s="296" t="s">
        <v>1134</v>
      </c>
      <c r="S95" s="296" t="s">
        <v>185</v>
      </c>
      <c r="T95" s="296" t="s">
        <v>185</v>
      </c>
      <c r="U95" s="296" t="s">
        <v>186</v>
      </c>
      <c r="V95" s="296" t="s">
        <v>187</v>
      </c>
      <c r="W95" s="296" t="s">
        <v>188</v>
      </c>
      <c r="X95" s="296" t="s">
        <v>189</v>
      </c>
      <c r="Y95" s="296" t="s">
        <v>183</v>
      </c>
      <c r="Z95" s="296" t="s">
        <v>183</v>
      </c>
      <c r="AA95" s="296" t="s">
        <v>183</v>
      </c>
      <c r="AB95" s="296" t="s">
        <v>183</v>
      </c>
      <c r="AC95" s="296" t="s">
        <v>1135</v>
      </c>
      <c r="AD95" s="296" t="s">
        <v>1136</v>
      </c>
      <c r="AE95" s="296" t="s">
        <v>192</v>
      </c>
      <c r="AF95" s="296" t="s">
        <v>193</v>
      </c>
      <c r="AG95" s="296">
        <v>19281.75</v>
      </c>
      <c r="AH95" s="298">
        <v>44020</v>
      </c>
      <c r="AJ95" s="296" t="s">
        <v>194</v>
      </c>
      <c r="AK95" s="299">
        <f>COUNTIF($A$3:A$917,A95)</f>
        <v>2</v>
      </c>
    </row>
    <row r="96" spans="1:37" x14ac:dyDescent="0.25">
      <c r="A96" s="296">
        <v>155805445627</v>
      </c>
      <c r="B96" s="296" t="s">
        <v>1137</v>
      </c>
      <c r="C96" s="296" t="s">
        <v>183</v>
      </c>
      <c r="D96" s="296" t="s">
        <v>183</v>
      </c>
      <c r="E96" s="296" t="s">
        <v>183</v>
      </c>
      <c r="F96" s="296" t="s">
        <v>1138</v>
      </c>
      <c r="G96" s="296" t="s">
        <v>1138</v>
      </c>
      <c r="H96" s="296" t="s">
        <v>1139</v>
      </c>
      <c r="I96" s="296" t="s">
        <v>997</v>
      </c>
      <c r="J96" s="296" t="s">
        <v>1140</v>
      </c>
      <c r="K96" s="296" t="s">
        <v>1141</v>
      </c>
      <c r="L96" s="296" t="s">
        <v>1142</v>
      </c>
      <c r="M96" s="296" t="s">
        <v>179</v>
      </c>
      <c r="N96" s="296" t="s">
        <v>1143</v>
      </c>
      <c r="O96" s="296" t="s">
        <v>1143</v>
      </c>
      <c r="P96" s="296" t="s">
        <v>1144</v>
      </c>
      <c r="Q96" s="296" t="s">
        <v>183</v>
      </c>
      <c r="R96" s="296" t="s">
        <v>1145</v>
      </c>
      <c r="S96" s="296" t="s">
        <v>185</v>
      </c>
      <c r="T96" s="296" t="s">
        <v>185</v>
      </c>
      <c r="U96" s="296" t="s">
        <v>186</v>
      </c>
      <c r="V96" s="296" t="s">
        <v>187</v>
      </c>
      <c r="W96" s="296" t="s">
        <v>188</v>
      </c>
      <c r="X96" s="296" t="s">
        <v>246</v>
      </c>
      <c r="Y96" s="296" t="s">
        <v>183</v>
      </c>
      <c r="Z96" s="296" t="s">
        <v>183</v>
      </c>
      <c r="AA96" s="296" t="s">
        <v>183</v>
      </c>
      <c r="AB96" s="296" t="s">
        <v>183</v>
      </c>
      <c r="AC96" s="296" t="s">
        <v>1146</v>
      </c>
      <c r="AD96" s="296" t="s">
        <v>1147</v>
      </c>
      <c r="AE96" s="296" t="s">
        <v>192</v>
      </c>
      <c r="AF96" s="296" t="s">
        <v>193</v>
      </c>
      <c r="AG96" s="296">
        <v>5139.3333333333321</v>
      </c>
      <c r="AH96" s="298">
        <v>44335</v>
      </c>
      <c r="AJ96" s="296" t="s">
        <v>194</v>
      </c>
      <c r="AK96" s="299">
        <f>COUNTIF($A$3:A$917,A96)</f>
        <v>2</v>
      </c>
    </row>
    <row r="97" spans="1:37" x14ac:dyDescent="0.25">
      <c r="A97" s="296">
        <v>204300170</v>
      </c>
      <c r="B97" s="296" t="s">
        <v>1148</v>
      </c>
      <c r="C97" s="296" t="s">
        <v>183</v>
      </c>
      <c r="D97" s="296" t="s">
        <v>183</v>
      </c>
      <c r="E97" s="296" t="s">
        <v>183</v>
      </c>
      <c r="F97" s="296" t="s">
        <v>1149</v>
      </c>
      <c r="G97" s="296" t="s">
        <v>183</v>
      </c>
      <c r="H97" s="296" t="s">
        <v>1150</v>
      </c>
      <c r="I97" s="296" t="s">
        <v>997</v>
      </c>
      <c r="J97" s="296" t="s">
        <v>1151</v>
      </c>
      <c r="K97" s="296" t="s">
        <v>1152</v>
      </c>
      <c r="L97" s="296" t="s">
        <v>1153</v>
      </c>
      <c r="M97" s="296" t="s">
        <v>179</v>
      </c>
      <c r="N97" s="296" t="s">
        <v>1154</v>
      </c>
      <c r="O97" s="296" t="s">
        <v>1154</v>
      </c>
      <c r="P97" s="296" t="s">
        <v>1155</v>
      </c>
      <c r="Q97" s="296" t="s">
        <v>183</v>
      </c>
      <c r="R97" s="296" t="s">
        <v>1156</v>
      </c>
      <c r="S97" s="296" t="s">
        <v>185</v>
      </c>
      <c r="T97" s="296" t="s">
        <v>185</v>
      </c>
      <c r="U97" s="296" t="s">
        <v>186</v>
      </c>
      <c r="V97" s="296" t="s">
        <v>187</v>
      </c>
      <c r="W97" s="296" t="s">
        <v>188</v>
      </c>
      <c r="X97" s="296" t="s">
        <v>189</v>
      </c>
      <c r="Y97" s="296" t="s">
        <v>183</v>
      </c>
      <c r="Z97" s="296" t="s">
        <v>183</v>
      </c>
      <c r="AA97" s="296" t="s">
        <v>183</v>
      </c>
      <c r="AB97" s="296" t="s">
        <v>183</v>
      </c>
      <c r="AC97" s="296" t="s">
        <v>1157</v>
      </c>
      <c r="AD97" s="296" t="s">
        <v>1158</v>
      </c>
      <c r="AE97" s="296" t="s">
        <v>192</v>
      </c>
      <c r="AF97" s="296" t="s">
        <v>193</v>
      </c>
      <c r="AG97" s="296">
        <v>0</v>
      </c>
      <c r="AH97" s="298">
        <v>45441</v>
      </c>
      <c r="AJ97" s="296" t="s">
        <v>194</v>
      </c>
      <c r="AK97" s="299">
        <f>COUNTIF($A$3:A$917,A97)</f>
        <v>2</v>
      </c>
    </row>
    <row r="98" spans="1:37" x14ac:dyDescent="0.25">
      <c r="A98" s="296">
        <v>3101130626</v>
      </c>
      <c r="B98" s="296" t="s">
        <v>1159</v>
      </c>
      <c r="C98" s="296" t="s">
        <v>1160</v>
      </c>
      <c r="D98" s="296" t="s">
        <v>1161</v>
      </c>
      <c r="E98" s="296" t="s">
        <v>172</v>
      </c>
      <c r="F98" s="296" t="s">
        <v>1162</v>
      </c>
      <c r="G98" s="296" t="s">
        <v>278</v>
      </c>
      <c r="H98" s="296" t="s">
        <v>1163</v>
      </c>
      <c r="I98" s="296" t="s">
        <v>997</v>
      </c>
      <c r="J98" s="296" t="s">
        <v>1164</v>
      </c>
      <c r="K98" s="296" t="s">
        <v>1165</v>
      </c>
      <c r="L98" s="296" t="s">
        <v>1159</v>
      </c>
      <c r="M98" s="296" t="s">
        <v>179</v>
      </c>
      <c r="N98" s="296" t="s">
        <v>1162</v>
      </c>
      <c r="O98" s="296" t="s">
        <v>1166</v>
      </c>
      <c r="P98" s="296" t="s">
        <v>1163</v>
      </c>
      <c r="Q98" s="296" t="s">
        <v>183</v>
      </c>
      <c r="R98" s="296" t="s">
        <v>1167</v>
      </c>
      <c r="S98" s="296" t="s">
        <v>185</v>
      </c>
      <c r="T98" s="296" t="s">
        <v>185</v>
      </c>
      <c r="U98" s="296" t="s">
        <v>186</v>
      </c>
      <c r="V98" s="296" t="s">
        <v>187</v>
      </c>
      <c r="W98" s="296" t="s">
        <v>188</v>
      </c>
      <c r="X98" s="296" t="s">
        <v>256</v>
      </c>
      <c r="Y98" s="296" t="s">
        <v>183</v>
      </c>
      <c r="Z98" s="296" t="s">
        <v>183</v>
      </c>
      <c r="AA98" s="296" t="s">
        <v>183</v>
      </c>
      <c r="AB98" s="296" t="s">
        <v>183</v>
      </c>
      <c r="AC98" s="296" t="s">
        <v>1168</v>
      </c>
      <c r="AD98" s="296" t="s">
        <v>1169</v>
      </c>
      <c r="AE98" s="296" t="s">
        <v>192</v>
      </c>
      <c r="AF98" s="296" t="s">
        <v>193</v>
      </c>
      <c r="AG98" s="296">
        <v>10960</v>
      </c>
      <c r="AH98" s="298">
        <v>42033</v>
      </c>
      <c r="AJ98" s="296" t="s">
        <v>194</v>
      </c>
      <c r="AK98" s="299">
        <f>COUNTIF($A$3:A$917,A98)</f>
        <v>3</v>
      </c>
    </row>
    <row r="99" spans="1:37" x14ac:dyDescent="0.25">
      <c r="A99" s="296">
        <v>502050442</v>
      </c>
      <c r="B99" s="296" t="s">
        <v>1170</v>
      </c>
      <c r="C99" s="296" t="s">
        <v>183</v>
      </c>
      <c r="D99" s="296" t="s">
        <v>183</v>
      </c>
      <c r="E99" s="296" t="s">
        <v>183</v>
      </c>
      <c r="F99" s="296" t="s">
        <v>1171</v>
      </c>
      <c r="G99" s="296" t="s">
        <v>1172</v>
      </c>
      <c r="H99" s="296" t="s">
        <v>1173</v>
      </c>
      <c r="I99" s="296" t="s">
        <v>997</v>
      </c>
      <c r="J99" s="296" t="s">
        <v>1174</v>
      </c>
      <c r="K99" s="296" t="s">
        <v>1175</v>
      </c>
      <c r="L99" s="296" t="s">
        <v>1170</v>
      </c>
      <c r="M99" s="296" t="s">
        <v>179</v>
      </c>
      <c r="N99" s="296" t="s">
        <v>1171</v>
      </c>
      <c r="O99" s="296" t="s">
        <v>1172</v>
      </c>
      <c r="P99" s="296" t="s">
        <v>1173</v>
      </c>
      <c r="Q99" s="296" t="s">
        <v>183</v>
      </c>
      <c r="R99" s="296" t="s">
        <v>1176</v>
      </c>
      <c r="S99" s="296" t="s">
        <v>185</v>
      </c>
      <c r="T99" s="296" t="s">
        <v>185</v>
      </c>
      <c r="U99" s="296" t="s">
        <v>186</v>
      </c>
      <c r="V99" s="296" t="s">
        <v>187</v>
      </c>
      <c r="W99" s="296" t="s">
        <v>188</v>
      </c>
      <c r="X99" s="296" t="s">
        <v>573</v>
      </c>
      <c r="Y99" s="296" t="s">
        <v>183</v>
      </c>
      <c r="Z99" s="296" t="s">
        <v>183</v>
      </c>
      <c r="AA99" s="296" t="s">
        <v>183</v>
      </c>
      <c r="AB99" s="296" t="s">
        <v>183</v>
      </c>
      <c r="AC99" s="296" t="s">
        <v>1177</v>
      </c>
      <c r="AD99" s="296" t="s">
        <v>1178</v>
      </c>
      <c r="AE99" s="296" t="s">
        <v>192</v>
      </c>
      <c r="AF99" s="296" t="s">
        <v>193</v>
      </c>
      <c r="AG99" s="296">
        <v>0</v>
      </c>
      <c r="AH99" s="298">
        <v>44692</v>
      </c>
      <c r="AJ99" s="296" t="s">
        <v>194</v>
      </c>
      <c r="AK99" s="299">
        <f>COUNTIF($A$3:A$917,A99)</f>
        <v>3</v>
      </c>
    </row>
    <row r="100" spans="1:37" x14ac:dyDescent="0.25">
      <c r="A100" s="296">
        <v>501461316</v>
      </c>
      <c r="B100" s="296" t="s">
        <v>1179</v>
      </c>
      <c r="C100" s="296" t="s">
        <v>183</v>
      </c>
      <c r="D100" s="296" t="s">
        <v>183</v>
      </c>
      <c r="E100" s="296" t="s">
        <v>183</v>
      </c>
      <c r="F100" s="296" t="s">
        <v>1180</v>
      </c>
      <c r="G100" s="296" t="s">
        <v>1181</v>
      </c>
      <c r="H100" s="296" t="s">
        <v>1182</v>
      </c>
      <c r="I100" s="296" t="s">
        <v>997</v>
      </c>
      <c r="J100" s="296" t="s">
        <v>1183</v>
      </c>
      <c r="K100" s="296" t="s">
        <v>1184</v>
      </c>
      <c r="L100" s="296" t="s">
        <v>1185</v>
      </c>
      <c r="M100" s="296" t="s">
        <v>179</v>
      </c>
      <c r="N100" s="296" t="s">
        <v>1186</v>
      </c>
      <c r="O100" s="296" t="s">
        <v>1186</v>
      </c>
      <c r="P100" s="296" t="s">
        <v>1187</v>
      </c>
      <c r="Q100" s="296" t="s">
        <v>183</v>
      </c>
      <c r="R100" s="296" t="s">
        <v>1188</v>
      </c>
      <c r="S100" s="296" t="s">
        <v>185</v>
      </c>
      <c r="T100" s="296" t="s">
        <v>185</v>
      </c>
      <c r="U100" s="296" t="s">
        <v>186</v>
      </c>
      <c r="V100" s="296" t="s">
        <v>187</v>
      </c>
      <c r="W100" s="296" t="s">
        <v>188</v>
      </c>
      <c r="X100" s="296" t="s">
        <v>404</v>
      </c>
      <c r="Y100" s="296" t="s">
        <v>183</v>
      </c>
      <c r="Z100" s="296" t="s">
        <v>183</v>
      </c>
      <c r="AA100" s="296" t="s">
        <v>183</v>
      </c>
      <c r="AB100" s="296" t="s">
        <v>183</v>
      </c>
      <c r="AC100" s="296" t="s">
        <v>1189</v>
      </c>
      <c r="AD100" s="296" t="s">
        <v>1190</v>
      </c>
      <c r="AE100" s="296" t="s">
        <v>192</v>
      </c>
      <c r="AF100" s="296" t="s">
        <v>193</v>
      </c>
      <c r="AG100" s="296">
        <v>0</v>
      </c>
      <c r="AH100" s="298">
        <v>45145</v>
      </c>
      <c r="AJ100" s="296" t="s">
        <v>194</v>
      </c>
      <c r="AK100" s="299">
        <f>COUNTIF($A$3:A$917,A100)</f>
        <v>3</v>
      </c>
    </row>
    <row r="101" spans="1:37" x14ac:dyDescent="0.25">
      <c r="A101" s="296">
        <v>503290666</v>
      </c>
      <c r="B101" s="296" t="s">
        <v>1191</v>
      </c>
      <c r="C101" s="296" t="s">
        <v>183</v>
      </c>
      <c r="D101" s="296" t="s">
        <v>183</v>
      </c>
      <c r="E101" s="296" t="s">
        <v>183</v>
      </c>
      <c r="F101" s="296" t="s">
        <v>1192</v>
      </c>
      <c r="G101" s="296" t="s">
        <v>1192</v>
      </c>
      <c r="H101" s="296" t="s">
        <v>1193</v>
      </c>
      <c r="I101" s="296" t="s">
        <v>997</v>
      </c>
      <c r="J101" s="296" t="s">
        <v>1194</v>
      </c>
      <c r="K101" s="296" t="s">
        <v>986</v>
      </c>
      <c r="L101" s="296" t="s">
        <v>987</v>
      </c>
      <c r="M101" s="296" t="s">
        <v>179</v>
      </c>
      <c r="N101" s="296" t="s">
        <v>982</v>
      </c>
      <c r="O101" s="296" t="s">
        <v>988</v>
      </c>
      <c r="P101" s="296" t="s">
        <v>983</v>
      </c>
      <c r="Q101" s="296" t="s">
        <v>183</v>
      </c>
      <c r="R101" s="296" t="s">
        <v>989</v>
      </c>
      <c r="S101" s="296" t="s">
        <v>185</v>
      </c>
      <c r="T101" s="296" t="s">
        <v>185</v>
      </c>
      <c r="U101" s="296" t="s">
        <v>186</v>
      </c>
      <c r="V101" s="296" t="s">
        <v>187</v>
      </c>
      <c r="W101" s="296" t="s">
        <v>188</v>
      </c>
      <c r="X101" s="296" t="s">
        <v>189</v>
      </c>
      <c r="Y101" s="296" t="s">
        <v>183</v>
      </c>
      <c r="Z101" s="296" t="s">
        <v>183</v>
      </c>
      <c r="AA101" s="296" t="s">
        <v>183</v>
      </c>
      <c r="AB101" s="296" t="s">
        <v>183</v>
      </c>
      <c r="AC101" s="296" t="s">
        <v>990</v>
      </c>
      <c r="AD101" s="296" t="s">
        <v>1195</v>
      </c>
      <c r="AE101" s="296" t="s">
        <v>192</v>
      </c>
      <c r="AF101" s="296" t="s">
        <v>193</v>
      </c>
      <c r="AG101" s="296">
        <v>0</v>
      </c>
      <c r="AH101" s="298">
        <v>45908</v>
      </c>
      <c r="AJ101" s="296" t="s">
        <v>194</v>
      </c>
      <c r="AK101" s="299">
        <f>COUNTIF($A$3:A$917,A101)</f>
        <v>2</v>
      </c>
    </row>
    <row r="102" spans="1:37" x14ac:dyDescent="0.25">
      <c r="A102" s="296">
        <v>501650284</v>
      </c>
      <c r="B102" s="296" t="s">
        <v>558</v>
      </c>
      <c r="C102" s="296" t="s">
        <v>183</v>
      </c>
      <c r="D102" s="296" t="s">
        <v>183</v>
      </c>
      <c r="E102" s="296" t="s">
        <v>183</v>
      </c>
      <c r="F102" s="296" t="s">
        <v>559</v>
      </c>
      <c r="G102" s="296" t="s">
        <v>560</v>
      </c>
      <c r="H102" s="296" t="s">
        <v>561</v>
      </c>
      <c r="I102" s="296" t="s">
        <v>997</v>
      </c>
      <c r="J102" s="296" t="s">
        <v>1196</v>
      </c>
      <c r="K102" s="296" t="s">
        <v>557</v>
      </c>
      <c r="L102" s="296" t="s">
        <v>558</v>
      </c>
      <c r="M102" s="296" t="s">
        <v>179</v>
      </c>
      <c r="N102" s="296" t="s">
        <v>559</v>
      </c>
      <c r="O102" s="296" t="s">
        <v>560</v>
      </c>
      <c r="P102" s="296" t="s">
        <v>561</v>
      </c>
      <c r="Q102" s="296" t="s">
        <v>183</v>
      </c>
      <c r="R102" s="296" t="s">
        <v>562</v>
      </c>
      <c r="S102" s="296" t="s">
        <v>185</v>
      </c>
      <c r="T102" s="296" t="s">
        <v>185</v>
      </c>
      <c r="U102" s="296" t="s">
        <v>186</v>
      </c>
      <c r="V102" s="296" t="s">
        <v>187</v>
      </c>
      <c r="W102" s="296" t="s">
        <v>188</v>
      </c>
      <c r="X102" s="296" t="s">
        <v>188</v>
      </c>
      <c r="Y102" s="296" t="s">
        <v>183</v>
      </c>
      <c r="Z102" s="296" t="s">
        <v>183</v>
      </c>
      <c r="AA102" s="296" t="s">
        <v>183</v>
      </c>
      <c r="AB102" s="296" t="s">
        <v>183</v>
      </c>
      <c r="AC102" s="296" t="s">
        <v>563</v>
      </c>
      <c r="AD102" s="296" t="s">
        <v>1197</v>
      </c>
      <c r="AE102" s="296" t="s">
        <v>192</v>
      </c>
      <c r="AF102" s="296" t="s">
        <v>193</v>
      </c>
      <c r="AG102" s="296">
        <v>0</v>
      </c>
      <c r="AH102" s="298">
        <v>44945</v>
      </c>
      <c r="AJ102" s="296" t="s">
        <v>194</v>
      </c>
      <c r="AK102" s="299">
        <f>COUNTIF($A$3:A$917,A102)</f>
        <v>2</v>
      </c>
    </row>
    <row r="103" spans="1:37" x14ac:dyDescent="0.25">
      <c r="A103" s="296">
        <v>503710378</v>
      </c>
      <c r="B103" s="296" t="s">
        <v>1198</v>
      </c>
      <c r="C103" s="296" t="s">
        <v>183</v>
      </c>
      <c r="D103" s="296" t="s">
        <v>183</v>
      </c>
      <c r="E103" s="296" t="s">
        <v>183</v>
      </c>
      <c r="F103" s="296" t="s">
        <v>1199</v>
      </c>
      <c r="G103" s="296" t="s">
        <v>1199</v>
      </c>
      <c r="H103" s="296" t="s">
        <v>1200</v>
      </c>
      <c r="I103" s="296" t="s">
        <v>997</v>
      </c>
      <c r="J103" s="296" t="s">
        <v>1201</v>
      </c>
      <c r="K103" s="296" t="s">
        <v>1202</v>
      </c>
      <c r="L103" s="296" t="s">
        <v>1203</v>
      </c>
      <c r="M103" s="296" t="s">
        <v>179</v>
      </c>
      <c r="N103" s="296" t="s">
        <v>1204</v>
      </c>
      <c r="O103" s="296" t="s">
        <v>1205</v>
      </c>
      <c r="P103" s="296" t="s">
        <v>1200</v>
      </c>
      <c r="Q103" s="296" t="s">
        <v>183</v>
      </c>
      <c r="R103" s="296" t="s">
        <v>1206</v>
      </c>
      <c r="S103" s="296" t="s">
        <v>185</v>
      </c>
      <c r="T103" s="296" t="s">
        <v>185</v>
      </c>
      <c r="U103" s="296" t="s">
        <v>186</v>
      </c>
      <c r="V103" s="296" t="s">
        <v>187</v>
      </c>
      <c r="W103" s="296" t="s">
        <v>188</v>
      </c>
      <c r="X103" s="296" t="s">
        <v>189</v>
      </c>
      <c r="Y103" s="296" t="s">
        <v>183</v>
      </c>
      <c r="Z103" s="296" t="s">
        <v>183</v>
      </c>
      <c r="AA103" s="296" t="s">
        <v>183</v>
      </c>
      <c r="AB103" s="296" t="s">
        <v>183</v>
      </c>
      <c r="AC103" s="296" t="s">
        <v>1207</v>
      </c>
      <c r="AD103" s="296" t="s">
        <v>1208</v>
      </c>
      <c r="AE103" s="296" t="s">
        <v>192</v>
      </c>
      <c r="AF103" s="296" t="s">
        <v>193</v>
      </c>
      <c r="AG103" s="296">
        <v>0</v>
      </c>
      <c r="AH103" s="298">
        <v>45260</v>
      </c>
      <c r="AJ103" s="296" t="s">
        <v>194</v>
      </c>
      <c r="AK103" s="299">
        <f>COUNTIF($A$3:A$917,A103)</f>
        <v>2</v>
      </c>
    </row>
    <row r="104" spans="1:37" x14ac:dyDescent="0.25">
      <c r="A104" s="296">
        <v>3101142587</v>
      </c>
      <c r="B104" s="296" t="s">
        <v>1209</v>
      </c>
      <c r="C104" s="296" t="s">
        <v>183</v>
      </c>
      <c r="D104" s="296" t="s">
        <v>183</v>
      </c>
      <c r="E104" s="296" t="s">
        <v>183</v>
      </c>
      <c r="F104" s="296" t="s">
        <v>1210</v>
      </c>
      <c r="G104" s="296" t="s">
        <v>183</v>
      </c>
      <c r="H104" s="296" t="s">
        <v>1211</v>
      </c>
      <c r="I104" s="296" t="s">
        <v>997</v>
      </c>
      <c r="J104" s="296" t="s">
        <v>1212</v>
      </c>
      <c r="K104" s="296" t="s">
        <v>1213</v>
      </c>
      <c r="L104" s="296" t="s">
        <v>1214</v>
      </c>
      <c r="M104" s="296" t="s">
        <v>179</v>
      </c>
      <c r="N104" s="296" t="s">
        <v>1210</v>
      </c>
      <c r="O104" s="296" t="s">
        <v>183</v>
      </c>
      <c r="P104" s="296" t="s">
        <v>1215</v>
      </c>
      <c r="Q104" s="296" t="s">
        <v>183</v>
      </c>
      <c r="R104" s="296" t="s">
        <v>1216</v>
      </c>
      <c r="S104" s="296" t="s">
        <v>185</v>
      </c>
      <c r="T104" s="296" t="s">
        <v>185</v>
      </c>
      <c r="U104" s="296" t="s">
        <v>186</v>
      </c>
      <c r="V104" s="296" t="s">
        <v>187</v>
      </c>
      <c r="W104" s="296" t="s">
        <v>188</v>
      </c>
      <c r="X104" s="296" t="s">
        <v>256</v>
      </c>
      <c r="Y104" s="296" t="s">
        <v>183</v>
      </c>
      <c r="Z104" s="296" t="s">
        <v>183</v>
      </c>
      <c r="AA104" s="296" t="s">
        <v>183</v>
      </c>
      <c r="AB104" s="296" t="s">
        <v>183</v>
      </c>
      <c r="AC104" s="296" t="s">
        <v>1217</v>
      </c>
      <c r="AD104" s="296" t="s">
        <v>1218</v>
      </c>
      <c r="AE104" s="296" t="s">
        <v>192</v>
      </c>
      <c r="AF104" s="296" t="s">
        <v>193</v>
      </c>
      <c r="AG104" s="296">
        <v>9852.25</v>
      </c>
      <c r="AH104" s="298">
        <v>36564</v>
      </c>
      <c r="AJ104" s="296" t="s">
        <v>194</v>
      </c>
      <c r="AK104" s="299">
        <f>COUNTIF($A$3:A$917,A104)</f>
        <v>4</v>
      </c>
    </row>
    <row r="105" spans="1:37" x14ac:dyDescent="0.25">
      <c r="A105" s="296">
        <v>155808099905</v>
      </c>
      <c r="B105" s="296" t="s">
        <v>1219</v>
      </c>
      <c r="C105" s="296" t="s">
        <v>183</v>
      </c>
      <c r="D105" s="296" t="s">
        <v>183</v>
      </c>
      <c r="E105" s="296" t="s">
        <v>183</v>
      </c>
      <c r="F105" s="296" t="s">
        <v>1220</v>
      </c>
      <c r="G105" s="296" t="s">
        <v>183</v>
      </c>
      <c r="H105" s="296" t="s">
        <v>1221</v>
      </c>
      <c r="I105" s="296" t="s">
        <v>997</v>
      </c>
      <c r="J105" s="296" t="s">
        <v>1222</v>
      </c>
      <c r="K105" s="296" t="s">
        <v>1223</v>
      </c>
      <c r="L105" s="296" t="s">
        <v>1224</v>
      </c>
      <c r="M105" s="296" t="s">
        <v>179</v>
      </c>
      <c r="N105" s="296" t="s">
        <v>1225</v>
      </c>
      <c r="O105" s="296" t="s">
        <v>1226</v>
      </c>
      <c r="P105" s="296" t="s">
        <v>1227</v>
      </c>
      <c r="Q105" s="296" t="s">
        <v>183</v>
      </c>
      <c r="R105" s="296" t="s">
        <v>1228</v>
      </c>
      <c r="S105" s="296" t="s">
        <v>185</v>
      </c>
      <c r="T105" s="296" t="s">
        <v>185</v>
      </c>
      <c r="U105" s="296" t="s">
        <v>186</v>
      </c>
      <c r="V105" s="296" t="s">
        <v>187</v>
      </c>
      <c r="W105" s="296" t="s">
        <v>188</v>
      </c>
      <c r="X105" s="296" t="s">
        <v>189</v>
      </c>
      <c r="Y105" s="296" t="s">
        <v>183</v>
      </c>
      <c r="Z105" s="296" t="s">
        <v>183</v>
      </c>
      <c r="AA105" s="296" t="s">
        <v>183</v>
      </c>
      <c r="AB105" s="296" t="s">
        <v>183</v>
      </c>
      <c r="AC105" s="296" t="s">
        <v>1229</v>
      </c>
      <c r="AD105" s="296" t="s">
        <v>1230</v>
      </c>
      <c r="AE105" s="296" t="s">
        <v>192</v>
      </c>
      <c r="AF105" s="296" t="s">
        <v>193</v>
      </c>
      <c r="AG105" s="296">
        <v>8241</v>
      </c>
      <c r="AH105" s="298">
        <v>44342</v>
      </c>
      <c r="AJ105" s="296" t="s">
        <v>194</v>
      </c>
      <c r="AK105" s="299">
        <f>COUNTIF($A$3:A$917,A105)</f>
        <v>2</v>
      </c>
    </row>
    <row r="106" spans="1:37" x14ac:dyDescent="0.25">
      <c r="A106" s="296">
        <v>502700433</v>
      </c>
      <c r="B106" s="296" t="s">
        <v>1231</v>
      </c>
      <c r="C106" s="296" t="s">
        <v>183</v>
      </c>
      <c r="D106" s="296" t="s">
        <v>183</v>
      </c>
      <c r="E106" s="296" t="s">
        <v>183</v>
      </c>
      <c r="F106" s="296" t="s">
        <v>1232</v>
      </c>
      <c r="G106" s="296" t="s">
        <v>1232</v>
      </c>
      <c r="H106" s="296" t="s">
        <v>1233</v>
      </c>
      <c r="I106" s="296" t="s">
        <v>997</v>
      </c>
      <c r="J106" s="296" t="s">
        <v>1234</v>
      </c>
      <c r="K106" s="296" t="s">
        <v>1235</v>
      </c>
      <c r="L106" s="296" t="s">
        <v>1231</v>
      </c>
      <c r="M106" s="296" t="s">
        <v>179</v>
      </c>
      <c r="N106" s="296" t="s">
        <v>1232</v>
      </c>
      <c r="O106" s="296" t="s">
        <v>1232</v>
      </c>
      <c r="P106" s="296" t="s">
        <v>1233</v>
      </c>
      <c r="Q106" s="296" t="s">
        <v>183</v>
      </c>
      <c r="R106" s="296" t="s">
        <v>1236</v>
      </c>
      <c r="S106" s="296" t="s">
        <v>185</v>
      </c>
      <c r="T106" s="296" t="s">
        <v>185</v>
      </c>
      <c r="U106" s="296" t="s">
        <v>186</v>
      </c>
      <c r="V106" s="296" t="s">
        <v>187</v>
      </c>
      <c r="W106" s="296" t="s">
        <v>188</v>
      </c>
      <c r="X106" s="296" t="s">
        <v>404</v>
      </c>
      <c r="Y106" s="296" t="s">
        <v>183</v>
      </c>
      <c r="Z106" s="296" t="s">
        <v>183</v>
      </c>
      <c r="AA106" s="296" t="s">
        <v>183</v>
      </c>
      <c r="AB106" s="296" t="s">
        <v>183</v>
      </c>
      <c r="AC106" s="296" t="s">
        <v>1237</v>
      </c>
      <c r="AD106" s="296" t="s">
        <v>1238</v>
      </c>
      <c r="AE106" s="296" t="s">
        <v>192</v>
      </c>
      <c r="AF106" s="296" t="s">
        <v>193</v>
      </c>
      <c r="AG106" s="296">
        <v>0</v>
      </c>
      <c r="AH106" s="298">
        <v>45266</v>
      </c>
      <c r="AJ106" s="296" t="s">
        <v>194</v>
      </c>
      <c r="AK106" s="299">
        <f>COUNTIF($A$3:A$917,A106)</f>
        <v>2</v>
      </c>
    </row>
    <row r="107" spans="1:37" x14ac:dyDescent="0.25">
      <c r="A107" s="296">
        <v>3101665793</v>
      </c>
      <c r="B107" s="296" t="s">
        <v>945</v>
      </c>
      <c r="C107" s="296" t="s">
        <v>183</v>
      </c>
      <c r="D107" s="296" t="s">
        <v>183</v>
      </c>
      <c r="E107" s="296" t="s">
        <v>183</v>
      </c>
      <c r="F107" s="296" t="s">
        <v>946</v>
      </c>
      <c r="G107" s="296" t="s">
        <v>947</v>
      </c>
      <c r="H107" s="296" t="s">
        <v>948</v>
      </c>
      <c r="I107" s="296" t="s">
        <v>997</v>
      </c>
      <c r="J107" s="296" t="s">
        <v>1239</v>
      </c>
      <c r="K107" s="296" t="s">
        <v>951</v>
      </c>
      <c r="L107" s="296" t="s">
        <v>952</v>
      </c>
      <c r="M107" s="296" t="s">
        <v>179</v>
      </c>
      <c r="N107" s="296" t="s">
        <v>953</v>
      </c>
      <c r="O107" s="296" t="s">
        <v>954</v>
      </c>
      <c r="P107" s="296" t="s">
        <v>948</v>
      </c>
      <c r="Q107" s="296" t="s">
        <v>183</v>
      </c>
      <c r="R107" s="296" t="s">
        <v>955</v>
      </c>
      <c r="S107" s="296" t="s">
        <v>185</v>
      </c>
      <c r="T107" s="296" t="s">
        <v>185</v>
      </c>
      <c r="U107" s="296" t="s">
        <v>186</v>
      </c>
      <c r="V107" s="296" t="s">
        <v>187</v>
      </c>
      <c r="W107" s="296" t="s">
        <v>188</v>
      </c>
      <c r="X107" s="296" t="s">
        <v>224</v>
      </c>
      <c r="Y107" s="296" t="s">
        <v>183</v>
      </c>
      <c r="Z107" s="296" t="s">
        <v>183</v>
      </c>
      <c r="AA107" s="296" t="s">
        <v>183</v>
      </c>
      <c r="AB107" s="296" t="s">
        <v>183</v>
      </c>
      <c r="AC107" s="296" t="s">
        <v>956</v>
      </c>
      <c r="AD107" s="296" t="s">
        <v>1240</v>
      </c>
      <c r="AE107" s="296" t="s">
        <v>192</v>
      </c>
      <c r="AF107" s="296" t="s">
        <v>193</v>
      </c>
      <c r="AG107" s="296">
        <v>0</v>
      </c>
      <c r="AH107" s="298">
        <v>41558</v>
      </c>
      <c r="AJ107" s="296" t="s">
        <v>194</v>
      </c>
      <c r="AK107" s="299">
        <f>COUNTIF($A$3:A$917,A107)</f>
        <v>7</v>
      </c>
    </row>
    <row r="108" spans="1:37" x14ac:dyDescent="0.25">
      <c r="A108" s="296">
        <v>107890272</v>
      </c>
      <c r="B108" s="296" t="s">
        <v>1241</v>
      </c>
      <c r="C108" s="296" t="s">
        <v>183</v>
      </c>
      <c r="D108" s="296" t="s">
        <v>183</v>
      </c>
      <c r="E108" s="296" t="s">
        <v>183</v>
      </c>
      <c r="F108" s="296" t="s">
        <v>1242</v>
      </c>
      <c r="G108" s="296" t="s">
        <v>183</v>
      </c>
      <c r="H108" s="296" t="s">
        <v>1243</v>
      </c>
      <c r="I108" s="296" t="s">
        <v>997</v>
      </c>
      <c r="J108" s="296" t="s">
        <v>1244</v>
      </c>
      <c r="K108" s="296" t="s">
        <v>1245</v>
      </c>
      <c r="L108" s="296" t="s">
        <v>1246</v>
      </c>
      <c r="M108" s="296" t="s">
        <v>179</v>
      </c>
      <c r="N108" s="296" t="s">
        <v>1247</v>
      </c>
      <c r="O108" s="296" t="s">
        <v>1248</v>
      </c>
      <c r="P108" s="296" t="s">
        <v>1249</v>
      </c>
      <c r="Q108" s="296" t="s">
        <v>183</v>
      </c>
      <c r="R108" s="296" t="s">
        <v>1250</v>
      </c>
      <c r="S108" s="296" t="s">
        <v>185</v>
      </c>
      <c r="T108" s="296" t="s">
        <v>185</v>
      </c>
      <c r="U108" s="296" t="s">
        <v>186</v>
      </c>
      <c r="V108" s="296" t="s">
        <v>187</v>
      </c>
      <c r="W108" s="296" t="s">
        <v>188</v>
      </c>
      <c r="X108" s="296" t="s">
        <v>308</v>
      </c>
      <c r="Y108" s="296" t="s">
        <v>183</v>
      </c>
      <c r="Z108" s="296" t="s">
        <v>183</v>
      </c>
      <c r="AA108" s="296" t="s">
        <v>183</v>
      </c>
      <c r="AB108" s="296" t="s">
        <v>183</v>
      </c>
      <c r="AC108" s="296" t="s">
        <v>1251</v>
      </c>
      <c r="AD108" s="296" t="s">
        <v>1252</v>
      </c>
      <c r="AE108" s="296" t="s">
        <v>192</v>
      </c>
      <c r="AF108" s="296" t="s">
        <v>193</v>
      </c>
      <c r="AG108" s="296">
        <v>0</v>
      </c>
      <c r="AH108" s="298">
        <v>45139</v>
      </c>
      <c r="AJ108" s="296" t="s">
        <v>194</v>
      </c>
      <c r="AK108" s="299">
        <f>COUNTIF($A$3:A$917,A108)</f>
        <v>2</v>
      </c>
    </row>
    <row r="109" spans="1:37" x14ac:dyDescent="0.25">
      <c r="A109" s="296">
        <v>504050396</v>
      </c>
      <c r="B109" s="296" t="s">
        <v>1253</v>
      </c>
      <c r="C109" s="296" t="s">
        <v>183</v>
      </c>
      <c r="D109" s="296" t="s">
        <v>183</v>
      </c>
      <c r="E109" s="296" t="s">
        <v>183</v>
      </c>
      <c r="F109" s="296" t="s">
        <v>1254</v>
      </c>
      <c r="G109" s="296" t="s">
        <v>183</v>
      </c>
      <c r="H109" s="296" t="s">
        <v>1255</v>
      </c>
      <c r="I109" s="296" t="s">
        <v>997</v>
      </c>
      <c r="J109" s="296" t="s">
        <v>1256</v>
      </c>
      <c r="K109" s="296" t="s">
        <v>1257</v>
      </c>
      <c r="L109" s="296" t="s">
        <v>1258</v>
      </c>
      <c r="M109" s="296" t="s">
        <v>179</v>
      </c>
      <c r="N109" s="296" t="s">
        <v>1259</v>
      </c>
      <c r="O109" s="296" t="s">
        <v>278</v>
      </c>
      <c r="P109" s="296" t="s">
        <v>1260</v>
      </c>
      <c r="Q109" s="296" t="s">
        <v>183</v>
      </c>
      <c r="R109" s="296" t="s">
        <v>1261</v>
      </c>
      <c r="S109" s="296" t="s">
        <v>185</v>
      </c>
      <c r="T109" s="296" t="s">
        <v>185</v>
      </c>
      <c r="U109" s="296" t="s">
        <v>186</v>
      </c>
      <c r="V109" s="296" t="s">
        <v>187</v>
      </c>
      <c r="W109" s="296" t="s">
        <v>188</v>
      </c>
      <c r="X109" s="296" t="s">
        <v>189</v>
      </c>
      <c r="Y109" s="296" t="s">
        <v>183</v>
      </c>
      <c r="Z109" s="296" t="s">
        <v>183</v>
      </c>
      <c r="AA109" s="296" t="s">
        <v>183</v>
      </c>
      <c r="AB109" s="296" t="s">
        <v>183</v>
      </c>
      <c r="AC109" s="296" t="s">
        <v>1262</v>
      </c>
      <c r="AD109" s="296" t="s">
        <v>1263</v>
      </c>
      <c r="AE109" s="296" t="s">
        <v>192</v>
      </c>
      <c r="AF109" s="296" t="s">
        <v>193</v>
      </c>
      <c r="AG109" s="296">
        <v>0</v>
      </c>
      <c r="AH109" s="298">
        <v>45702</v>
      </c>
      <c r="AJ109" s="296" t="s">
        <v>194</v>
      </c>
      <c r="AK109" s="299">
        <f>COUNTIF($A$3:A$917,A109)</f>
        <v>3</v>
      </c>
    </row>
    <row r="110" spans="1:37" x14ac:dyDescent="0.25">
      <c r="A110" s="296">
        <v>504270581</v>
      </c>
      <c r="B110" s="296" t="s">
        <v>1264</v>
      </c>
      <c r="C110" s="296" t="s">
        <v>183</v>
      </c>
      <c r="D110" s="296" t="s">
        <v>183</v>
      </c>
      <c r="E110" s="296" t="s">
        <v>183</v>
      </c>
      <c r="F110" s="296" t="s">
        <v>1265</v>
      </c>
      <c r="G110" s="296" t="s">
        <v>1265</v>
      </c>
      <c r="H110" s="296" t="s">
        <v>1266</v>
      </c>
      <c r="I110" s="296" t="s">
        <v>1267</v>
      </c>
      <c r="J110" s="296" t="s">
        <v>1268</v>
      </c>
      <c r="K110" s="296" t="s">
        <v>1269</v>
      </c>
      <c r="L110" s="296" t="s">
        <v>1270</v>
      </c>
      <c r="M110" s="296" t="s">
        <v>179</v>
      </c>
      <c r="N110" s="296" t="s">
        <v>1271</v>
      </c>
      <c r="O110" s="296" t="s">
        <v>1272</v>
      </c>
      <c r="P110" s="296" t="s">
        <v>1273</v>
      </c>
      <c r="Q110" s="296" t="s">
        <v>183</v>
      </c>
      <c r="R110" s="296" t="s">
        <v>1274</v>
      </c>
      <c r="S110" s="296" t="s">
        <v>185</v>
      </c>
      <c r="T110" s="296" t="s">
        <v>185</v>
      </c>
      <c r="U110" s="296" t="s">
        <v>186</v>
      </c>
      <c r="V110" s="296" t="s">
        <v>187</v>
      </c>
      <c r="W110" s="296" t="s">
        <v>188</v>
      </c>
      <c r="X110" s="296" t="s">
        <v>189</v>
      </c>
      <c r="Y110" s="296" t="s">
        <v>183</v>
      </c>
      <c r="Z110" s="296" t="s">
        <v>183</v>
      </c>
      <c r="AA110" s="296" t="s">
        <v>183</v>
      </c>
      <c r="AB110" s="296" t="s">
        <v>183</v>
      </c>
      <c r="AC110" s="296" t="s">
        <v>1275</v>
      </c>
      <c r="AD110" s="296" t="s">
        <v>1276</v>
      </c>
      <c r="AE110" s="296" t="s">
        <v>192</v>
      </c>
      <c r="AF110" s="296" t="s">
        <v>193</v>
      </c>
      <c r="AG110" s="296">
        <v>0</v>
      </c>
      <c r="AH110" s="298">
        <v>45366</v>
      </c>
      <c r="AJ110" s="296" t="s">
        <v>194</v>
      </c>
      <c r="AK110" s="299">
        <f>COUNTIF($A$3:A$917,A110)</f>
        <v>1</v>
      </c>
    </row>
    <row r="111" spans="1:37" x14ac:dyDescent="0.25">
      <c r="A111" s="296">
        <v>113500930</v>
      </c>
      <c r="B111" s="296" t="s">
        <v>1277</v>
      </c>
      <c r="C111" s="296" t="s">
        <v>183</v>
      </c>
      <c r="D111" s="296" t="s">
        <v>183</v>
      </c>
      <c r="E111" s="296" t="s">
        <v>183</v>
      </c>
      <c r="F111" s="296" t="s">
        <v>1278</v>
      </c>
      <c r="G111" s="296" t="s">
        <v>1278</v>
      </c>
      <c r="H111" s="296" t="s">
        <v>1279</v>
      </c>
      <c r="I111" s="296" t="s">
        <v>1267</v>
      </c>
      <c r="J111" s="296" t="s">
        <v>1280</v>
      </c>
      <c r="K111" s="296" t="s">
        <v>602</v>
      </c>
      <c r="L111" s="296" t="s">
        <v>603</v>
      </c>
      <c r="M111" s="296" t="s">
        <v>179</v>
      </c>
      <c r="N111" s="296" t="s">
        <v>604</v>
      </c>
      <c r="O111" s="296" t="s">
        <v>604</v>
      </c>
      <c r="P111" s="296" t="s">
        <v>605</v>
      </c>
      <c r="Q111" s="296" t="s">
        <v>183</v>
      </c>
      <c r="R111" s="296" t="s">
        <v>1281</v>
      </c>
      <c r="S111" s="296" t="s">
        <v>185</v>
      </c>
      <c r="T111" s="296" t="s">
        <v>185</v>
      </c>
      <c r="U111" s="296" t="s">
        <v>186</v>
      </c>
      <c r="V111" s="296" t="s">
        <v>187</v>
      </c>
      <c r="W111" s="296" t="s">
        <v>188</v>
      </c>
      <c r="X111" s="296" t="s">
        <v>189</v>
      </c>
      <c r="Y111" s="296" t="s">
        <v>183</v>
      </c>
      <c r="Z111" s="296" t="s">
        <v>183</v>
      </c>
      <c r="AA111" s="296" t="s">
        <v>183</v>
      </c>
      <c r="AB111" s="296" t="s">
        <v>183</v>
      </c>
      <c r="AC111" s="296" t="s">
        <v>1282</v>
      </c>
      <c r="AD111" s="296" t="s">
        <v>1283</v>
      </c>
      <c r="AE111" s="296" t="s">
        <v>192</v>
      </c>
      <c r="AF111" s="296" t="s">
        <v>193</v>
      </c>
      <c r="AG111" s="296">
        <v>0</v>
      </c>
      <c r="AH111" s="298">
        <v>44498</v>
      </c>
      <c r="AJ111" s="296" t="s">
        <v>194</v>
      </c>
      <c r="AK111" s="299">
        <f>COUNTIF($A$3:A$917,A111)</f>
        <v>1</v>
      </c>
    </row>
    <row r="112" spans="1:37" x14ac:dyDescent="0.25">
      <c r="A112" s="296">
        <v>503940364</v>
      </c>
      <c r="B112" s="296" t="s">
        <v>1284</v>
      </c>
      <c r="C112" s="296" t="s">
        <v>183</v>
      </c>
      <c r="D112" s="296" t="s">
        <v>183</v>
      </c>
      <c r="E112" s="296" t="s">
        <v>183</v>
      </c>
      <c r="F112" s="296" t="s">
        <v>1285</v>
      </c>
      <c r="G112" s="296" t="s">
        <v>1286</v>
      </c>
      <c r="H112" s="296" t="s">
        <v>1287</v>
      </c>
      <c r="I112" s="296" t="s">
        <v>1267</v>
      </c>
      <c r="J112" s="296" t="s">
        <v>1288</v>
      </c>
      <c r="K112" s="296" t="s">
        <v>1289</v>
      </c>
      <c r="L112" s="296" t="s">
        <v>1290</v>
      </c>
      <c r="M112" s="296" t="s">
        <v>179</v>
      </c>
      <c r="N112" s="296" t="s">
        <v>1291</v>
      </c>
      <c r="O112" s="296" t="s">
        <v>1292</v>
      </c>
      <c r="P112" s="296" t="s">
        <v>1293</v>
      </c>
      <c r="Q112" s="296" t="s">
        <v>183</v>
      </c>
      <c r="R112" s="296" t="s">
        <v>1294</v>
      </c>
      <c r="S112" s="296" t="s">
        <v>185</v>
      </c>
      <c r="T112" s="296" t="s">
        <v>185</v>
      </c>
      <c r="U112" s="296" t="s">
        <v>186</v>
      </c>
      <c r="V112" s="296" t="s">
        <v>187</v>
      </c>
      <c r="W112" s="296" t="s">
        <v>188</v>
      </c>
      <c r="X112" s="296" t="s">
        <v>189</v>
      </c>
      <c r="Y112" s="296" t="s">
        <v>183</v>
      </c>
      <c r="Z112" s="296" t="s">
        <v>183</v>
      </c>
      <c r="AA112" s="296" t="s">
        <v>183</v>
      </c>
      <c r="AB112" s="296" t="s">
        <v>183</v>
      </c>
      <c r="AC112" s="296" t="s">
        <v>1295</v>
      </c>
      <c r="AD112" s="296" t="s">
        <v>1296</v>
      </c>
      <c r="AE112" s="296" t="s">
        <v>192</v>
      </c>
      <c r="AF112" s="296" t="s">
        <v>193</v>
      </c>
      <c r="AG112" s="296">
        <v>0</v>
      </c>
      <c r="AH112" s="298">
        <v>45208</v>
      </c>
      <c r="AJ112" s="296" t="s">
        <v>194</v>
      </c>
      <c r="AK112" s="299">
        <f>COUNTIF($A$3:A$917,A112)</f>
        <v>2</v>
      </c>
    </row>
    <row r="113" spans="1:37" x14ac:dyDescent="0.25">
      <c r="A113" s="296">
        <v>503740062</v>
      </c>
      <c r="B113" s="296" t="s">
        <v>1297</v>
      </c>
      <c r="C113" s="296" t="s">
        <v>183</v>
      </c>
      <c r="D113" s="296" t="s">
        <v>183</v>
      </c>
      <c r="E113" s="296" t="s">
        <v>183</v>
      </c>
      <c r="F113" s="296" t="s">
        <v>1298</v>
      </c>
      <c r="G113" s="296" t="s">
        <v>1298</v>
      </c>
      <c r="H113" s="296" t="s">
        <v>1299</v>
      </c>
      <c r="I113" s="296" t="s">
        <v>1267</v>
      </c>
      <c r="J113" s="296" t="s">
        <v>1300</v>
      </c>
      <c r="K113" s="296" t="s">
        <v>1301</v>
      </c>
      <c r="L113" s="296" t="s">
        <v>1302</v>
      </c>
      <c r="M113" s="296" t="s">
        <v>179</v>
      </c>
      <c r="N113" s="296" t="s">
        <v>1303</v>
      </c>
      <c r="O113" s="296" t="s">
        <v>1303</v>
      </c>
      <c r="P113" s="296" t="s">
        <v>1304</v>
      </c>
      <c r="Q113" s="296" t="s">
        <v>183</v>
      </c>
      <c r="R113" s="296" t="s">
        <v>1305</v>
      </c>
      <c r="S113" s="296" t="s">
        <v>185</v>
      </c>
      <c r="T113" s="296" t="s">
        <v>185</v>
      </c>
      <c r="U113" s="296" t="s">
        <v>186</v>
      </c>
      <c r="V113" s="296" t="s">
        <v>187</v>
      </c>
      <c r="W113" s="296" t="s">
        <v>188</v>
      </c>
      <c r="X113" s="296" t="s">
        <v>189</v>
      </c>
      <c r="Y113" s="296" t="s">
        <v>183</v>
      </c>
      <c r="Z113" s="296" t="s">
        <v>183</v>
      </c>
      <c r="AA113" s="296" t="s">
        <v>183</v>
      </c>
      <c r="AB113" s="296" t="s">
        <v>183</v>
      </c>
      <c r="AC113" s="296" t="s">
        <v>1306</v>
      </c>
      <c r="AD113" s="296" t="s">
        <v>1307</v>
      </c>
      <c r="AE113" s="296" t="s">
        <v>192</v>
      </c>
      <c r="AF113" s="296" t="s">
        <v>193</v>
      </c>
      <c r="AG113" s="296">
        <v>0</v>
      </c>
      <c r="AH113" s="298">
        <v>45322</v>
      </c>
      <c r="AJ113" s="296" t="s">
        <v>194</v>
      </c>
      <c r="AK113" s="299">
        <f>COUNTIF($A$3:A$917,A113)</f>
        <v>1</v>
      </c>
    </row>
    <row r="114" spans="1:37" x14ac:dyDescent="0.25">
      <c r="A114" s="296">
        <v>800730772</v>
      </c>
      <c r="B114" s="296" t="s">
        <v>1308</v>
      </c>
      <c r="C114" s="296" t="s">
        <v>183</v>
      </c>
      <c r="D114" s="296" t="s">
        <v>183</v>
      </c>
      <c r="E114" s="296" t="s">
        <v>183</v>
      </c>
      <c r="F114" s="296" t="s">
        <v>1309</v>
      </c>
      <c r="G114" s="296" t="s">
        <v>1310</v>
      </c>
      <c r="H114" s="296" t="s">
        <v>1311</v>
      </c>
      <c r="I114" s="296" t="s">
        <v>1312</v>
      </c>
      <c r="J114" s="296" t="s">
        <v>1313</v>
      </c>
      <c r="K114" s="296" t="s">
        <v>1314</v>
      </c>
      <c r="L114" s="296" t="s">
        <v>1308</v>
      </c>
      <c r="M114" s="296" t="s">
        <v>179</v>
      </c>
      <c r="N114" s="296" t="s">
        <v>1309</v>
      </c>
      <c r="O114" s="296" t="s">
        <v>1310</v>
      </c>
      <c r="P114" s="296" t="s">
        <v>1311</v>
      </c>
      <c r="Q114" s="296" t="s">
        <v>183</v>
      </c>
      <c r="R114" s="296" t="s">
        <v>1315</v>
      </c>
      <c r="S114" s="296" t="s">
        <v>185</v>
      </c>
      <c r="T114" s="296" t="s">
        <v>185</v>
      </c>
      <c r="U114" s="296" t="s">
        <v>186</v>
      </c>
      <c r="V114" s="296" t="s">
        <v>187</v>
      </c>
      <c r="W114" s="296" t="s">
        <v>188</v>
      </c>
      <c r="X114" s="296" t="s">
        <v>256</v>
      </c>
      <c r="Y114" s="296" t="s">
        <v>183</v>
      </c>
      <c r="Z114" s="296" t="s">
        <v>183</v>
      </c>
      <c r="AA114" s="296" t="s">
        <v>183</v>
      </c>
      <c r="AB114" s="296" t="s">
        <v>183</v>
      </c>
      <c r="AC114" s="296" t="s">
        <v>1316</v>
      </c>
      <c r="AD114" s="296" t="s">
        <v>1317</v>
      </c>
      <c r="AE114" s="296" t="s">
        <v>192</v>
      </c>
      <c r="AF114" s="296" t="s">
        <v>193</v>
      </c>
      <c r="AG114" s="296">
        <v>0</v>
      </c>
      <c r="AH114" s="298">
        <v>36588</v>
      </c>
      <c r="AJ114" s="296" t="s">
        <v>194</v>
      </c>
      <c r="AK114" s="299">
        <f>COUNTIF($A$3:A$917,A114)</f>
        <v>1</v>
      </c>
    </row>
    <row r="115" spans="1:37" x14ac:dyDescent="0.25">
      <c r="A115" s="296">
        <v>108960776</v>
      </c>
      <c r="B115" s="296" t="s">
        <v>1318</v>
      </c>
      <c r="C115" s="296" t="s">
        <v>183</v>
      </c>
      <c r="D115" s="296" t="s">
        <v>183</v>
      </c>
      <c r="E115" s="296" t="s">
        <v>183</v>
      </c>
      <c r="F115" s="296" t="s">
        <v>1319</v>
      </c>
      <c r="G115" s="296" t="s">
        <v>183</v>
      </c>
      <c r="H115" s="296" t="s">
        <v>1320</v>
      </c>
      <c r="I115" s="296" t="s">
        <v>1312</v>
      </c>
      <c r="J115" s="296" t="s">
        <v>1321</v>
      </c>
      <c r="K115" s="296" t="s">
        <v>1322</v>
      </c>
      <c r="L115" s="296" t="s">
        <v>1318</v>
      </c>
      <c r="M115" s="296" t="s">
        <v>179</v>
      </c>
      <c r="N115" s="296" t="s">
        <v>1319</v>
      </c>
      <c r="O115" s="296" t="s">
        <v>183</v>
      </c>
      <c r="P115" s="296" t="s">
        <v>1320</v>
      </c>
      <c r="Q115" s="296" t="s">
        <v>183</v>
      </c>
      <c r="R115" s="296" t="s">
        <v>1323</v>
      </c>
      <c r="S115" s="296" t="s">
        <v>185</v>
      </c>
      <c r="T115" s="296" t="s">
        <v>185</v>
      </c>
      <c r="U115" s="296" t="s">
        <v>186</v>
      </c>
      <c r="V115" s="296" t="s">
        <v>187</v>
      </c>
      <c r="W115" s="296" t="s">
        <v>188</v>
      </c>
      <c r="X115" s="296" t="s">
        <v>189</v>
      </c>
      <c r="Y115" s="296" t="s">
        <v>183</v>
      </c>
      <c r="Z115" s="296" t="s">
        <v>183</v>
      </c>
      <c r="AA115" s="296" t="s">
        <v>183</v>
      </c>
      <c r="AB115" s="296" t="s">
        <v>183</v>
      </c>
      <c r="AC115" s="296" t="s">
        <v>1324</v>
      </c>
      <c r="AD115" s="296" t="s">
        <v>1325</v>
      </c>
      <c r="AE115" s="296" t="s">
        <v>192</v>
      </c>
      <c r="AF115" s="296" t="s">
        <v>193</v>
      </c>
      <c r="AG115" s="296">
        <v>0</v>
      </c>
      <c r="AH115" s="298">
        <v>45160</v>
      </c>
      <c r="AJ115" s="296" t="s">
        <v>194</v>
      </c>
      <c r="AK115" s="299">
        <f>COUNTIF($A$3:A$917,A115)</f>
        <v>1</v>
      </c>
    </row>
    <row r="116" spans="1:37" x14ac:dyDescent="0.25">
      <c r="A116" s="296">
        <v>116620697</v>
      </c>
      <c r="B116" s="296" t="s">
        <v>1326</v>
      </c>
      <c r="C116" s="296" t="s">
        <v>183</v>
      </c>
      <c r="D116" s="296" t="s">
        <v>183</v>
      </c>
      <c r="E116" s="296" t="s">
        <v>183</v>
      </c>
      <c r="F116" s="296" t="s">
        <v>1327</v>
      </c>
      <c r="G116" s="296" t="s">
        <v>1327</v>
      </c>
      <c r="H116" s="296" t="s">
        <v>1328</v>
      </c>
      <c r="I116" s="296" t="s">
        <v>1312</v>
      </c>
      <c r="J116" s="296" t="s">
        <v>1329</v>
      </c>
      <c r="K116" s="296" t="s">
        <v>1330</v>
      </c>
      <c r="L116" s="296" t="s">
        <v>1331</v>
      </c>
      <c r="M116" s="296" t="s">
        <v>179</v>
      </c>
      <c r="N116" s="296" t="s">
        <v>1332</v>
      </c>
      <c r="O116" s="296" t="s">
        <v>183</v>
      </c>
      <c r="P116" s="296" t="s">
        <v>1333</v>
      </c>
      <c r="Q116" s="296" t="s">
        <v>183</v>
      </c>
      <c r="R116" s="296" t="s">
        <v>1334</v>
      </c>
      <c r="S116" s="296" t="s">
        <v>194</v>
      </c>
      <c r="T116" s="296" t="s">
        <v>185</v>
      </c>
      <c r="U116" s="296" t="s">
        <v>186</v>
      </c>
      <c r="V116" s="296" t="s">
        <v>187</v>
      </c>
      <c r="W116" s="296" t="s">
        <v>188</v>
      </c>
      <c r="X116" s="296" t="s">
        <v>189</v>
      </c>
      <c r="Y116" s="296" t="s">
        <v>183</v>
      </c>
      <c r="Z116" s="296" t="s">
        <v>183</v>
      </c>
      <c r="AA116" s="296" t="s">
        <v>183</v>
      </c>
      <c r="AB116" s="296" t="s">
        <v>183</v>
      </c>
      <c r="AC116" s="296" t="s">
        <v>1335</v>
      </c>
      <c r="AD116" s="296" t="s">
        <v>1336</v>
      </c>
      <c r="AE116" s="296" t="s">
        <v>192</v>
      </c>
      <c r="AF116" s="296" t="s">
        <v>193</v>
      </c>
      <c r="AG116" s="296">
        <v>0</v>
      </c>
      <c r="AH116" s="298">
        <v>45638</v>
      </c>
      <c r="AJ116" s="296" t="s">
        <v>194</v>
      </c>
      <c r="AK116" s="299">
        <f>COUNTIF($A$3:A$917,A116)</f>
        <v>1</v>
      </c>
    </row>
    <row r="117" spans="1:37" x14ac:dyDescent="0.25">
      <c r="A117" s="296">
        <v>501920320</v>
      </c>
      <c r="B117" s="296" t="s">
        <v>1337</v>
      </c>
      <c r="C117" s="296" t="s">
        <v>183</v>
      </c>
      <c r="D117" s="296" t="s">
        <v>183</v>
      </c>
      <c r="E117" s="296" t="s">
        <v>183</v>
      </c>
      <c r="F117" s="296" t="s">
        <v>1338</v>
      </c>
      <c r="G117" s="296" t="s">
        <v>1339</v>
      </c>
      <c r="H117" s="296" t="s">
        <v>1340</v>
      </c>
      <c r="I117" s="296" t="s">
        <v>1312</v>
      </c>
      <c r="J117" s="296" t="s">
        <v>1341</v>
      </c>
      <c r="K117" s="296" t="s">
        <v>1342</v>
      </c>
      <c r="L117" s="296" t="s">
        <v>1337</v>
      </c>
      <c r="M117" s="296" t="s">
        <v>179</v>
      </c>
      <c r="N117" s="296" t="s">
        <v>1338</v>
      </c>
      <c r="O117" s="296" t="s">
        <v>1339</v>
      </c>
      <c r="P117" s="296" t="s">
        <v>1340</v>
      </c>
      <c r="Q117" s="296" t="s">
        <v>183</v>
      </c>
      <c r="R117" s="296" t="s">
        <v>1343</v>
      </c>
      <c r="S117" s="296" t="s">
        <v>185</v>
      </c>
      <c r="T117" s="296" t="s">
        <v>185</v>
      </c>
      <c r="U117" s="296" t="s">
        <v>186</v>
      </c>
      <c r="V117" s="296" t="s">
        <v>187</v>
      </c>
      <c r="W117" s="296" t="s">
        <v>188</v>
      </c>
      <c r="X117" s="296" t="s">
        <v>246</v>
      </c>
      <c r="Y117" s="296" t="s">
        <v>183</v>
      </c>
      <c r="Z117" s="296" t="s">
        <v>183</v>
      </c>
      <c r="AA117" s="296" t="s">
        <v>183</v>
      </c>
      <c r="AB117" s="296" t="s">
        <v>183</v>
      </c>
      <c r="AC117" s="296" t="s">
        <v>1344</v>
      </c>
      <c r="AD117" s="296" t="s">
        <v>1345</v>
      </c>
      <c r="AE117" s="296" t="s">
        <v>192</v>
      </c>
      <c r="AF117" s="296" t="s">
        <v>193</v>
      </c>
      <c r="AG117" s="296">
        <v>0</v>
      </c>
      <c r="AH117" s="298">
        <v>39890</v>
      </c>
      <c r="AJ117" s="296" t="s">
        <v>194</v>
      </c>
      <c r="AK117" s="299">
        <f>COUNTIF($A$3:A$917,A117)</f>
        <v>1</v>
      </c>
    </row>
    <row r="118" spans="1:37" x14ac:dyDescent="0.25">
      <c r="A118" s="296">
        <v>3101256045</v>
      </c>
      <c r="B118" s="296" t="s">
        <v>1346</v>
      </c>
      <c r="C118" s="296" t="s">
        <v>183</v>
      </c>
      <c r="D118" s="296" t="s">
        <v>183</v>
      </c>
      <c r="E118" s="296" t="s">
        <v>183</v>
      </c>
      <c r="F118" s="296" t="s">
        <v>1347</v>
      </c>
      <c r="G118" s="296" t="s">
        <v>1348</v>
      </c>
      <c r="H118" s="296" t="s">
        <v>1349</v>
      </c>
      <c r="I118" s="296" t="s">
        <v>1312</v>
      </c>
      <c r="J118" s="296" t="s">
        <v>1350</v>
      </c>
      <c r="K118" s="296" t="s">
        <v>1351</v>
      </c>
      <c r="L118" s="296" t="s">
        <v>1352</v>
      </c>
      <c r="M118" s="296" t="s">
        <v>179</v>
      </c>
      <c r="N118" s="296" t="s">
        <v>1353</v>
      </c>
      <c r="O118" s="296" t="s">
        <v>1353</v>
      </c>
      <c r="P118" s="296" t="s">
        <v>1354</v>
      </c>
      <c r="Q118" s="296" t="s">
        <v>183</v>
      </c>
      <c r="R118" s="296" t="s">
        <v>1355</v>
      </c>
      <c r="S118" s="296" t="s">
        <v>185</v>
      </c>
      <c r="T118" s="296" t="s">
        <v>185</v>
      </c>
      <c r="U118" s="296" t="s">
        <v>186</v>
      </c>
      <c r="V118" s="296" t="s">
        <v>187</v>
      </c>
      <c r="W118" s="296" t="s">
        <v>188</v>
      </c>
      <c r="X118" s="296" t="s">
        <v>189</v>
      </c>
      <c r="Y118" s="296" t="s">
        <v>183</v>
      </c>
      <c r="Z118" s="296" t="s">
        <v>183</v>
      </c>
      <c r="AA118" s="296" t="s">
        <v>183</v>
      </c>
      <c r="AB118" s="296" t="s">
        <v>183</v>
      </c>
      <c r="AC118" s="296" t="s">
        <v>1356</v>
      </c>
      <c r="AD118" s="296" t="s">
        <v>1357</v>
      </c>
      <c r="AE118" s="296" t="s">
        <v>192</v>
      </c>
      <c r="AF118" s="296" t="s">
        <v>193</v>
      </c>
      <c r="AG118" s="296">
        <v>11914</v>
      </c>
      <c r="AH118" s="298">
        <v>43690</v>
      </c>
      <c r="AJ118" s="296" t="s">
        <v>194</v>
      </c>
      <c r="AK118" s="299">
        <f>COUNTIF($A$3:A$917,A118)</f>
        <v>3</v>
      </c>
    </row>
    <row r="119" spans="1:37" x14ac:dyDescent="0.25">
      <c r="A119" s="296">
        <v>115600731005</v>
      </c>
      <c r="B119" s="296" t="s">
        <v>1358</v>
      </c>
      <c r="C119" s="296" t="s">
        <v>183</v>
      </c>
      <c r="D119" s="296" t="s">
        <v>183</v>
      </c>
      <c r="E119" s="296" t="s">
        <v>183</v>
      </c>
      <c r="F119" s="296" t="s">
        <v>1359</v>
      </c>
      <c r="G119" s="296" t="s">
        <v>1359</v>
      </c>
      <c r="H119" s="296" t="s">
        <v>1360</v>
      </c>
      <c r="I119" s="296" t="s">
        <v>1312</v>
      </c>
      <c r="J119" s="296" t="s">
        <v>1361</v>
      </c>
      <c r="K119" s="296" t="s">
        <v>1009</v>
      </c>
      <c r="L119" s="296" t="s">
        <v>1003</v>
      </c>
      <c r="M119" s="296" t="s">
        <v>179</v>
      </c>
      <c r="N119" s="296" t="s">
        <v>1006</v>
      </c>
      <c r="O119" s="296" t="s">
        <v>1010</v>
      </c>
      <c r="P119" s="296" t="s">
        <v>1011</v>
      </c>
      <c r="Q119" s="296" t="s">
        <v>183</v>
      </c>
      <c r="R119" s="296" t="s">
        <v>1362</v>
      </c>
      <c r="S119" s="296" t="s">
        <v>185</v>
      </c>
      <c r="T119" s="296" t="s">
        <v>185</v>
      </c>
      <c r="U119" s="296" t="s">
        <v>186</v>
      </c>
      <c r="V119" s="296" t="s">
        <v>187</v>
      </c>
      <c r="W119" s="296" t="s">
        <v>188</v>
      </c>
      <c r="X119" s="296" t="s">
        <v>189</v>
      </c>
      <c r="Y119" s="296" t="s">
        <v>183</v>
      </c>
      <c r="Z119" s="296" t="s">
        <v>183</v>
      </c>
      <c r="AA119" s="296" t="s">
        <v>183</v>
      </c>
      <c r="AB119" s="296" t="s">
        <v>183</v>
      </c>
      <c r="AC119" s="296" t="s">
        <v>1363</v>
      </c>
      <c r="AD119" s="296" t="s">
        <v>1364</v>
      </c>
      <c r="AE119" s="296" t="s">
        <v>192</v>
      </c>
      <c r="AF119" s="296" t="s">
        <v>193</v>
      </c>
      <c r="AG119" s="296">
        <v>0</v>
      </c>
      <c r="AH119" s="298">
        <v>45341</v>
      </c>
      <c r="AJ119" s="296" t="s">
        <v>194</v>
      </c>
      <c r="AK119" s="299">
        <f>COUNTIF($A$3:A$917,A119)</f>
        <v>1</v>
      </c>
    </row>
    <row r="120" spans="1:37" x14ac:dyDescent="0.25">
      <c r="A120" s="296">
        <v>113340152</v>
      </c>
      <c r="B120" s="296" t="s">
        <v>1365</v>
      </c>
      <c r="C120" s="296" t="s">
        <v>183</v>
      </c>
      <c r="D120" s="296" t="s">
        <v>183</v>
      </c>
      <c r="E120" s="296" t="s">
        <v>183</v>
      </c>
      <c r="F120" s="296" t="s">
        <v>1366</v>
      </c>
      <c r="G120" s="296" t="s">
        <v>1366</v>
      </c>
      <c r="H120" s="296" t="s">
        <v>1367</v>
      </c>
      <c r="I120" s="296" t="s">
        <v>1312</v>
      </c>
      <c r="J120" s="296" t="s">
        <v>1368</v>
      </c>
      <c r="K120" s="296" t="s">
        <v>1369</v>
      </c>
      <c r="L120" s="296" t="s">
        <v>1370</v>
      </c>
      <c r="M120" s="296" t="s">
        <v>179</v>
      </c>
      <c r="N120" s="296" t="s">
        <v>1371</v>
      </c>
      <c r="O120" s="296" t="s">
        <v>1371</v>
      </c>
      <c r="P120" s="296" t="s">
        <v>1372</v>
      </c>
      <c r="Q120" s="296" t="s">
        <v>183</v>
      </c>
      <c r="R120" s="296" t="s">
        <v>1373</v>
      </c>
      <c r="S120" s="296" t="s">
        <v>185</v>
      </c>
      <c r="T120" s="296" t="s">
        <v>185</v>
      </c>
      <c r="U120" s="296" t="s">
        <v>186</v>
      </c>
      <c r="V120" s="296" t="s">
        <v>187</v>
      </c>
      <c r="W120" s="296" t="s">
        <v>188</v>
      </c>
      <c r="X120" s="296" t="s">
        <v>224</v>
      </c>
      <c r="Y120" s="296" t="s">
        <v>183</v>
      </c>
      <c r="Z120" s="296" t="s">
        <v>183</v>
      </c>
      <c r="AA120" s="296" t="s">
        <v>183</v>
      </c>
      <c r="AB120" s="296" t="s">
        <v>183</v>
      </c>
      <c r="AC120" s="296" t="s">
        <v>1374</v>
      </c>
      <c r="AD120" s="296" t="s">
        <v>1375</v>
      </c>
      <c r="AE120" s="296" t="s">
        <v>192</v>
      </c>
      <c r="AF120" s="296" t="s">
        <v>193</v>
      </c>
      <c r="AG120" s="296">
        <v>0</v>
      </c>
      <c r="AH120" s="298">
        <v>45986</v>
      </c>
      <c r="AJ120" s="296" t="s">
        <v>194</v>
      </c>
      <c r="AK120" s="299">
        <f>COUNTIF($A$3:A$917,A120)</f>
        <v>1</v>
      </c>
    </row>
    <row r="121" spans="1:37" x14ac:dyDescent="0.25">
      <c r="A121" s="296">
        <v>504610540</v>
      </c>
      <c r="B121" s="296" t="s">
        <v>1376</v>
      </c>
      <c r="C121" s="296" t="s">
        <v>183</v>
      </c>
      <c r="D121" s="296" t="s">
        <v>183</v>
      </c>
      <c r="E121" s="296" t="s">
        <v>183</v>
      </c>
      <c r="F121" s="296" t="s">
        <v>1377</v>
      </c>
      <c r="G121" s="296" t="s">
        <v>1377</v>
      </c>
      <c r="H121" s="296" t="s">
        <v>1378</v>
      </c>
      <c r="I121" s="296" t="s">
        <v>1312</v>
      </c>
      <c r="J121" s="296" t="s">
        <v>1379</v>
      </c>
      <c r="K121" s="296" t="s">
        <v>1380</v>
      </c>
      <c r="L121" s="296" t="s">
        <v>1381</v>
      </c>
      <c r="M121" s="296" t="s">
        <v>179</v>
      </c>
      <c r="N121" s="296" t="s">
        <v>1382</v>
      </c>
      <c r="O121" s="296" t="s">
        <v>1383</v>
      </c>
      <c r="P121" s="296" t="s">
        <v>1384</v>
      </c>
      <c r="Q121" s="296" t="s">
        <v>183</v>
      </c>
      <c r="R121" s="296" t="s">
        <v>1385</v>
      </c>
      <c r="S121" s="296" t="s">
        <v>185</v>
      </c>
      <c r="T121" s="296" t="s">
        <v>185</v>
      </c>
      <c r="U121" s="296" t="s">
        <v>186</v>
      </c>
      <c r="V121" s="296" t="s">
        <v>187</v>
      </c>
      <c r="W121" s="296" t="s">
        <v>188</v>
      </c>
      <c r="X121" s="296" t="s">
        <v>189</v>
      </c>
      <c r="Y121" s="296" t="s">
        <v>183</v>
      </c>
      <c r="Z121" s="296" t="s">
        <v>183</v>
      </c>
      <c r="AA121" s="296" t="s">
        <v>183</v>
      </c>
      <c r="AB121" s="296" t="s">
        <v>183</v>
      </c>
      <c r="AC121" s="296" t="s">
        <v>1386</v>
      </c>
      <c r="AD121" s="296" t="s">
        <v>1387</v>
      </c>
      <c r="AE121" s="296" t="s">
        <v>192</v>
      </c>
      <c r="AF121" s="296" t="s">
        <v>193</v>
      </c>
      <c r="AG121" s="296">
        <v>0</v>
      </c>
      <c r="AH121" s="298">
        <v>46010</v>
      </c>
      <c r="AJ121" s="296" t="s">
        <v>194</v>
      </c>
      <c r="AK121" s="299">
        <f>COUNTIF($A$3:A$917,A121)</f>
        <v>3</v>
      </c>
    </row>
    <row r="122" spans="1:37" x14ac:dyDescent="0.25">
      <c r="A122" s="296">
        <v>503010749</v>
      </c>
      <c r="B122" s="296" t="s">
        <v>1388</v>
      </c>
      <c r="C122" s="296" t="s">
        <v>183</v>
      </c>
      <c r="D122" s="296" t="s">
        <v>183</v>
      </c>
      <c r="E122" s="296" t="s">
        <v>183</v>
      </c>
      <c r="F122" s="296" t="s">
        <v>1389</v>
      </c>
      <c r="G122" s="296" t="s">
        <v>1389</v>
      </c>
      <c r="H122" s="296" t="s">
        <v>1390</v>
      </c>
      <c r="I122" s="296" t="s">
        <v>1312</v>
      </c>
      <c r="J122" s="296" t="s">
        <v>1391</v>
      </c>
      <c r="K122" s="296" t="s">
        <v>1392</v>
      </c>
      <c r="L122" s="296" t="s">
        <v>1393</v>
      </c>
      <c r="M122" s="296" t="s">
        <v>179</v>
      </c>
      <c r="N122" s="296" t="s">
        <v>1394</v>
      </c>
      <c r="O122" s="296" t="s">
        <v>1395</v>
      </c>
      <c r="P122" s="296" t="s">
        <v>1396</v>
      </c>
      <c r="Q122" s="296" t="s">
        <v>183</v>
      </c>
      <c r="R122" s="296" t="s">
        <v>1397</v>
      </c>
      <c r="S122" s="296" t="s">
        <v>185</v>
      </c>
      <c r="T122" s="296" t="s">
        <v>185</v>
      </c>
      <c r="U122" s="296" t="s">
        <v>186</v>
      </c>
      <c r="V122" s="296" t="s">
        <v>187</v>
      </c>
      <c r="W122" s="296" t="s">
        <v>188</v>
      </c>
      <c r="X122" s="296" t="s">
        <v>189</v>
      </c>
      <c r="Y122" s="296" t="s">
        <v>183</v>
      </c>
      <c r="Z122" s="296" t="s">
        <v>183</v>
      </c>
      <c r="AA122" s="296" t="s">
        <v>183</v>
      </c>
      <c r="AB122" s="296" t="s">
        <v>183</v>
      </c>
      <c r="AC122" s="296" t="s">
        <v>1398</v>
      </c>
      <c r="AD122" s="296" t="s">
        <v>1399</v>
      </c>
      <c r="AE122" s="296" t="s">
        <v>192</v>
      </c>
      <c r="AF122" s="296" t="s">
        <v>193</v>
      </c>
      <c r="AG122" s="296">
        <v>0</v>
      </c>
      <c r="AH122" s="298">
        <v>45544</v>
      </c>
      <c r="AJ122" s="296" t="s">
        <v>194</v>
      </c>
      <c r="AK122" s="299">
        <f>COUNTIF($A$3:A$917,A122)</f>
        <v>1</v>
      </c>
    </row>
    <row r="123" spans="1:37" x14ac:dyDescent="0.25">
      <c r="A123" s="296">
        <v>3101926557</v>
      </c>
      <c r="B123" s="296" t="s">
        <v>1400</v>
      </c>
      <c r="C123" s="296" t="s">
        <v>1401</v>
      </c>
      <c r="D123" s="296" t="s">
        <v>1402</v>
      </c>
      <c r="E123" s="296" t="s">
        <v>172</v>
      </c>
      <c r="F123" s="296" t="s">
        <v>1403</v>
      </c>
      <c r="G123" s="296" t="s">
        <v>1404</v>
      </c>
      <c r="H123" s="296" t="s">
        <v>1405</v>
      </c>
      <c r="I123" s="296" t="s">
        <v>1312</v>
      </c>
      <c r="J123" s="296" t="s">
        <v>1406</v>
      </c>
      <c r="K123" s="296" t="s">
        <v>1407</v>
      </c>
      <c r="L123" s="296" t="s">
        <v>1408</v>
      </c>
      <c r="M123" s="296" t="s">
        <v>179</v>
      </c>
      <c r="N123" s="296" t="s">
        <v>1409</v>
      </c>
      <c r="O123" s="296" t="s">
        <v>183</v>
      </c>
      <c r="P123" s="296" t="s">
        <v>1410</v>
      </c>
      <c r="Q123" s="296" t="s">
        <v>183</v>
      </c>
      <c r="R123" s="296" t="s">
        <v>1411</v>
      </c>
      <c r="S123" s="296" t="s">
        <v>185</v>
      </c>
      <c r="T123" s="296" t="s">
        <v>185</v>
      </c>
      <c r="U123" s="296" t="s">
        <v>186</v>
      </c>
      <c r="V123" s="296" t="s">
        <v>187</v>
      </c>
      <c r="W123" s="296" t="s">
        <v>188</v>
      </c>
      <c r="X123" s="296" t="s">
        <v>189</v>
      </c>
      <c r="Y123" s="296" t="s">
        <v>183</v>
      </c>
      <c r="Z123" s="296" t="s">
        <v>183</v>
      </c>
      <c r="AA123" s="296" t="s">
        <v>183</v>
      </c>
      <c r="AB123" s="296" t="s">
        <v>183</v>
      </c>
      <c r="AC123" s="296" t="s">
        <v>1412</v>
      </c>
      <c r="AD123" s="296" t="s">
        <v>1413</v>
      </c>
      <c r="AE123" s="296" t="s">
        <v>192</v>
      </c>
      <c r="AF123" s="296" t="s">
        <v>193</v>
      </c>
      <c r="AG123" s="296">
        <v>0</v>
      </c>
      <c r="AH123" s="298">
        <v>45771</v>
      </c>
      <c r="AJ123" s="296" t="s">
        <v>194</v>
      </c>
      <c r="AK123" s="299">
        <f>COUNTIF($A$3:A$917,A123)</f>
        <v>1</v>
      </c>
    </row>
    <row r="124" spans="1:37" x14ac:dyDescent="0.25">
      <c r="A124" s="296">
        <v>503300655</v>
      </c>
      <c r="B124" s="296" t="s">
        <v>552</v>
      </c>
      <c r="C124" s="296" t="s">
        <v>183</v>
      </c>
      <c r="D124" s="296" t="s">
        <v>183</v>
      </c>
      <c r="E124" s="296" t="s">
        <v>183</v>
      </c>
      <c r="F124" s="296" t="s">
        <v>554</v>
      </c>
      <c r="G124" s="296" t="s">
        <v>183</v>
      </c>
      <c r="H124" s="296" t="s">
        <v>555</v>
      </c>
      <c r="I124" s="296" t="s">
        <v>1312</v>
      </c>
      <c r="J124" s="296" t="s">
        <v>1414</v>
      </c>
      <c r="K124" s="296" t="s">
        <v>553</v>
      </c>
      <c r="L124" s="296" t="s">
        <v>552</v>
      </c>
      <c r="M124" s="296" t="s">
        <v>179</v>
      </c>
      <c r="N124" s="296" t="s">
        <v>554</v>
      </c>
      <c r="O124" s="296" t="s">
        <v>183</v>
      </c>
      <c r="P124" s="296" t="s">
        <v>555</v>
      </c>
      <c r="Q124" s="296" t="s">
        <v>183</v>
      </c>
      <c r="R124" s="296" t="s">
        <v>1415</v>
      </c>
      <c r="S124" s="296" t="s">
        <v>185</v>
      </c>
      <c r="T124" s="296" t="s">
        <v>185</v>
      </c>
      <c r="U124" s="296" t="s">
        <v>186</v>
      </c>
      <c r="V124" s="296" t="s">
        <v>187</v>
      </c>
      <c r="W124" s="296" t="s">
        <v>188</v>
      </c>
      <c r="X124" s="296" t="s">
        <v>246</v>
      </c>
      <c r="Y124" s="296" t="s">
        <v>183</v>
      </c>
      <c r="Z124" s="296" t="s">
        <v>183</v>
      </c>
      <c r="AA124" s="296" t="s">
        <v>183</v>
      </c>
      <c r="AB124" s="296" t="s">
        <v>183</v>
      </c>
      <c r="AC124" s="296" t="s">
        <v>1416</v>
      </c>
      <c r="AD124" s="296" t="s">
        <v>1417</v>
      </c>
      <c r="AE124" s="296" t="s">
        <v>192</v>
      </c>
      <c r="AF124" s="296" t="s">
        <v>193</v>
      </c>
      <c r="AG124" s="296">
        <v>0</v>
      </c>
      <c r="AH124" s="298">
        <v>45873</v>
      </c>
      <c r="AJ124" s="296" t="s">
        <v>194</v>
      </c>
      <c r="AK124" s="299">
        <f>COUNTIF($A$3:A$917,A124)</f>
        <v>2</v>
      </c>
    </row>
    <row r="125" spans="1:37" x14ac:dyDescent="0.25">
      <c r="A125" s="296">
        <v>603570895</v>
      </c>
      <c r="B125" s="296" t="s">
        <v>1418</v>
      </c>
      <c r="C125" s="296" t="s">
        <v>183</v>
      </c>
      <c r="D125" s="296" t="s">
        <v>183</v>
      </c>
      <c r="E125" s="296" t="s">
        <v>183</v>
      </c>
      <c r="F125" s="296" t="s">
        <v>1419</v>
      </c>
      <c r="G125" s="296" t="s">
        <v>1420</v>
      </c>
      <c r="H125" s="296" t="s">
        <v>1421</v>
      </c>
      <c r="I125" s="296" t="s">
        <v>1312</v>
      </c>
      <c r="J125" s="296" t="s">
        <v>1422</v>
      </c>
      <c r="K125" s="296" t="s">
        <v>1423</v>
      </c>
      <c r="L125" s="296" t="s">
        <v>1424</v>
      </c>
      <c r="M125" s="296" t="s">
        <v>179</v>
      </c>
      <c r="N125" s="296" t="s">
        <v>1425</v>
      </c>
      <c r="O125" s="296" t="s">
        <v>1426</v>
      </c>
      <c r="P125" s="296" t="s">
        <v>1421</v>
      </c>
      <c r="Q125" s="296" t="s">
        <v>183</v>
      </c>
      <c r="R125" s="296" t="s">
        <v>1427</v>
      </c>
      <c r="S125" s="296" t="s">
        <v>185</v>
      </c>
      <c r="T125" s="296" t="s">
        <v>185</v>
      </c>
      <c r="U125" s="296" t="s">
        <v>186</v>
      </c>
      <c r="V125" s="296" t="s">
        <v>187</v>
      </c>
      <c r="W125" s="296" t="s">
        <v>188</v>
      </c>
      <c r="X125" s="296" t="s">
        <v>404</v>
      </c>
      <c r="Y125" s="296" t="s">
        <v>183</v>
      </c>
      <c r="Z125" s="296" t="s">
        <v>183</v>
      </c>
      <c r="AA125" s="296" t="s">
        <v>183</v>
      </c>
      <c r="AB125" s="296" t="s">
        <v>183</v>
      </c>
      <c r="AC125" s="296" t="s">
        <v>1428</v>
      </c>
      <c r="AD125" s="296" t="s">
        <v>1429</v>
      </c>
      <c r="AE125" s="296" t="s">
        <v>192</v>
      </c>
      <c r="AF125" s="296" t="s">
        <v>193</v>
      </c>
      <c r="AG125" s="296">
        <v>8292</v>
      </c>
      <c r="AH125" s="298">
        <v>41534</v>
      </c>
      <c r="AJ125" s="296" t="s">
        <v>194</v>
      </c>
      <c r="AK125" s="299">
        <f>COUNTIF($A$3:A$917,A125)</f>
        <v>2</v>
      </c>
    </row>
    <row r="126" spans="1:37" x14ac:dyDescent="0.25">
      <c r="A126" s="296">
        <v>208120654</v>
      </c>
      <c r="B126" s="296" t="s">
        <v>1430</v>
      </c>
      <c r="C126" s="296" t="s">
        <v>183</v>
      </c>
      <c r="D126" s="296" t="s">
        <v>183</v>
      </c>
      <c r="E126" s="296" t="s">
        <v>183</v>
      </c>
      <c r="F126" s="296" t="s">
        <v>1431</v>
      </c>
      <c r="G126" s="296" t="s">
        <v>1431</v>
      </c>
      <c r="H126" s="296" t="s">
        <v>1432</v>
      </c>
      <c r="I126" s="296" t="s">
        <v>1312</v>
      </c>
      <c r="J126" s="296" t="s">
        <v>1433</v>
      </c>
      <c r="K126" s="296" t="s">
        <v>177</v>
      </c>
      <c r="L126" s="296" t="s">
        <v>178</v>
      </c>
      <c r="M126" s="296" t="s">
        <v>179</v>
      </c>
      <c r="N126" s="296" t="s">
        <v>180</v>
      </c>
      <c r="O126" s="296" t="s">
        <v>181</v>
      </c>
      <c r="P126" s="296" t="s">
        <v>182</v>
      </c>
      <c r="Q126" s="296" t="s">
        <v>183</v>
      </c>
      <c r="R126" s="296" t="s">
        <v>1434</v>
      </c>
      <c r="S126" s="296" t="s">
        <v>185</v>
      </c>
      <c r="T126" s="296" t="s">
        <v>185</v>
      </c>
      <c r="U126" s="296" t="s">
        <v>186</v>
      </c>
      <c r="V126" s="296" t="s">
        <v>187</v>
      </c>
      <c r="W126" s="296" t="s">
        <v>188</v>
      </c>
      <c r="X126" s="296" t="s">
        <v>256</v>
      </c>
      <c r="Y126" s="296" t="s">
        <v>183</v>
      </c>
      <c r="Z126" s="296" t="s">
        <v>183</v>
      </c>
      <c r="AA126" s="296" t="s">
        <v>183</v>
      </c>
      <c r="AB126" s="296" t="s">
        <v>183</v>
      </c>
      <c r="AC126" s="296" t="s">
        <v>1435</v>
      </c>
      <c r="AD126" s="296" t="s">
        <v>1436</v>
      </c>
      <c r="AE126" s="296" t="s">
        <v>192</v>
      </c>
      <c r="AF126" s="296" t="s">
        <v>193</v>
      </c>
      <c r="AG126" s="296">
        <v>0</v>
      </c>
      <c r="AH126" s="298">
        <v>45488</v>
      </c>
      <c r="AJ126" s="296" t="s">
        <v>194</v>
      </c>
      <c r="AK126" s="299">
        <f>COUNTIF($A$3:A$917,A126)</f>
        <v>1</v>
      </c>
    </row>
    <row r="127" spans="1:37" x14ac:dyDescent="0.25">
      <c r="A127" s="296">
        <v>3101560034</v>
      </c>
      <c r="B127" s="296" t="s">
        <v>1437</v>
      </c>
      <c r="C127" s="296" t="s">
        <v>183</v>
      </c>
      <c r="D127" s="296" t="s">
        <v>183</v>
      </c>
      <c r="E127" s="296" t="s">
        <v>183</v>
      </c>
      <c r="F127" s="296" t="s">
        <v>1438</v>
      </c>
      <c r="G127" s="296" t="s">
        <v>183</v>
      </c>
      <c r="H127" s="296" t="s">
        <v>1439</v>
      </c>
      <c r="I127" s="296" t="s">
        <v>1312</v>
      </c>
      <c r="J127" s="296" t="s">
        <v>1440</v>
      </c>
      <c r="K127" s="296" t="s">
        <v>1441</v>
      </c>
      <c r="L127" s="296" t="s">
        <v>1442</v>
      </c>
      <c r="M127" s="296" t="s">
        <v>179</v>
      </c>
      <c r="N127" s="296" t="s">
        <v>1443</v>
      </c>
      <c r="O127" s="296" t="s">
        <v>1444</v>
      </c>
      <c r="P127" s="296" t="s">
        <v>1445</v>
      </c>
      <c r="Q127" s="296" t="s">
        <v>183</v>
      </c>
      <c r="R127" s="296" t="s">
        <v>1446</v>
      </c>
      <c r="S127" s="296" t="s">
        <v>185</v>
      </c>
      <c r="T127" s="296" t="s">
        <v>185</v>
      </c>
      <c r="U127" s="296" t="s">
        <v>186</v>
      </c>
      <c r="V127" s="296" t="s">
        <v>187</v>
      </c>
      <c r="W127" s="296" t="s">
        <v>188</v>
      </c>
      <c r="X127" s="296" t="s">
        <v>256</v>
      </c>
      <c r="Y127" s="296" t="s">
        <v>183</v>
      </c>
      <c r="Z127" s="296" t="s">
        <v>183</v>
      </c>
      <c r="AA127" s="296" t="s">
        <v>183</v>
      </c>
      <c r="AB127" s="296" t="s">
        <v>183</v>
      </c>
      <c r="AC127" s="296" t="s">
        <v>1447</v>
      </c>
      <c r="AD127" s="296" t="s">
        <v>1448</v>
      </c>
      <c r="AE127" s="296" t="s">
        <v>192</v>
      </c>
      <c r="AF127" s="296" t="s">
        <v>193</v>
      </c>
      <c r="AG127" s="296">
        <v>0</v>
      </c>
      <c r="AH127" s="298">
        <v>43689</v>
      </c>
      <c r="AJ127" s="296" t="s">
        <v>194</v>
      </c>
      <c r="AK127" s="299">
        <f>COUNTIF($A$3:A$917,A127)</f>
        <v>1</v>
      </c>
    </row>
    <row r="128" spans="1:37" x14ac:dyDescent="0.25">
      <c r="A128" s="296">
        <v>502440806</v>
      </c>
      <c r="B128" s="296" t="s">
        <v>1449</v>
      </c>
      <c r="C128" s="296" t="s">
        <v>183</v>
      </c>
      <c r="D128" s="296" t="s">
        <v>183</v>
      </c>
      <c r="E128" s="296" t="s">
        <v>183</v>
      </c>
      <c r="F128" s="296" t="s">
        <v>1450</v>
      </c>
      <c r="G128" s="296" t="s">
        <v>183</v>
      </c>
      <c r="H128" s="296" t="s">
        <v>1451</v>
      </c>
      <c r="I128" s="296" t="s">
        <v>1312</v>
      </c>
      <c r="J128" s="296" t="s">
        <v>1452</v>
      </c>
      <c r="K128" s="296" t="s">
        <v>1453</v>
      </c>
      <c r="L128" s="296" t="s">
        <v>1454</v>
      </c>
      <c r="M128" s="296" t="s">
        <v>179</v>
      </c>
      <c r="N128" s="296" t="s">
        <v>1455</v>
      </c>
      <c r="O128" s="296" t="s">
        <v>183</v>
      </c>
      <c r="P128" s="296" t="s">
        <v>1456</v>
      </c>
      <c r="Q128" s="296" t="s">
        <v>183</v>
      </c>
      <c r="R128" s="296" t="s">
        <v>1457</v>
      </c>
      <c r="S128" s="296" t="s">
        <v>185</v>
      </c>
      <c r="T128" s="296" t="s">
        <v>185</v>
      </c>
      <c r="U128" s="296" t="s">
        <v>186</v>
      </c>
      <c r="V128" s="296" t="s">
        <v>187</v>
      </c>
      <c r="W128" s="296" t="s">
        <v>188</v>
      </c>
      <c r="X128" s="296" t="s">
        <v>189</v>
      </c>
      <c r="Y128" s="296" t="s">
        <v>183</v>
      </c>
      <c r="Z128" s="296" t="s">
        <v>183</v>
      </c>
      <c r="AA128" s="296" t="s">
        <v>183</v>
      </c>
      <c r="AB128" s="296" t="s">
        <v>183</v>
      </c>
      <c r="AC128" s="296" t="s">
        <v>1386</v>
      </c>
      <c r="AD128" s="296" t="s">
        <v>1458</v>
      </c>
      <c r="AE128" s="296" t="s">
        <v>192</v>
      </c>
      <c r="AF128" s="296" t="s">
        <v>193</v>
      </c>
      <c r="AG128" s="296">
        <v>0</v>
      </c>
      <c r="AH128" s="298">
        <v>40941</v>
      </c>
      <c r="AJ128" s="296" t="s">
        <v>194</v>
      </c>
      <c r="AK128" s="299">
        <f>COUNTIF($A$3:A$917,A128)</f>
        <v>1</v>
      </c>
    </row>
    <row r="129" spans="1:37" x14ac:dyDescent="0.25">
      <c r="A129" s="296">
        <v>401920770</v>
      </c>
      <c r="B129" s="296" t="s">
        <v>1459</v>
      </c>
      <c r="C129" s="296" t="s">
        <v>183</v>
      </c>
      <c r="D129" s="296" t="s">
        <v>183</v>
      </c>
      <c r="E129" s="296" t="s">
        <v>183</v>
      </c>
      <c r="F129" s="296" t="s">
        <v>1460</v>
      </c>
      <c r="G129" s="296" t="s">
        <v>183</v>
      </c>
      <c r="H129" s="296" t="s">
        <v>1461</v>
      </c>
      <c r="I129" s="296" t="s">
        <v>1312</v>
      </c>
      <c r="J129" s="296" t="s">
        <v>1462</v>
      </c>
      <c r="K129" s="296" t="s">
        <v>1463</v>
      </c>
      <c r="L129" s="296" t="s">
        <v>1464</v>
      </c>
      <c r="M129" s="296" t="s">
        <v>179</v>
      </c>
      <c r="N129" s="296" t="s">
        <v>1465</v>
      </c>
      <c r="O129" s="296" t="s">
        <v>183</v>
      </c>
      <c r="P129" s="296" t="s">
        <v>1466</v>
      </c>
      <c r="Q129" s="296" t="s">
        <v>183</v>
      </c>
      <c r="R129" s="296" t="s">
        <v>1467</v>
      </c>
      <c r="S129" s="296" t="s">
        <v>185</v>
      </c>
      <c r="T129" s="296" t="s">
        <v>185</v>
      </c>
      <c r="U129" s="296" t="s">
        <v>186</v>
      </c>
      <c r="V129" s="296" t="s">
        <v>187</v>
      </c>
      <c r="W129" s="296" t="s">
        <v>188</v>
      </c>
      <c r="X129" s="296" t="s">
        <v>189</v>
      </c>
      <c r="Y129" s="296" t="s">
        <v>183</v>
      </c>
      <c r="Z129" s="296" t="s">
        <v>183</v>
      </c>
      <c r="AA129" s="296" t="s">
        <v>183</v>
      </c>
      <c r="AB129" s="296" t="s">
        <v>183</v>
      </c>
      <c r="AC129" s="296" t="s">
        <v>1468</v>
      </c>
      <c r="AD129" s="296" t="s">
        <v>1469</v>
      </c>
      <c r="AE129" s="296" t="s">
        <v>192</v>
      </c>
      <c r="AF129" s="296" t="s">
        <v>193</v>
      </c>
      <c r="AG129" s="296">
        <v>0</v>
      </c>
      <c r="AH129" s="298">
        <v>45505</v>
      </c>
      <c r="AJ129" s="296" t="s">
        <v>194</v>
      </c>
      <c r="AK129" s="299">
        <f>COUNTIF($A$3:A$917,A129)</f>
        <v>1</v>
      </c>
    </row>
    <row r="130" spans="1:37" x14ac:dyDescent="0.25">
      <c r="A130" s="296">
        <v>504270740</v>
      </c>
      <c r="B130" s="296" t="s">
        <v>1470</v>
      </c>
      <c r="C130" s="296" t="s">
        <v>183</v>
      </c>
      <c r="D130" s="296" t="s">
        <v>183</v>
      </c>
      <c r="E130" s="296" t="s">
        <v>183</v>
      </c>
      <c r="F130" s="296" t="s">
        <v>1471</v>
      </c>
      <c r="G130" s="296" t="s">
        <v>183</v>
      </c>
      <c r="H130" s="296" t="s">
        <v>1472</v>
      </c>
      <c r="I130" s="296" t="s">
        <v>1312</v>
      </c>
      <c r="J130" s="296" t="s">
        <v>1473</v>
      </c>
      <c r="K130" s="296" t="s">
        <v>1474</v>
      </c>
      <c r="L130" s="296" t="s">
        <v>1475</v>
      </c>
      <c r="M130" s="296" t="s">
        <v>179</v>
      </c>
      <c r="N130" s="296" t="s">
        <v>1476</v>
      </c>
      <c r="O130" s="296" t="s">
        <v>1477</v>
      </c>
      <c r="P130" s="296" t="s">
        <v>1478</v>
      </c>
      <c r="Q130" s="296" t="s">
        <v>183</v>
      </c>
      <c r="R130" s="296" t="s">
        <v>1479</v>
      </c>
      <c r="S130" s="296" t="s">
        <v>185</v>
      </c>
      <c r="T130" s="296" t="s">
        <v>185</v>
      </c>
      <c r="U130" s="296" t="s">
        <v>186</v>
      </c>
      <c r="V130" s="296" t="s">
        <v>187</v>
      </c>
      <c r="W130" s="296" t="s">
        <v>188</v>
      </c>
      <c r="X130" s="296" t="s">
        <v>256</v>
      </c>
      <c r="Y130" s="296" t="s">
        <v>183</v>
      </c>
      <c r="Z130" s="296" t="s">
        <v>183</v>
      </c>
      <c r="AA130" s="296" t="s">
        <v>183</v>
      </c>
      <c r="AB130" s="296" t="s">
        <v>183</v>
      </c>
      <c r="AC130" s="296" t="s">
        <v>1480</v>
      </c>
      <c r="AD130" s="296" t="s">
        <v>1481</v>
      </c>
      <c r="AE130" s="296" t="s">
        <v>192</v>
      </c>
      <c r="AF130" s="296" t="s">
        <v>193</v>
      </c>
      <c r="AG130" s="296">
        <v>0</v>
      </c>
      <c r="AH130" s="298">
        <v>45597</v>
      </c>
      <c r="AJ130" s="296" t="s">
        <v>194</v>
      </c>
      <c r="AK130" s="299">
        <f>COUNTIF($A$3:A$917,A130)</f>
        <v>1</v>
      </c>
    </row>
    <row r="131" spans="1:37" x14ac:dyDescent="0.25">
      <c r="A131" s="296">
        <v>3102915722</v>
      </c>
      <c r="B131" s="296" t="s">
        <v>1482</v>
      </c>
      <c r="C131" s="296" t="s">
        <v>1483</v>
      </c>
      <c r="D131" s="296" t="s">
        <v>1484</v>
      </c>
      <c r="E131" s="296" t="s">
        <v>172</v>
      </c>
      <c r="F131" s="296" t="s">
        <v>1485</v>
      </c>
      <c r="G131" s="296" t="s">
        <v>278</v>
      </c>
      <c r="H131" s="296" t="s">
        <v>1486</v>
      </c>
      <c r="I131" s="296" t="s">
        <v>1312</v>
      </c>
      <c r="J131" s="296" t="s">
        <v>1487</v>
      </c>
      <c r="K131" s="296" t="s">
        <v>887</v>
      </c>
      <c r="L131" s="296" t="s">
        <v>888</v>
      </c>
      <c r="M131" s="296" t="s">
        <v>179</v>
      </c>
      <c r="N131" s="296" t="s">
        <v>604</v>
      </c>
      <c r="O131" s="296" t="s">
        <v>604</v>
      </c>
      <c r="P131" s="296" t="s">
        <v>889</v>
      </c>
      <c r="Q131" s="296" t="s">
        <v>183</v>
      </c>
      <c r="R131" s="296" t="s">
        <v>890</v>
      </c>
      <c r="S131" s="296" t="s">
        <v>185</v>
      </c>
      <c r="T131" s="296" t="s">
        <v>185</v>
      </c>
      <c r="U131" s="296" t="s">
        <v>186</v>
      </c>
      <c r="V131" s="296" t="s">
        <v>187</v>
      </c>
      <c r="W131" s="296" t="s">
        <v>188</v>
      </c>
      <c r="X131" s="296" t="s">
        <v>189</v>
      </c>
      <c r="Y131" s="296" t="s">
        <v>183</v>
      </c>
      <c r="Z131" s="296" t="s">
        <v>183</v>
      </c>
      <c r="AA131" s="296" t="s">
        <v>183</v>
      </c>
      <c r="AB131" s="296" t="s">
        <v>183</v>
      </c>
      <c r="AC131" s="296" t="s">
        <v>891</v>
      </c>
      <c r="AD131" s="296" t="s">
        <v>1488</v>
      </c>
      <c r="AE131" s="296" t="s">
        <v>192</v>
      </c>
      <c r="AF131" s="296" t="s">
        <v>193</v>
      </c>
      <c r="AG131" s="296">
        <v>0</v>
      </c>
      <c r="AH131" s="298">
        <v>45231</v>
      </c>
      <c r="AJ131" s="296" t="s">
        <v>194</v>
      </c>
      <c r="AK131" s="299">
        <f>COUNTIF($A$3:A$917,A131)</f>
        <v>1</v>
      </c>
    </row>
    <row r="132" spans="1:37" x14ac:dyDescent="0.25">
      <c r="A132" s="296">
        <v>3101200005</v>
      </c>
      <c r="B132" s="296" t="s">
        <v>1489</v>
      </c>
      <c r="C132" s="296" t="s">
        <v>183</v>
      </c>
      <c r="D132" s="296" t="s">
        <v>183</v>
      </c>
      <c r="E132" s="296" t="s">
        <v>183</v>
      </c>
      <c r="F132" s="296" t="s">
        <v>1490</v>
      </c>
      <c r="G132" s="296" t="s">
        <v>1491</v>
      </c>
      <c r="H132" s="296" t="s">
        <v>1492</v>
      </c>
      <c r="I132" s="296" t="s">
        <v>1312</v>
      </c>
      <c r="J132" s="296" t="s">
        <v>1493</v>
      </c>
      <c r="K132" s="296" t="s">
        <v>1494</v>
      </c>
      <c r="L132" s="296" t="s">
        <v>1489</v>
      </c>
      <c r="M132" s="296" t="s">
        <v>179</v>
      </c>
      <c r="N132" s="296" t="s">
        <v>1490</v>
      </c>
      <c r="O132" s="296" t="s">
        <v>1491</v>
      </c>
      <c r="P132" s="296" t="s">
        <v>1492</v>
      </c>
      <c r="Q132" s="296" t="s">
        <v>183</v>
      </c>
      <c r="R132" s="296" t="s">
        <v>1495</v>
      </c>
      <c r="S132" s="296" t="s">
        <v>185</v>
      </c>
      <c r="T132" s="296" t="s">
        <v>185</v>
      </c>
      <c r="U132" s="296" t="s">
        <v>186</v>
      </c>
      <c r="V132" s="296" t="s">
        <v>187</v>
      </c>
      <c r="W132" s="296" t="s">
        <v>188</v>
      </c>
      <c r="X132" s="296" t="s">
        <v>189</v>
      </c>
      <c r="Y132" s="296" t="s">
        <v>183</v>
      </c>
      <c r="Z132" s="296" t="s">
        <v>183</v>
      </c>
      <c r="AA132" s="296" t="s">
        <v>183</v>
      </c>
      <c r="AB132" s="296" t="s">
        <v>183</v>
      </c>
      <c r="AC132" s="296" t="s">
        <v>1496</v>
      </c>
      <c r="AD132" s="296" t="s">
        <v>1497</v>
      </c>
      <c r="AE132" s="296" t="s">
        <v>192</v>
      </c>
      <c r="AF132" s="296" t="s">
        <v>193</v>
      </c>
      <c r="AG132" s="296">
        <v>56372</v>
      </c>
      <c r="AH132" s="298">
        <v>36599</v>
      </c>
      <c r="AJ132" s="296" t="s">
        <v>194</v>
      </c>
      <c r="AK132" s="299">
        <f>COUNTIF($A$3:A$917,A132)</f>
        <v>1</v>
      </c>
    </row>
    <row r="133" spans="1:37" x14ac:dyDescent="0.25">
      <c r="A133" s="296">
        <v>3101526639</v>
      </c>
      <c r="B133" s="296" t="s">
        <v>1498</v>
      </c>
      <c r="C133" s="296" t="s">
        <v>1499</v>
      </c>
      <c r="D133" s="296" t="s">
        <v>1500</v>
      </c>
      <c r="E133" s="296" t="s">
        <v>172</v>
      </c>
      <c r="F133" s="296" t="s">
        <v>1501</v>
      </c>
      <c r="G133" s="296" t="s">
        <v>1501</v>
      </c>
      <c r="H133" s="296" t="s">
        <v>1502</v>
      </c>
      <c r="I133" s="296" t="s">
        <v>1312</v>
      </c>
      <c r="J133" s="296" t="s">
        <v>1503</v>
      </c>
      <c r="K133" s="296" t="s">
        <v>1504</v>
      </c>
      <c r="L133" s="296" t="s">
        <v>1505</v>
      </c>
      <c r="M133" s="296" t="s">
        <v>179</v>
      </c>
      <c r="N133" s="296" t="s">
        <v>183</v>
      </c>
      <c r="O133" s="296" t="s">
        <v>1506</v>
      </c>
      <c r="P133" s="296" t="s">
        <v>1507</v>
      </c>
      <c r="Q133" s="296" t="s">
        <v>183</v>
      </c>
      <c r="R133" s="296" t="s">
        <v>1508</v>
      </c>
      <c r="S133" s="296" t="s">
        <v>185</v>
      </c>
      <c r="T133" s="296" t="s">
        <v>185</v>
      </c>
      <c r="U133" s="296" t="s">
        <v>186</v>
      </c>
      <c r="V133" s="296" t="s">
        <v>187</v>
      </c>
      <c r="W133" s="296" t="s">
        <v>188</v>
      </c>
      <c r="X133" s="296" t="s">
        <v>189</v>
      </c>
      <c r="Y133" s="296" t="s">
        <v>183</v>
      </c>
      <c r="Z133" s="296" t="s">
        <v>183</v>
      </c>
      <c r="AA133" s="296" t="s">
        <v>183</v>
      </c>
      <c r="AB133" s="296" t="s">
        <v>183</v>
      </c>
      <c r="AC133" s="296" t="s">
        <v>1509</v>
      </c>
      <c r="AD133" s="296" t="s">
        <v>1510</v>
      </c>
      <c r="AE133" s="296" t="s">
        <v>192</v>
      </c>
      <c r="AF133" s="296" t="s">
        <v>193</v>
      </c>
      <c r="AG133" s="296">
        <v>0</v>
      </c>
      <c r="AH133" s="298">
        <v>40148</v>
      </c>
      <c r="AJ133" s="296" t="s">
        <v>194</v>
      </c>
      <c r="AK133" s="299">
        <f>COUNTIF($A$3:A$917,A133)</f>
        <v>1</v>
      </c>
    </row>
    <row r="134" spans="1:37" x14ac:dyDescent="0.25">
      <c r="A134" s="296">
        <v>205400122</v>
      </c>
      <c r="B134" s="296" t="s">
        <v>1511</v>
      </c>
      <c r="C134" s="296" t="s">
        <v>183</v>
      </c>
      <c r="D134" s="296" t="s">
        <v>183</v>
      </c>
      <c r="E134" s="296" t="s">
        <v>183</v>
      </c>
      <c r="F134" s="296" t="s">
        <v>1512</v>
      </c>
      <c r="G134" s="296" t="s">
        <v>1512</v>
      </c>
      <c r="H134" s="296" t="s">
        <v>1513</v>
      </c>
      <c r="I134" s="296" t="s">
        <v>1312</v>
      </c>
      <c r="J134" s="296" t="s">
        <v>1514</v>
      </c>
      <c r="K134" s="296" t="s">
        <v>1515</v>
      </c>
      <c r="L134" s="296" t="s">
        <v>1516</v>
      </c>
      <c r="M134" s="296" t="s">
        <v>179</v>
      </c>
      <c r="N134" s="296" t="s">
        <v>1517</v>
      </c>
      <c r="O134" s="296" t="s">
        <v>183</v>
      </c>
      <c r="P134" s="296" t="s">
        <v>1518</v>
      </c>
      <c r="Q134" s="296" t="s">
        <v>183</v>
      </c>
      <c r="R134" s="296" t="s">
        <v>1519</v>
      </c>
      <c r="S134" s="296" t="s">
        <v>185</v>
      </c>
      <c r="T134" s="296" t="s">
        <v>185</v>
      </c>
      <c r="U134" s="296" t="s">
        <v>186</v>
      </c>
      <c r="V134" s="296" t="s">
        <v>187</v>
      </c>
      <c r="W134" s="296" t="s">
        <v>188</v>
      </c>
      <c r="X134" s="296" t="s">
        <v>256</v>
      </c>
      <c r="Y134" s="296" t="s">
        <v>183</v>
      </c>
      <c r="Z134" s="296" t="s">
        <v>183</v>
      </c>
      <c r="AA134" s="296" t="s">
        <v>183</v>
      </c>
      <c r="AB134" s="296" t="s">
        <v>183</v>
      </c>
      <c r="AC134" s="296" t="s">
        <v>1520</v>
      </c>
      <c r="AD134" s="296" t="s">
        <v>1521</v>
      </c>
      <c r="AE134" s="296" t="s">
        <v>192</v>
      </c>
      <c r="AF134" s="296" t="s">
        <v>193</v>
      </c>
      <c r="AG134" s="296">
        <v>0</v>
      </c>
      <c r="AH134" s="298">
        <v>42653</v>
      </c>
      <c r="AJ134" s="296" t="s">
        <v>194</v>
      </c>
      <c r="AK134" s="299">
        <f>COUNTIF($A$3:A$917,A134)</f>
        <v>2</v>
      </c>
    </row>
    <row r="135" spans="1:37" x14ac:dyDescent="0.25">
      <c r="A135" s="296">
        <v>205330909</v>
      </c>
      <c r="B135" s="296" t="s">
        <v>1522</v>
      </c>
      <c r="C135" s="296" t="s">
        <v>183</v>
      </c>
      <c r="D135" s="296" t="s">
        <v>183</v>
      </c>
      <c r="E135" s="296" t="s">
        <v>183</v>
      </c>
      <c r="F135" s="296" t="s">
        <v>1523</v>
      </c>
      <c r="G135" s="296" t="s">
        <v>1523</v>
      </c>
      <c r="H135" s="296" t="s">
        <v>1524</v>
      </c>
      <c r="I135" s="296" t="s">
        <v>1312</v>
      </c>
      <c r="J135" s="296" t="s">
        <v>1525</v>
      </c>
      <c r="K135" s="296" t="s">
        <v>788</v>
      </c>
      <c r="L135" s="296" t="s">
        <v>789</v>
      </c>
      <c r="M135" s="296" t="s">
        <v>179</v>
      </c>
      <c r="N135" s="296" t="s">
        <v>790</v>
      </c>
      <c r="O135" s="296" t="s">
        <v>791</v>
      </c>
      <c r="P135" s="296" t="s">
        <v>792</v>
      </c>
      <c r="Q135" s="296" t="s">
        <v>183</v>
      </c>
      <c r="R135" s="296" t="s">
        <v>793</v>
      </c>
      <c r="S135" s="296" t="s">
        <v>185</v>
      </c>
      <c r="T135" s="296" t="s">
        <v>185</v>
      </c>
      <c r="U135" s="296" t="s">
        <v>186</v>
      </c>
      <c r="V135" s="296" t="s">
        <v>187</v>
      </c>
      <c r="W135" s="296" t="s">
        <v>188</v>
      </c>
      <c r="X135" s="296" t="s">
        <v>189</v>
      </c>
      <c r="Y135" s="296" t="s">
        <v>183</v>
      </c>
      <c r="Z135" s="296" t="s">
        <v>183</v>
      </c>
      <c r="AA135" s="296" t="s">
        <v>183</v>
      </c>
      <c r="AB135" s="296" t="s">
        <v>183</v>
      </c>
      <c r="AC135" s="296" t="s">
        <v>794</v>
      </c>
      <c r="AD135" s="296" t="s">
        <v>1526</v>
      </c>
      <c r="AE135" s="296" t="s">
        <v>192</v>
      </c>
      <c r="AF135" s="296" t="s">
        <v>193</v>
      </c>
      <c r="AG135" s="296">
        <v>0</v>
      </c>
      <c r="AH135" s="298">
        <v>45736</v>
      </c>
      <c r="AJ135" s="296" t="s">
        <v>194</v>
      </c>
      <c r="AK135" s="299">
        <f>COUNTIF($A$3:A$917,A135)</f>
        <v>2</v>
      </c>
    </row>
    <row r="136" spans="1:37" x14ac:dyDescent="0.25">
      <c r="A136" s="296">
        <v>503050743</v>
      </c>
      <c r="B136" s="296" t="s">
        <v>1527</v>
      </c>
      <c r="C136" s="296" t="s">
        <v>183</v>
      </c>
      <c r="D136" s="296" t="s">
        <v>183</v>
      </c>
      <c r="E136" s="296" t="s">
        <v>183</v>
      </c>
      <c r="F136" s="296" t="s">
        <v>1528</v>
      </c>
      <c r="G136" s="296" t="s">
        <v>1529</v>
      </c>
      <c r="H136" s="296" t="s">
        <v>1530</v>
      </c>
      <c r="I136" s="296" t="s">
        <v>1312</v>
      </c>
      <c r="J136" s="296" t="s">
        <v>1531</v>
      </c>
      <c r="K136" s="296" t="s">
        <v>1532</v>
      </c>
      <c r="L136" s="296" t="s">
        <v>1533</v>
      </c>
      <c r="M136" s="296" t="s">
        <v>179</v>
      </c>
      <c r="N136" s="296" t="s">
        <v>1534</v>
      </c>
      <c r="O136" s="296" t="s">
        <v>1534</v>
      </c>
      <c r="P136" s="296" t="s">
        <v>1535</v>
      </c>
      <c r="Q136" s="296" t="s">
        <v>183</v>
      </c>
      <c r="R136" s="296" t="s">
        <v>1536</v>
      </c>
      <c r="S136" s="296" t="s">
        <v>185</v>
      </c>
      <c r="T136" s="296" t="s">
        <v>185</v>
      </c>
      <c r="U136" s="296" t="s">
        <v>186</v>
      </c>
      <c r="V136" s="296" t="s">
        <v>187</v>
      </c>
      <c r="W136" s="296" t="s">
        <v>188</v>
      </c>
      <c r="X136" s="296" t="s">
        <v>256</v>
      </c>
      <c r="Y136" s="296" t="s">
        <v>183</v>
      </c>
      <c r="Z136" s="296" t="s">
        <v>183</v>
      </c>
      <c r="AA136" s="296" t="s">
        <v>183</v>
      </c>
      <c r="AB136" s="296" t="s">
        <v>183</v>
      </c>
      <c r="AC136" s="296" t="s">
        <v>1537</v>
      </c>
      <c r="AD136" s="296" t="s">
        <v>1538</v>
      </c>
      <c r="AE136" s="296" t="s">
        <v>192</v>
      </c>
      <c r="AF136" s="296" t="s">
        <v>193</v>
      </c>
      <c r="AG136" s="296">
        <v>0</v>
      </c>
      <c r="AH136" s="298">
        <v>45908</v>
      </c>
      <c r="AJ136" s="296" t="s">
        <v>194</v>
      </c>
      <c r="AK136" s="299">
        <f>COUNTIF($A$3:A$917,A136)</f>
        <v>1</v>
      </c>
    </row>
    <row r="137" spans="1:37" x14ac:dyDescent="0.25">
      <c r="A137" s="296">
        <v>501660959</v>
      </c>
      <c r="B137" s="296" t="s">
        <v>1539</v>
      </c>
      <c r="C137" s="296" t="s">
        <v>183</v>
      </c>
      <c r="D137" s="296" t="s">
        <v>183</v>
      </c>
      <c r="E137" s="296" t="s">
        <v>183</v>
      </c>
      <c r="F137" s="296" t="s">
        <v>1540</v>
      </c>
      <c r="G137" s="296" t="s">
        <v>1540</v>
      </c>
      <c r="H137" s="296" t="s">
        <v>1541</v>
      </c>
      <c r="I137" s="296" t="s">
        <v>1542</v>
      </c>
      <c r="J137" s="296" t="s">
        <v>1543</v>
      </c>
      <c r="K137" s="296" t="s">
        <v>183</v>
      </c>
      <c r="L137" s="296" t="s">
        <v>183</v>
      </c>
      <c r="M137" s="296" t="s">
        <v>183</v>
      </c>
      <c r="N137" s="296" t="s">
        <v>1087</v>
      </c>
      <c r="O137" s="296" t="s">
        <v>183</v>
      </c>
      <c r="P137" s="296" t="s">
        <v>183</v>
      </c>
      <c r="Q137" s="296" t="s">
        <v>183</v>
      </c>
      <c r="R137" s="296" t="s">
        <v>183</v>
      </c>
      <c r="S137" s="296" t="s">
        <v>183</v>
      </c>
      <c r="T137" s="296" t="s">
        <v>183</v>
      </c>
      <c r="U137" s="296" t="s">
        <v>183</v>
      </c>
      <c r="V137" s="296" t="s">
        <v>183</v>
      </c>
      <c r="W137" s="296" t="s">
        <v>183</v>
      </c>
      <c r="X137" s="296" t="s">
        <v>183</v>
      </c>
      <c r="Y137" s="296" t="s">
        <v>183</v>
      </c>
      <c r="Z137" s="296" t="s">
        <v>183</v>
      </c>
      <c r="AA137" s="296" t="s">
        <v>183</v>
      </c>
      <c r="AB137" s="296" t="s">
        <v>183</v>
      </c>
      <c r="AC137" s="296" t="s">
        <v>183</v>
      </c>
      <c r="AD137" s="296" t="s">
        <v>1544</v>
      </c>
      <c r="AE137" s="296" t="s">
        <v>192</v>
      </c>
      <c r="AF137" s="296" t="s">
        <v>193</v>
      </c>
      <c r="AG137" s="296">
        <v>0</v>
      </c>
      <c r="AH137" s="298">
        <v>37439</v>
      </c>
      <c r="AJ137" s="296" t="s">
        <v>194</v>
      </c>
      <c r="AK137" s="299">
        <f>COUNTIF($A$3:A$917,A137)</f>
        <v>1</v>
      </c>
    </row>
    <row r="138" spans="1:37" x14ac:dyDescent="0.25">
      <c r="A138" s="296">
        <v>111950061</v>
      </c>
      <c r="B138" s="296" t="s">
        <v>1545</v>
      </c>
      <c r="C138" s="296" t="s">
        <v>183</v>
      </c>
      <c r="D138" s="296" t="s">
        <v>183</v>
      </c>
      <c r="E138" s="296" t="s">
        <v>183</v>
      </c>
      <c r="F138" s="296" t="s">
        <v>1546</v>
      </c>
      <c r="G138" s="296" t="s">
        <v>183</v>
      </c>
      <c r="H138" s="296" t="s">
        <v>1547</v>
      </c>
      <c r="I138" s="296" t="s">
        <v>1542</v>
      </c>
      <c r="J138" s="296" t="s">
        <v>1548</v>
      </c>
      <c r="K138" s="296" t="s">
        <v>183</v>
      </c>
      <c r="L138" s="296" t="s">
        <v>183</v>
      </c>
      <c r="M138" s="296" t="s">
        <v>183</v>
      </c>
      <c r="N138" s="296" t="s">
        <v>278</v>
      </c>
      <c r="O138" s="296" t="s">
        <v>183</v>
      </c>
      <c r="P138" s="296" t="s">
        <v>183</v>
      </c>
      <c r="Q138" s="296" t="s">
        <v>183</v>
      </c>
      <c r="R138" s="296" t="s">
        <v>183</v>
      </c>
      <c r="S138" s="296" t="s">
        <v>183</v>
      </c>
      <c r="T138" s="296" t="s">
        <v>183</v>
      </c>
      <c r="U138" s="296" t="s">
        <v>183</v>
      </c>
      <c r="V138" s="296" t="s">
        <v>183</v>
      </c>
      <c r="W138" s="296" t="s">
        <v>183</v>
      </c>
      <c r="X138" s="296" t="s">
        <v>183</v>
      </c>
      <c r="Y138" s="296" t="s">
        <v>183</v>
      </c>
      <c r="Z138" s="296" t="s">
        <v>183</v>
      </c>
      <c r="AA138" s="296" t="s">
        <v>183</v>
      </c>
      <c r="AB138" s="296" t="s">
        <v>183</v>
      </c>
      <c r="AC138" s="296" t="s">
        <v>183</v>
      </c>
      <c r="AD138" s="296" t="s">
        <v>1549</v>
      </c>
      <c r="AE138" s="296" t="s">
        <v>192</v>
      </c>
      <c r="AF138" s="296" t="s">
        <v>193</v>
      </c>
      <c r="AG138" s="296">
        <v>0</v>
      </c>
      <c r="AH138" s="298">
        <v>44600</v>
      </c>
      <c r="AJ138" s="296" t="s">
        <v>194</v>
      </c>
      <c r="AK138" s="299">
        <f>COUNTIF($A$3:A$917,A138)</f>
        <v>1</v>
      </c>
    </row>
    <row r="139" spans="1:37" x14ac:dyDescent="0.25">
      <c r="A139" s="296">
        <v>601530752</v>
      </c>
      <c r="B139" s="296" t="s">
        <v>1550</v>
      </c>
      <c r="C139" s="296" t="s">
        <v>183</v>
      </c>
      <c r="D139" s="296" t="s">
        <v>183</v>
      </c>
      <c r="E139" s="296" t="s">
        <v>183</v>
      </c>
      <c r="F139" s="296" t="s">
        <v>1551</v>
      </c>
      <c r="G139" s="296" t="s">
        <v>1551</v>
      </c>
      <c r="H139" s="296" t="s">
        <v>1552</v>
      </c>
      <c r="I139" s="296" t="s">
        <v>1542</v>
      </c>
      <c r="J139" s="296" t="s">
        <v>1542</v>
      </c>
      <c r="K139" s="296" t="s">
        <v>183</v>
      </c>
      <c r="L139" s="296" t="s">
        <v>183</v>
      </c>
      <c r="M139" s="296" t="s">
        <v>183</v>
      </c>
      <c r="N139" s="296" t="s">
        <v>260</v>
      </c>
      <c r="O139" s="296" t="s">
        <v>183</v>
      </c>
      <c r="P139" s="296" t="s">
        <v>183</v>
      </c>
      <c r="Q139" s="296" t="s">
        <v>183</v>
      </c>
      <c r="R139" s="296" t="s">
        <v>183</v>
      </c>
      <c r="S139" s="296" t="s">
        <v>183</v>
      </c>
      <c r="T139" s="296" t="s">
        <v>183</v>
      </c>
      <c r="U139" s="296" t="s">
        <v>183</v>
      </c>
      <c r="V139" s="296" t="s">
        <v>183</v>
      </c>
      <c r="W139" s="296" t="s">
        <v>183</v>
      </c>
      <c r="X139" s="296" t="s">
        <v>183</v>
      </c>
      <c r="Y139" s="296" t="s">
        <v>183</v>
      </c>
      <c r="Z139" s="296" t="s">
        <v>183</v>
      </c>
      <c r="AA139" s="296" t="s">
        <v>183</v>
      </c>
      <c r="AB139" s="296" t="s">
        <v>183</v>
      </c>
      <c r="AC139" s="296" t="s">
        <v>183</v>
      </c>
      <c r="AD139" s="296" t="s">
        <v>1553</v>
      </c>
      <c r="AE139" s="296" t="s">
        <v>192</v>
      </c>
      <c r="AF139" s="296" t="s">
        <v>193</v>
      </c>
      <c r="AG139" s="296">
        <v>0</v>
      </c>
      <c r="AH139" s="298">
        <v>43696</v>
      </c>
      <c r="AJ139" s="296" t="s">
        <v>194</v>
      </c>
      <c r="AK139" s="299">
        <f>COUNTIF($A$3:A$917,A139)</f>
        <v>1</v>
      </c>
    </row>
    <row r="140" spans="1:37" x14ac:dyDescent="0.25">
      <c r="A140" s="296">
        <v>801230540</v>
      </c>
      <c r="B140" s="296" t="s">
        <v>1554</v>
      </c>
      <c r="C140" s="296" t="s">
        <v>183</v>
      </c>
      <c r="D140" s="296" t="s">
        <v>183</v>
      </c>
      <c r="E140" s="296" t="s">
        <v>183</v>
      </c>
      <c r="F140" s="296" t="s">
        <v>1555</v>
      </c>
      <c r="G140" s="296" t="s">
        <v>183</v>
      </c>
      <c r="H140" s="296" t="s">
        <v>1556</v>
      </c>
      <c r="I140" s="296" t="s">
        <v>1542</v>
      </c>
      <c r="J140" s="296" t="s">
        <v>1557</v>
      </c>
      <c r="K140" s="296" t="s">
        <v>183</v>
      </c>
      <c r="L140" s="296" t="s">
        <v>183</v>
      </c>
      <c r="M140" s="296" t="s">
        <v>183</v>
      </c>
      <c r="N140" s="296" t="s">
        <v>1558</v>
      </c>
      <c r="O140" s="296" t="s">
        <v>183</v>
      </c>
      <c r="P140" s="296" t="s">
        <v>183</v>
      </c>
      <c r="Q140" s="296" t="s">
        <v>183</v>
      </c>
      <c r="R140" s="296" t="s">
        <v>183</v>
      </c>
      <c r="S140" s="296" t="s">
        <v>183</v>
      </c>
      <c r="T140" s="296" t="s">
        <v>183</v>
      </c>
      <c r="U140" s="296" t="s">
        <v>183</v>
      </c>
      <c r="V140" s="296" t="s">
        <v>183</v>
      </c>
      <c r="W140" s="296" t="s">
        <v>183</v>
      </c>
      <c r="X140" s="296" t="s">
        <v>183</v>
      </c>
      <c r="Y140" s="296" t="s">
        <v>183</v>
      </c>
      <c r="Z140" s="296" t="s">
        <v>183</v>
      </c>
      <c r="AA140" s="296" t="s">
        <v>183</v>
      </c>
      <c r="AB140" s="296" t="s">
        <v>183</v>
      </c>
      <c r="AC140" s="296" t="s">
        <v>183</v>
      </c>
      <c r="AD140" s="296" t="s">
        <v>1559</v>
      </c>
      <c r="AE140" s="296" t="s">
        <v>192</v>
      </c>
      <c r="AF140" s="296" t="s">
        <v>193</v>
      </c>
      <c r="AG140" s="296">
        <v>0</v>
      </c>
      <c r="AH140" s="298">
        <v>45622</v>
      </c>
      <c r="AJ140" s="296" t="s">
        <v>194</v>
      </c>
      <c r="AK140" s="299">
        <f>COUNTIF($A$3:A$917,A140)</f>
        <v>1</v>
      </c>
    </row>
    <row r="141" spans="1:37" x14ac:dyDescent="0.25">
      <c r="A141" s="296">
        <v>603340286</v>
      </c>
      <c r="B141" s="296" t="s">
        <v>1560</v>
      </c>
      <c r="C141" s="296" t="s">
        <v>183</v>
      </c>
      <c r="D141" s="296" t="s">
        <v>183</v>
      </c>
      <c r="E141" s="296" t="s">
        <v>183</v>
      </c>
      <c r="F141" s="296" t="s">
        <v>1561</v>
      </c>
      <c r="G141" s="296" t="s">
        <v>183</v>
      </c>
      <c r="H141" s="296" t="s">
        <v>1562</v>
      </c>
      <c r="I141" s="296" t="s">
        <v>1542</v>
      </c>
      <c r="J141" s="296" t="s">
        <v>1563</v>
      </c>
      <c r="K141" s="296" t="s">
        <v>183</v>
      </c>
      <c r="L141" s="296" t="s">
        <v>183</v>
      </c>
      <c r="M141" s="296" t="s">
        <v>183</v>
      </c>
      <c r="N141" s="296" t="s">
        <v>1564</v>
      </c>
      <c r="O141" s="296" t="s">
        <v>183</v>
      </c>
      <c r="P141" s="296" t="s">
        <v>183</v>
      </c>
      <c r="Q141" s="296" t="s">
        <v>183</v>
      </c>
      <c r="R141" s="296" t="s">
        <v>183</v>
      </c>
      <c r="S141" s="296" t="s">
        <v>183</v>
      </c>
      <c r="T141" s="296" t="s">
        <v>183</v>
      </c>
      <c r="U141" s="296" t="s">
        <v>183</v>
      </c>
      <c r="V141" s="296" t="s">
        <v>183</v>
      </c>
      <c r="W141" s="296" t="s">
        <v>183</v>
      </c>
      <c r="X141" s="296" t="s">
        <v>183</v>
      </c>
      <c r="Y141" s="296" t="s">
        <v>183</v>
      </c>
      <c r="Z141" s="296" t="s">
        <v>183</v>
      </c>
      <c r="AA141" s="296" t="s">
        <v>183</v>
      </c>
      <c r="AB141" s="296" t="s">
        <v>183</v>
      </c>
      <c r="AC141" s="296" t="s">
        <v>183</v>
      </c>
      <c r="AD141" s="296" t="s">
        <v>1565</v>
      </c>
      <c r="AE141" s="296" t="s">
        <v>192</v>
      </c>
      <c r="AF141" s="296" t="s">
        <v>193</v>
      </c>
      <c r="AG141" s="296">
        <v>0</v>
      </c>
      <c r="AH141" s="298">
        <v>45516</v>
      </c>
      <c r="AJ141" s="296" t="s">
        <v>194</v>
      </c>
      <c r="AK141" s="299">
        <f>COUNTIF($A$3:A$917,A141)</f>
        <v>1</v>
      </c>
    </row>
    <row r="142" spans="1:37" x14ac:dyDescent="0.25">
      <c r="A142" s="296">
        <v>501860792</v>
      </c>
      <c r="B142" s="296" t="s">
        <v>1566</v>
      </c>
      <c r="C142" s="296" t="s">
        <v>183</v>
      </c>
      <c r="D142" s="296" t="s">
        <v>183</v>
      </c>
      <c r="E142" s="296" t="s">
        <v>183</v>
      </c>
      <c r="F142" s="296" t="s">
        <v>1567</v>
      </c>
      <c r="G142" s="296" t="s">
        <v>1567</v>
      </c>
      <c r="H142" s="296" t="s">
        <v>1568</v>
      </c>
      <c r="I142" s="296" t="s">
        <v>1542</v>
      </c>
      <c r="J142" s="296" t="s">
        <v>1569</v>
      </c>
      <c r="K142" s="296" t="s">
        <v>183</v>
      </c>
      <c r="L142" s="296" t="s">
        <v>183</v>
      </c>
      <c r="M142" s="296" t="s">
        <v>183</v>
      </c>
      <c r="N142" s="296" t="s">
        <v>1570</v>
      </c>
      <c r="O142" s="296" t="s">
        <v>183</v>
      </c>
      <c r="P142" s="296" t="s">
        <v>183</v>
      </c>
      <c r="Q142" s="296" t="s">
        <v>183</v>
      </c>
      <c r="R142" s="296" t="s">
        <v>183</v>
      </c>
      <c r="S142" s="296" t="s">
        <v>183</v>
      </c>
      <c r="T142" s="296" t="s">
        <v>183</v>
      </c>
      <c r="U142" s="296" t="s">
        <v>183</v>
      </c>
      <c r="V142" s="296" t="s">
        <v>183</v>
      </c>
      <c r="W142" s="296" t="s">
        <v>183</v>
      </c>
      <c r="X142" s="296" t="s">
        <v>183</v>
      </c>
      <c r="Y142" s="296" t="s">
        <v>183</v>
      </c>
      <c r="Z142" s="296" t="s">
        <v>183</v>
      </c>
      <c r="AA142" s="296" t="s">
        <v>183</v>
      </c>
      <c r="AB142" s="296" t="s">
        <v>183</v>
      </c>
      <c r="AC142" s="296" t="s">
        <v>183</v>
      </c>
      <c r="AD142" s="296" t="s">
        <v>1571</v>
      </c>
      <c r="AE142" s="296" t="s">
        <v>192</v>
      </c>
      <c r="AF142" s="296" t="s">
        <v>193</v>
      </c>
      <c r="AG142" s="296">
        <v>0</v>
      </c>
      <c r="AH142" s="298">
        <v>45559</v>
      </c>
      <c r="AJ142" s="296" t="s">
        <v>194</v>
      </c>
      <c r="AK142" s="299">
        <f>COUNTIF($A$3:A$917,A142)</f>
        <v>1</v>
      </c>
    </row>
    <row r="143" spans="1:37" x14ac:dyDescent="0.25">
      <c r="A143" s="296">
        <v>701570071</v>
      </c>
      <c r="B143" s="296" t="s">
        <v>1572</v>
      </c>
      <c r="C143" s="296" t="s">
        <v>183</v>
      </c>
      <c r="D143" s="296" t="s">
        <v>183</v>
      </c>
      <c r="E143" s="296" t="s">
        <v>183</v>
      </c>
      <c r="F143" s="296" t="s">
        <v>1573</v>
      </c>
      <c r="G143" s="296" t="s">
        <v>183</v>
      </c>
      <c r="H143" s="296" t="s">
        <v>1574</v>
      </c>
      <c r="I143" s="296" t="s">
        <v>1542</v>
      </c>
      <c r="J143" s="296" t="s">
        <v>1575</v>
      </c>
      <c r="K143" s="296" t="s">
        <v>183</v>
      </c>
      <c r="L143" s="296" t="s">
        <v>183</v>
      </c>
      <c r="M143" s="296" t="s">
        <v>183</v>
      </c>
      <c r="N143" s="296" t="s">
        <v>953</v>
      </c>
      <c r="O143" s="296" t="s">
        <v>183</v>
      </c>
      <c r="P143" s="296" t="s">
        <v>183</v>
      </c>
      <c r="Q143" s="296" t="s">
        <v>183</v>
      </c>
      <c r="R143" s="296" t="s">
        <v>183</v>
      </c>
      <c r="S143" s="296" t="s">
        <v>183</v>
      </c>
      <c r="T143" s="296" t="s">
        <v>183</v>
      </c>
      <c r="U143" s="296" t="s">
        <v>183</v>
      </c>
      <c r="V143" s="296" t="s">
        <v>183</v>
      </c>
      <c r="W143" s="296" t="s">
        <v>183</v>
      </c>
      <c r="X143" s="296" t="s">
        <v>183</v>
      </c>
      <c r="Y143" s="296" t="s">
        <v>183</v>
      </c>
      <c r="Z143" s="296" t="s">
        <v>183</v>
      </c>
      <c r="AA143" s="296" t="s">
        <v>183</v>
      </c>
      <c r="AB143" s="296" t="s">
        <v>183</v>
      </c>
      <c r="AC143" s="296" t="s">
        <v>183</v>
      </c>
      <c r="AD143" s="296" t="s">
        <v>1576</v>
      </c>
      <c r="AE143" s="296" t="s">
        <v>192</v>
      </c>
      <c r="AF143" s="296" t="s">
        <v>193</v>
      </c>
      <c r="AG143" s="296">
        <v>0</v>
      </c>
      <c r="AH143" s="298">
        <v>45415</v>
      </c>
      <c r="AJ143" s="296" t="s">
        <v>194</v>
      </c>
      <c r="AK143" s="299">
        <f>COUNTIF($A$3:A$917,A143)</f>
        <v>1</v>
      </c>
    </row>
    <row r="144" spans="1:37" x14ac:dyDescent="0.25">
      <c r="A144" s="296">
        <v>502600395</v>
      </c>
      <c r="B144" s="296" t="s">
        <v>1577</v>
      </c>
      <c r="C144" s="296" t="s">
        <v>183</v>
      </c>
      <c r="D144" s="296" t="s">
        <v>183</v>
      </c>
      <c r="E144" s="296" t="s">
        <v>183</v>
      </c>
      <c r="F144" s="296" t="s">
        <v>1578</v>
      </c>
      <c r="G144" s="296" t="s">
        <v>183</v>
      </c>
      <c r="H144" s="296" t="s">
        <v>1579</v>
      </c>
      <c r="I144" s="296" t="s">
        <v>1542</v>
      </c>
      <c r="J144" s="296" t="s">
        <v>1542</v>
      </c>
      <c r="K144" s="296" t="s">
        <v>183</v>
      </c>
      <c r="L144" s="296" t="s">
        <v>183</v>
      </c>
      <c r="M144" s="296" t="s">
        <v>183</v>
      </c>
      <c r="N144" s="296" t="s">
        <v>1580</v>
      </c>
      <c r="O144" s="296" t="s">
        <v>183</v>
      </c>
      <c r="P144" s="296" t="s">
        <v>183</v>
      </c>
      <c r="Q144" s="296" t="s">
        <v>183</v>
      </c>
      <c r="R144" s="296" t="s">
        <v>183</v>
      </c>
      <c r="S144" s="296" t="s">
        <v>183</v>
      </c>
      <c r="T144" s="296" t="s">
        <v>183</v>
      </c>
      <c r="U144" s="296" t="s">
        <v>183</v>
      </c>
      <c r="V144" s="296" t="s">
        <v>183</v>
      </c>
      <c r="W144" s="296" t="s">
        <v>183</v>
      </c>
      <c r="X144" s="296" t="s">
        <v>183</v>
      </c>
      <c r="Y144" s="296" t="s">
        <v>183</v>
      </c>
      <c r="Z144" s="296" t="s">
        <v>183</v>
      </c>
      <c r="AA144" s="296" t="s">
        <v>183</v>
      </c>
      <c r="AB144" s="296" t="s">
        <v>183</v>
      </c>
      <c r="AC144" s="296" t="s">
        <v>183</v>
      </c>
      <c r="AD144" s="296" t="s">
        <v>1581</v>
      </c>
      <c r="AE144" s="296" t="s">
        <v>192</v>
      </c>
      <c r="AF144" s="296" t="s">
        <v>193</v>
      </c>
      <c r="AG144" s="296">
        <v>0</v>
      </c>
      <c r="AH144" s="298">
        <v>43712</v>
      </c>
      <c r="AJ144" s="296" t="s">
        <v>194</v>
      </c>
      <c r="AK144" s="299">
        <f>COUNTIF($A$3:A$917,A144)</f>
        <v>1</v>
      </c>
    </row>
    <row r="145" spans="1:37" x14ac:dyDescent="0.25">
      <c r="A145" s="296">
        <v>504210206</v>
      </c>
      <c r="B145" s="296" t="s">
        <v>1582</v>
      </c>
      <c r="C145" s="296" t="s">
        <v>183</v>
      </c>
      <c r="D145" s="296" t="s">
        <v>183</v>
      </c>
      <c r="E145" s="296" t="s">
        <v>183</v>
      </c>
      <c r="F145" s="296" t="s">
        <v>1583</v>
      </c>
      <c r="G145" s="296" t="s">
        <v>183</v>
      </c>
      <c r="H145" s="296" t="s">
        <v>1584</v>
      </c>
      <c r="I145" s="296" t="s">
        <v>1542</v>
      </c>
      <c r="J145" s="296" t="s">
        <v>1585</v>
      </c>
      <c r="K145" s="296" t="s">
        <v>183</v>
      </c>
      <c r="L145" s="296" t="s">
        <v>183</v>
      </c>
      <c r="M145" s="296" t="s">
        <v>183</v>
      </c>
      <c r="N145" s="296" t="s">
        <v>1586</v>
      </c>
      <c r="O145" s="296" t="s">
        <v>183</v>
      </c>
      <c r="P145" s="296" t="s">
        <v>183</v>
      </c>
      <c r="Q145" s="296" t="s">
        <v>183</v>
      </c>
      <c r="R145" s="296" t="s">
        <v>183</v>
      </c>
      <c r="S145" s="296" t="s">
        <v>183</v>
      </c>
      <c r="T145" s="296" t="s">
        <v>183</v>
      </c>
      <c r="U145" s="296" t="s">
        <v>183</v>
      </c>
      <c r="V145" s="296" t="s">
        <v>183</v>
      </c>
      <c r="W145" s="296" t="s">
        <v>183</v>
      </c>
      <c r="X145" s="296" t="s">
        <v>183</v>
      </c>
      <c r="Y145" s="296" t="s">
        <v>183</v>
      </c>
      <c r="Z145" s="296" t="s">
        <v>183</v>
      </c>
      <c r="AA145" s="296" t="s">
        <v>183</v>
      </c>
      <c r="AB145" s="296" t="s">
        <v>183</v>
      </c>
      <c r="AC145" s="296" t="s">
        <v>183</v>
      </c>
      <c r="AD145" s="296" t="s">
        <v>1587</v>
      </c>
      <c r="AE145" s="296" t="s">
        <v>192</v>
      </c>
      <c r="AF145" s="296" t="s">
        <v>193</v>
      </c>
      <c r="AG145" s="296">
        <v>0</v>
      </c>
      <c r="AH145" s="298">
        <v>45145</v>
      </c>
      <c r="AJ145" s="296" t="s">
        <v>194</v>
      </c>
      <c r="AK145" s="299">
        <f>COUNTIF($A$3:A$917,A145)</f>
        <v>1</v>
      </c>
    </row>
    <row r="146" spans="1:37" x14ac:dyDescent="0.25">
      <c r="A146" s="337">
        <v>501930016</v>
      </c>
      <c r="B146" s="296" t="s">
        <v>1588</v>
      </c>
      <c r="C146" s="296" t="s">
        <v>183</v>
      </c>
      <c r="D146" s="296" t="s">
        <v>183</v>
      </c>
      <c r="E146" s="296" t="s">
        <v>183</v>
      </c>
      <c r="F146" s="296" t="s">
        <v>1589</v>
      </c>
      <c r="G146" s="296" t="s">
        <v>1589</v>
      </c>
      <c r="H146" s="296" t="s">
        <v>1590</v>
      </c>
      <c r="I146" s="296" t="s">
        <v>1542</v>
      </c>
      <c r="J146" s="296" t="s">
        <v>1591</v>
      </c>
      <c r="K146" s="296" t="s">
        <v>183</v>
      </c>
      <c r="L146" s="296" t="s">
        <v>183</v>
      </c>
      <c r="M146" s="296" t="s">
        <v>183</v>
      </c>
      <c r="N146" s="296" t="s">
        <v>1338</v>
      </c>
      <c r="O146" s="296" t="s">
        <v>183</v>
      </c>
      <c r="P146" s="296" t="s">
        <v>183</v>
      </c>
      <c r="Q146" s="296" t="s">
        <v>183</v>
      </c>
      <c r="R146" s="296" t="s">
        <v>183</v>
      </c>
      <c r="S146" s="296" t="s">
        <v>183</v>
      </c>
      <c r="T146" s="296" t="s">
        <v>183</v>
      </c>
      <c r="U146" s="296" t="s">
        <v>183</v>
      </c>
      <c r="V146" s="296" t="s">
        <v>183</v>
      </c>
      <c r="W146" s="296" t="s">
        <v>183</v>
      </c>
      <c r="X146" s="296" t="s">
        <v>183</v>
      </c>
      <c r="Y146" s="296" t="s">
        <v>183</v>
      </c>
      <c r="Z146" s="296" t="s">
        <v>183</v>
      </c>
      <c r="AA146" s="296" t="s">
        <v>183</v>
      </c>
      <c r="AB146" s="296" t="s">
        <v>183</v>
      </c>
      <c r="AC146" s="296" t="s">
        <v>183</v>
      </c>
      <c r="AD146" s="296" t="s">
        <v>1592</v>
      </c>
      <c r="AE146" s="296" t="s">
        <v>192</v>
      </c>
      <c r="AF146" s="296" t="s">
        <v>193</v>
      </c>
      <c r="AG146" s="296">
        <v>12061</v>
      </c>
      <c r="AH146" s="298">
        <v>40602</v>
      </c>
      <c r="AJ146" s="296" t="s">
        <v>194</v>
      </c>
      <c r="AK146" s="299">
        <f>COUNTIF($A$3:A$917,A146)</f>
        <v>1</v>
      </c>
    </row>
    <row r="147" spans="1:37" x14ac:dyDescent="0.25">
      <c r="A147" s="296">
        <v>501700868</v>
      </c>
      <c r="B147" s="296" t="s">
        <v>1593</v>
      </c>
      <c r="C147" s="296" t="s">
        <v>183</v>
      </c>
      <c r="D147" s="296" t="s">
        <v>183</v>
      </c>
      <c r="E147" s="296" t="s">
        <v>183</v>
      </c>
      <c r="F147" s="296" t="s">
        <v>1594</v>
      </c>
      <c r="G147" s="296" t="s">
        <v>183</v>
      </c>
      <c r="H147" s="296" t="s">
        <v>1595</v>
      </c>
      <c r="I147" s="296" t="s">
        <v>1542</v>
      </c>
      <c r="J147" s="296" t="s">
        <v>1596</v>
      </c>
      <c r="K147" s="296" t="s">
        <v>183</v>
      </c>
      <c r="L147" s="296" t="s">
        <v>183</v>
      </c>
      <c r="M147" s="296" t="s">
        <v>183</v>
      </c>
      <c r="N147" s="296" t="s">
        <v>1597</v>
      </c>
      <c r="O147" s="296" t="s">
        <v>183</v>
      </c>
      <c r="P147" s="296" t="s">
        <v>183</v>
      </c>
      <c r="Q147" s="296" t="s">
        <v>183</v>
      </c>
      <c r="R147" s="296" t="s">
        <v>183</v>
      </c>
      <c r="S147" s="296" t="s">
        <v>183</v>
      </c>
      <c r="T147" s="296" t="s">
        <v>183</v>
      </c>
      <c r="U147" s="296" t="s">
        <v>183</v>
      </c>
      <c r="V147" s="296" t="s">
        <v>183</v>
      </c>
      <c r="W147" s="296" t="s">
        <v>183</v>
      </c>
      <c r="X147" s="296" t="s">
        <v>183</v>
      </c>
      <c r="Y147" s="296" t="s">
        <v>183</v>
      </c>
      <c r="Z147" s="296" t="s">
        <v>183</v>
      </c>
      <c r="AA147" s="296" t="s">
        <v>183</v>
      </c>
      <c r="AB147" s="296" t="s">
        <v>183</v>
      </c>
      <c r="AC147" s="296" t="s">
        <v>183</v>
      </c>
      <c r="AD147" s="296" t="s">
        <v>1598</v>
      </c>
      <c r="AE147" s="296" t="s">
        <v>192</v>
      </c>
      <c r="AF147" s="296" t="s">
        <v>193</v>
      </c>
      <c r="AG147" s="296">
        <v>0</v>
      </c>
      <c r="AH147" s="298">
        <v>38335</v>
      </c>
      <c r="AJ147" s="296" t="s">
        <v>194</v>
      </c>
      <c r="AK147" s="299">
        <f>COUNTIF($A$3:A$917,A147)</f>
        <v>1</v>
      </c>
    </row>
    <row r="148" spans="1:37" x14ac:dyDescent="0.25">
      <c r="A148" s="296">
        <v>900490940</v>
      </c>
      <c r="B148" s="296" t="s">
        <v>1599</v>
      </c>
      <c r="C148" s="296" t="s">
        <v>183</v>
      </c>
      <c r="D148" s="296" t="s">
        <v>183</v>
      </c>
      <c r="E148" s="296" t="s">
        <v>183</v>
      </c>
      <c r="F148" s="296" t="s">
        <v>1600</v>
      </c>
      <c r="G148" s="296" t="s">
        <v>1600</v>
      </c>
      <c r="H148" s="296" t="s">
        <v>1601</v>
      </c>
      <c r="I148" s="296" t="s">
        <v>1542</v>
      </c>
      <c r="J148" s="296" t="s">
        <v>1602</v>
      </c>
      <c r="K148" s="296" t="s">
        <v>183</v>
      </c>
      <c r="L148" s="296" t="s">
        <v>183</v>
      </c>
      <c r="M148" s="296" t="s">
        <v>183</v>
      </c>
      <c r="N148" s="296" t="s">
        <v>1603</v>
      </c>
      <c r="O148" s="296" t="s">
        <v>183</v>
      </c>
      <c r="P148" s="296" t="s">
        <v>183</v>
      </c>
      <c r="Q148" s="296" t="s">
        <v>183</v>
      </c>
      <c r="R148" s="296" t="s">
        <v>183</v>
      </c>
      <c r="S148" s="296" t="s">
        <v>183</v>
      </c>
      <c r="T148" s="296" t="s">
        <v>183</v>
      </c>
      <c r="U148" s="296" t="s">
        <v>183</v>
      </c>
      <c r="V148" s="296" t="s">
        <v>183</v>
      </c>
      <c r="W148" s="296" t="s">
        <v>183</v>
      </c>
      <c r="X148" s="296" t="s">
        <v>183</v>
      </c>
      <c r="Y148" s="296" t="s">
        <v>183</v>
      </c>
      <c r="Z148" s="296" t="s">
        <v>183</v>
      </c>
      <c r="AA148" s="296" t="s">
        <v>183</v>
      </c>
      <c r="AB148" s="296" t="s">
        <v>183</v>
      </c>
      <c r="AC148" s="296" t="s">
        <v>183</v>
      </c>
      <c r="AD148" s="296" t="s">
        <v>1604</v>
      </c>
      <c r="AE148" s="296" t="s">
        <v>192</v>
      </c>
      <c r="AF148" s="296" t="s">
        <v>193</v>
      </c>
      <c r="AG148" s="296">
        <v>0</v>
      </c>
      <c r="AH148" s="298">
        <v>45587</v>
      </c>
      <c r="AJ148" s="296" t="s">
        <v>194</v>
      </c>
      <c r="AK148" s="299">
        <f>COUNTIF($A$3:A$917,A148)</f>
        <v>1</v>
      </c>
    </row>
    <row r="149" spans="1:37" x14ac:dyDescent="0.25">
      <c r="A149" s="296">
        <v>504010653</v>
      </c>
      <c r="B149" s="296" t="s">
        <v>1605</v>
      </c>
      <c r="C149" s="296" t="s">
        <v>183</v>
      </c>
      <c r="D149" s="296" t="s">
        <v>183</v>
      </c>
      <c r="E149" s="296" t="s">
        <v>183</v>
      </c>
      <c r="F149" s="296" t="s">
        <v>1606</v>
      </c>
      <c r="G149" s="296" t="s">
        <v>183</v>
      </c>
      <c r="H149" s="296" t="s">
        <v>1607</v>
      </c>
      <c r="I149" s="296" t="s">
        <v>1542</v>
      </c>
      <c r="J149" s="296" t="s">
        <v>1608</v>
      </c>
      <c r="K149" s="296" t="s">
        <v>183</v>
      </c>
      <c r="L149" s="296" t="s">
        <v>183</v>
      </c>
      <c r="M149" s="296" t="s">
        <v>183</v>
      </c>
      <c r="N149" s="296" t="s">
        <v>1609</v>
      </c>
      <c r="O149" s="296" t="s">
        <v>183</v>
      </c>
      <c r="P149" s="296" t="s">
        <v>183</v>
      </c>
      <c r="Q149" s="296" t="s">
        <v>183</v>
      </c>
      <c r="R149" s="296" t="s">
        <v>183</v>
      </c>
      <c r="S149" s="296" t="s">
        <v>183</v>
      </c>
      <c r="T149" s="296" t="s">
        <v>183</v>
      </c>
      <c r="U149" s="296" t="s">
        <v>183</v>
      </c>
      <c r="V149" s="296" t="s">
        <v>183</v>
      </c>
      <c r="W149" s="296" t="s">
        <v>183</v>
      </c>
      <c r="X149" s="296" t="s">
        <v>183</v>
      </c>
      <c r="Y149" s="296" t="s">
        <v>183</v>
      </c>
      <c r="Z149" s="296" t="s">
        <v>183</v>
      </c>
      <c r="AA149" s="296" t="s">
        <v>183</v>
      </c>
      <c r="AB149" s="296" t="s">
        <v>183</v>
      </c>
      <c r="AC149" s="296" t="s">
        <v>183</v>
      </c>
      <c r="AD149" s="296" t="s">
        <v>1610</v>
      </c>
      <c r="AE149" s="296" t="s">
        <v>192</v>
      </c>
      <c r="AF149" s="296" t="s">
        <v>193</v>
      </c>
      <c r="AG149" s="296">
        <v>0</v>
      </c>
      <c r="AH149" s="298">
        <v>45224</v>
      </c>
      <c r="AJ149" s="296" t="s">
        <v>194</v>
      </c>
      <c r="AK149" s="299">
        <f>COUNTIF($A$3:A$917,A149)</f>
        <v>1</v>
      </c>
    </row>
    <row r="150" spans="1:37" x14ac:dyDescent="0.25">
      <c r="A150" s="296">
        <v>503840195</v>
      </c>
      <c r="B150" s="296" t="s">
        <v>1611</v>
      </c>
      <c r="C150" s="296" t="s">
        <v>183</v>
      </c>
      <c r="D150" s="296" t="s">
        <v>183</v>
      </c>
      <c r="E150" s="296" t="s">
        <v>183</v>
      </c>
      <c r="F150" s="296" t="s">
        <v>1612</v>
      </c>
      <c r="G150" s="296" t="s">
        <v>1612</v>
      </c>
      <c r="H150" s="296" t="s">
        <v>1613</v>
      </c>
      <c r="I150" s="296" t="s">
        <v>1542</v>
      </c>
      <c r="J150" s="296" t="s">
        <v>1614</v>
      </c>
      <c r="K150" s="296" t="s">
        <v>183</v>
      </c>
      <c r="L150" s="296" t="s">
        <v>183</v>
      </c>
      <c r="M150" s="296" t="s">
        <v>183</v>
      </c>
      <c r="N150" s="296" t="s">
        <v>1615</v>
      </c>
      <c r="O150" s="296" t="s">
        <v>183</v>
      </c>
      <c r="P150" s="296" t="s">
        <v>183</v>
      </c>
      <c r="Q150" s="296" t="s">
        <v>183</v>
      </c>
      <c r="R150" s="296" t="s">
        <v>183</v>
      </c>
      <c r="S150" s="296" t="s">
        <v>183</v>
      </c>
      <c r="T150" s="296" t="s">
        <v>183</v>
      </c>
      <c r="U150" s="296" t="s">
        <v>183</v>
      </c>
      <c r="V150" s="296" t="s">
        <v>183</v>
      </c>
      <c r="W150" s="296" t="s">
        <v>183</v>
      </c>
      <c r="X150" s="296" t="s">
        <v>183</v>
      </c>
      <c r="Y150" s="296" t="s">
        <v>183</v>
      </c>
      <c r="Z150" s="296" t="s">
        <v>183</v>
      </c>
      <c r="AA150" s="296" t="s">
        <v>183</v>
      </c>
      <c r="AB150" s="296" t="s">
        <v>183</v>
      </c>
      <c r="AC150" s="296" t="s">
        <v>183</v>
      </c>
      <c r="AD150" s="296" t="s">
        <v>1616</v>
      </c>
      <c r="AE150" s="296" t="s">
        <v>192</v>
      </c>
      <c r="AF150" s="296" t="s">
        <v>193</v>
      </c>
      <c r="AG150" s="296">
        <v>0</v>
      </c>
      <c r="AH150" s="298">
        <v>45590</v>
      </c>
      <c r="AJ150" s="296" t="s">
        <v>194</v>
      </c>
      <c r="AK150" s="299">
        <f>COUNTIF($A$3:A$917,A150)</f>
        <v>1</v>
      </c>
    </row>
    <row r="151" spans="1:37" x14ac:dyDescent="0.25">
      <c r="A151" s="296">
        <v>502030770</v>
      </c>
      <c r="B151" s="296" t="s">
        <v>1617</v>
      </c>
      <c r="C151" s="296" t="s">
        <v>183</v>
      </c>
      <c r="D151" s="296" t="s">
        <v>183</v>
      </c>
      <c r="E151" s="296" t="s">
        <v>183</v>
      </c>
      <c r="F151" s="296" t="s">
        <v>1618</v>
      </c>
      <c r="G151" s="296" t="s">
        <v>1618</v>
      </c>
      <c r="H151" s="296" t="s">
        <v>1619</v>
      </c>
      <c r="I151" s="296" t="s">
        <v>1542</v>
      </c>
      <c r="J151" s="296" t="s">
        <v>1620</v>
      </c>
      <c r="K151" s="296" t="s">
        <v>183</v>
      </c>
      <c r="L151" s="296" t="s">
        <v>183</v>
      </c>
      <c r="M151" s="296" t="s">
        <v>183</v>
      </c>
      <c r="N151" s="296" t="s">
        <v>1621</v>
      </c>
      <c r="O151" s="296" t="s">
        <v>183</v>
      </c>
      <c r="P151" s="296" t="s">
        <v>183</v>
      </c>
      <c r="Q151" s="296" t="s">
        <v>183</v>
      </c>
      <c r="R151" s="296" t="s">
        <v>183</v>
      </c>
      <c r="S151" s="296" t="s">
        <v>183</v>
      </c>
      <c r="T151" s="296" t="s">
        <v>183</v>
      </c>
      <c r="U151" s="296" t="s">
        <v>183</v>
      </c>
      <c r="V151" s="296" t="s">
        <v>183</v>
      </c>
      <c r="W151" s="296" t="s">
        <v>183</v>
      </c>
      <c r="X151" s="296" t="s">
        <v>183</v>
      </c>
      <c r="Y151" s="296" t="s">
        <v>183</v>
      </c>
      <c r="Z151" s="296" t="s">
        <v>183</v>
      </c>
      <c r="AA151" s="296" t="s">
        <v>183</v>
      </c>
      <c r="AB151" s="296" t="s">
        <v>183</v>
      </c>
      <c r="AC151" s="296" t="s">
        <v>183</v>
      </c>
      <c r="AD151" s="296" t="s">
        <v>1622</v>
      </c>
      <c r="AE151" s="296" t="s">
        <v>192</v>
      </c>
      <c r="AF151" s="296" t="s">
        <v>193</v>
      </c>
      <c r="AG151" s="296">
        <v>10008</v>
      </c>
      <c r="AH151" s="298">
        <v>37277</v>
      </c>
      <c r="AJ151" s="296" t="s">
        <v>194</v>
      </c>
      <c r="AK151" s="299">
        <f>COUNTIF($A$3:A$917,A151)</f>
        <v>1</v>
      </c>
    </row>
    <row r="152" spans="1:37" x14ac:dyDescent="0.25">
      <c r="A152" s="296">
        <v>502300638</v>
      </c>
      <c r="B152" s="296" t="s">
        <v>1623</v>
      </c>
      <c r="C152" s="296" t="s">
        <v>183</v>
      </c>
      <c r="D152" s="296" t="s">
        <v>183</v>
      </c>
      <c r="E152" s="296" t="s">
        <v>183</v>
      </c>
      <c r="F152" s="296" t="s">
        <v>1624</v>
      </c>
      <c r="G152" s="296" t="s">
        <v>1624</v>
      </c>
      <c r="H152" s="296" t="s">
        <v>1625</v>
      </c>
      <c r="I152" s="296" t="s">
        <v>1542</v>
      </c>
      <c r="J152" s="296" t="s">
        <v>1626</v>
      </c>
      <c r="K152" s="296" t="s">
        <v>183</v>
      </c>
      <c r="L152" s="296" t="s">
        <v>183</v>
      </c>
      <c r="M152" s="296" t="s">
        <v>183</v>
      </c>
      <c r="N152" s="296" t="s">
        <v>1627</v>
      </c>
      <c r="O152" s="296" t="s">
        <v>183</v>
      </c>
      <c r="P152" s="296" t="s">
        <v>183</v>
      </c>
      <c r="Q152" s="296" t="s">
        <v>183</v>
      </c>
      <c r="R152" s="296" t="s">
        <v>183</v>
      </c>
      <c r="S152" s="296" t="s">
        <v>183</v>
      </c>
      <c r="T152" s="296" t="s">
        <v>183</v>
      </c>
      <c r="U152" s="296" t="s">
        <v>183</v>
      </c>
      <c r="V152" s="296" t="s">
        <v>183</v>
      </c>
      <c r="W152" s="296" t="s">
        <v>183</v>
      </c>
      <c r="X152" s="296" t="s">
        <v>183</v>
      </c>
      <c r="Y152" s="296" t="s">
        <v>183</v>
      </c>
      <c r="Z152" s="296" t="s">
        <v>183</v>
      </c>
      <c r="AA152" s="296" t="s">
        <v>183</v>
      </c>
      <c r="AB152" s="296" t="s">
        <v>183</v>
      </c>
      <c r="AC152" s="296" t="s">
        <v>183</v>
      </c>
      <c r="AD152" s="296" t="s">
        <v>1628</v>
      </c>
      <c r="AE152" s="296" t="s">
        <v>192</v>
      </c>
      <c r="AF152" s="296" t="s">
        <v>193</v>
      </c>
      <c r="AG152" s="296">
        <v>0</v>
      </c>
      <c r="AH152" s="298">
        <v>42849</v>
      </c>
      <c r="AJ152" s="296" t="s">
        <v>194</v>
      </c>
      <c r="AK152" s="299">
        <f>COUNTIF($A$3:A$917,A152)</f>
        <v>1</v>
      </c>
    </row>
    <row r="153" spans="1:37" x14ac:dyDescent="0.25">
      <c r="A153" s="296">
        <v>800690812</v>
      </c>
      <c r="B153" s="296" t="s">
        <v>1629</v>
      </c>
      <c r="C153" s="296" t="s">
        <v>183</v>
      </c>
      <c r="D153" s="296" t="s">
        <v>183</v>
      </c>
      <c r="E153" s="296" t="s">
        <v>183</v>
      </c>
      <c r="F153" s="296" t="s">
        <v>1630</v>
      </c>
      <c r="G153" s="296" t="s">
        <v>183</v>
      </c>
      <c r="H153" s="296" t="s">
        <v>1631</v>
      </c>
      <c r="I153" s="296" t="s">
        <v>1542</v>
      </c>
      <c r="J153" s="296" t="s">
        <v>1632</v>
      </c>
      <c r="K153" s="296" t="s">
        <v>183</v>
      </c>
      <c r="L153" s="296" t="s">
        <v>183</v>
      </c>
      <c r="M153" s="296" t="s">
        <v>183</v>
      </c>
      <c r="N153" s="296" t="s">
        <v>604</v>
      </c>
      <c r="O153" s="296" t="s">
        <v>183</v>
      </c>
      <c r="P153" s="296" t="s">
        <v>183</v>
      </c>
      <c r="Q153" s="296" t="s">
        <v>183</v>
      </c>
      <c r="R153" s="296" t="s">
        <v>183</v>
      </c>
      <c r="S153" s="296" t="s">
        <v>183</v>
      </c>
      <c r="T153" s="296" t="s">
        <v>183</v>
      </c>
      <c r="U153" s="296" t="s">
        <v>183</v>
      </c>
      <c r="V153" s="296" t="s">
        <v>183</v>
      </c>
      <c r="W153" s="296" t="s">
        <v>183</v>
      </c>
      <c r="X153" s="296" t="s">
        <v>183</v>
      </c>
      <c r="Y153" s="296" t="s">
        <v>183</v>
      </c>
      <c r="Z153" s="296" t="s">
        <v>183</v>
      </c>
      <c r="AA153" s="296" t="s">
        <v>183</v>
      </c>
      <c r="AB153" s="296" t="s">
        <v>183</v>
      </c>
      <c r="AC153" s="296" t="s">
        <v>183</v>
      </c>
      <c r="AD153" s="296" t="s">
        <v>1633</v>
      </c>
      <c r="AE153" s="296" t="s">
        <v>192</v>
      </c>
      <c r="AF153" s="296" t="s">
        <v>193</v>
      </c>
      <c r="AG153" s="296">
        <v>0</v>
      </c>
      <c r="AH153" s="298">
        <v>45499</v>
      </c>
      <c r="AJ153" s="296" t="s">
        <v>194</v>
      </c>
      <c r="AK153" s="299">
        <f>COUNTIF($A$3:A$917,A153)</f>
        <v>1</v>
      </c>
    </row>
    <row r="154" spans="1:37" x14ac:dyDescent="0.25">
      <c r="A154" s="296">
        <v>204430824</v>
      </c>
      <c r="B154" s="296" t="s">
        <v>1634</v>
      </c>
      <c r="C154" s="296" t="s">
        <v>183</v>
      </c>
      <c r="D154" s="296" t="s">
        <v>183</v>
      </c>
      <c r="E154" s="296" t="s">
        <v>183</v>
      </c>
      <c r="F154" s="296" t="s">
        <v>1635</v>
      </c>
      <c r="G154" s="296" t="s">
        <v>183</v>
      </c>
      <c r="H154" s="296" t="s">
        <v>1636</v>
      </c>
      <c r="I154" s="296" t="s">
        <v>1542</v>
      </c>
      <c r="J154" s="296" t="s">
        <v>1637</v>
      </c>
      <c r="K154" s="296" t="s">
        <v>183</v>
      </c>
      <c r="L154" s="296" t="s">
        <v>183</v>
      </c>
      <c r="M154" s="296" t="s">
        <v>183</v>
      </c>
      <c r="N154" s="296" t="s">
        <v>180</v>
      </c>
      <c r="O154" s="296" t="s">
        <v>183</v>
      </c>
      <c r="P154" s="296" t="s">
        <v>183</v>
      </c>
      <c r="Q154" s="296" t="s">
        <v>183</v>
      </c>
      <c r="R154" s="296" t="s">
        <v>183</v>
      </c>
      <c r="S154" s="296" t="s">
        <v>183</v>
      </c>
      <c r="T154" s="296" t="s">
        <v>183</v>
      </c>
      <c r="U154" s="296" t="s">
        <v>183</v>
      </c>
      <c r="V154" s="296" t="s">
        <v>183</v>
      </c>
      <c r="W154" s="296" t="s">
        <v>183</v>
      </c>
      <c r="X154" s="296" t="s">
        <v>183</v>
      </c>
      <c r="Y154" s="296" t="s">
        <v>183</v>
      </c>
      <c r="Z154" s="296" t="s">
        <v>183</v>
      </c>
      <c r="AA154" s="296" t="s">
        <v>183</v>
      </c>
      <c r="AB154" s="296" t="s">
        <v>183</v>
      </c>
      <c r="AC154" s="296" t="s">
        <v>183</v>
      </c>
      <c r="AD154" s="296" t="s">
        <v>1638</v>
      </c>
      <c r="AE154" s="296" t="s">
        <v>192</v>
      </c>
      <c r="AF154" s="296" t="s">
        <v>193</v>
      </c>
      <c r="AG154" s="296">
        <v>0</v>
      </c>
      <c r="AH154" s="298">
        <v>44894</v>
      </c>
      <c r="AJ154" s="296" t="s">
        <v>194</v>
      </c>
      <c r="AK154" s="299">
        <f>COUNTIF($A$3:A$917,A154)</f>
        <v>1</v>
      </c>
    </row>
    <row r="155" spans="1:37" x14ac:dyDescent="0.25">
      <c r="A155" s="296">
        <v>205440749</v>
      </c>
      <c r="B155" s="296" t="s">
        <v>1639</v>
      </c>
      <c r="C155" s="296" t="s">
        <v>183</v>
      </c>
      <c r="D155" s="296" t="s">
        <v>183</v>
      </c>
      <c r="E155" s="296" t="s">
        <v>183</v>
      </c>
      <c r="F155" s="296" t="s">
        <v>1640</v>
      </c>
      <c r="G155" s="296" t="s">
        <v>1640</v>
      </c>
      <c r="H155" s="296" t="s">
        <v>1641</v>
      </c>
      <c r="I155" s="296" t="s">
        <v>1542</v>
      </c>
      <c r="J155" s="296" t="s">
        <v>1642</v>
      </c>
      <c r="K155" s="296" t="s">
        <v>183</v>
      </c>
      <c r="L155" s="296" t="s">
        <v>183</v>
      </c>
      <c r="M155" s="296" t="s">
        <v>183</v>
      </c>
      <c r="N155" s="296" t="s">
        <v>1643</v>
      </c>
      <c r="O155" s="296" t="s">
        <v>183</v>
      </c>
      <c r="P155" s="296" t="s">
        <v>183</v>
      </c>
      <c r="Q155" s="296" t="s">
        <v>183</v>
      </c>
      <c r="R155" s="296" t="s">
        <v>183</v>
      </c>
      <c r="S155" s="296" t="s">
        <v>183</v>
      </c>
      <c r="T155" s="296" t="s">
        <v>183</v>
      </c>
      <c r="U155" s="296" t="s">
        <v>183</v>
      </c>
      <c r="V155" s="296" t="s">
        <v>183</v>
      </c>
      <c r="W155" s="296" t="s">
        <v>183</v>
      </c>
      <c r="X155" s="296" t="s">
        <v>183</v>
      </c>
      <c r="Y155" s="296" t="s">
        <v>183</v>
      </c>
      <c r="Z155" s="296" t="s">
        <v>183</v>
      </c>
      <c r="AA155" s="296" t="s">
        <v>183</v>
      </c>
      <c r="AB155" s="296" t="s">
        <v>183</v>
      </c>
      <c r="AC155" s="296" t="s">
        <v>183</v>
      </c>
      <c r="AD155" s="296" t="s">
        <v>1644</v>
      </c>
      <c r="AE155" s="296" t="s">
        <v>192</v>
      </c>
      <c r="AF155" s="296" t="s">
        <v>193</v>
      </c>
      <c r="AG155" s="296">
        <v>0</v>
      </c>
      <c r="AH155" s="298">
        <v>45617</v>
      </c>
      <c r="AJ155" s="296" t="s">
        <v>194</v>
      </c>
      <c r="AK155" s="299">
        <f>COUNTIF($A$3:A$917,A155)</f>
        <v>1</v>
      </c>
    </row>
    <row r="156" spans="1:37" x14ac:dyDescent="0.25">
      <c r="A156" s="296">
        <v>501680823</v>
      </c>
      <c r="B156" s="296" t="s">
        <v>1645</v>
      </c>
      <c r="C156" s="296" t="s">
        <v>183</v>
      </c>
      <c r="D156" s="296" t="s">
        <v>183</v>
      </c>
      <c r="E156" s="296" t="s">
        <v>183</v>
      </c>
      <c r="F156" s="296" t="s">
        <v>1646</v>
      </c>
      <c r="G156" s="296" t="s">
        <v>183</v>
      </c>
      <c r="H156" s="296" t="s">
        <v>1647</v>
      </c>
      <c r="I156" s="296" t="s">
        <v>1542</v>
      </c>
      <c r="J156" s="296" t="s">
        <v>1542</v>
      </c>
      <c r="K156" s="296" t="s">
        <v>183</v>
      </c>
      <c r="L156" s="296" t="s">
        <v>183</v>
      </c>
      <c r="M156" s="296" t="s">
        <v>183</v>
      </c>
      <c r="N156" s="296" t="s">
        <v>1597</v>
      </c>
      <c r="O156" s="296" t="s">
        <v>183</v>
      </c>
      <c r="P156" s="296" t="s">
        <v>183</v>
      </c>
      <c r="Q156" s="296" t="s">
        <v>183</v>
      </c>
      <c r="R156" s="296" t="s">
        <v>183</v>
      </c>
      <c r="S156" s="296" t="s">
        <v>183</v>
      </c>
      <c r="T156" s="296" t="s">
        <v>183</v>
      </c>
      <c r="U156" s="296" t="s">
        <v>183</v>
      </c>
      <c r="V156" s="296" t="s">
        <v>183</v>
      </c>
      <c r="W156" s="296" t="s">
        <v>183</v>
      </c>
      <c r="X156" s="296" t="s">
        <v>183</v>
      </c>
      <c r="Y156" s="296" t="s">
        <v>183</v>
      </c>
      <c r="Z156" s="296" t="s">
        <v>183</v>
      </c>
      <c r="AA156" s="296" t="s">
        <v>183</v>
      </c>
      <c r="AB156" s="296" t="s">
        <v>183</v>
      </c>
      <c r="AC156" s="296" t="s">
        <v>183</v>
      </c>
      <c r="AD156" s="296" t="s">
        <v>1648</v>
      </c>
      <c r="AE156" s="296" t="s">
        <v>192</v>
      </c>
      <c r="AF156" s="296" t="s">
        <v>193</v>
      </c>
      <c r="AG156" s="296">
        <v>0</v>
      </c>
      <c r="AH156" s="298">
        <v>42655</v>
      </c>
      <c r="AJ156" s="296" t="s">
        <v>194</v>
      </c>
      <c r="AK156" s="299">
        <f>COUNTIF($A$3:A$917,A156)</f>
        <v>1</v>
      </c>
    </row>
    <row r="157" spans="1:37" x14ac:dyDescent="0.25">
      <c r="A157" s="296">
        <v>503820742</v>
      </c>
      <c r="B157" s="296" t="s">
        <v>1649</v>
      </c>
      <c r="C157" s="296" t="s">
        <v>183</v>
      </c>
      <c r="D157" s="296" t="s">
        <v>183</v>
      </c>
      <c r="E157" s="296" t="s">
        <v>183</v>
      </c>
      <c r="F157" s="296" t="s">
        <v>1650</v>
      </c>
      <c r="G157" s="296" t="s">
        <v>183</v>
      </c>
      <c r="H157" s="296" t="s">
        <v>1651</v>
      </c>
      <c r="I157" s="296" t="s">
        <v>1542</v>
      </c>
      <c r="J157" s="296" t="s">
        <v>1652</v>
      </c>
      <c r="K157" s="296" t="s">
        <v>183</v>
      </c>
      <c r="L157" s="296" t="s">
        <v>183</v>
      </c>
      <c r="M157" s="296" t="s">
        <v>183</v>
      </c>
      <c r="N157" s="296" t="s">
        <v>1653</v>
      </c>
      <c r="O157" s="296" t="s">
        <v>183</v>
      </c>
      <c r="P157" s="296" t="s">
        <v>183</v>
      </c>
      <c r="Q157" s="296" t="s">
        <v>183</v>
      </c>
      <c r="R157" s="296" t="s">
        <v>183</v>
      </c>
      <c r="S157" s="296" t="s">
        <v>183</v>
      </c>
      <c r="T157" s="296" t="s">
        <v>183</v>
      </c>
      <c r="U157" s="296" t="s">
        <v>183</v>
      </c>
      <c r="V157" s="296" t="s">
        <v>183</v>
      </c>
      <c r="W157" s="296" t="s">
        <v>183</v>
      </c>
      <c r="X157" s="296" t="s">
        <v>183</v>
      </c>
      <c r="Y157" s="296" t="s">
        <v>183</v>
      </c>
      <c r="Z157" s="296" t="s">
        <v>183</v>
      </c>
      <c r="AA157" s="296" t="s">
        <v>183</v>
      </c>
      <c r="AB157" s="296" t="s">
        <v>183</v>
      </c>
      <c r="AC157" s="296" t="s">
        <v>183</v>
      </c>
      <c r="AD157" s="296" t="s">
        <v>1654</v>
      </c>
      <c r="AE157" s="296" t="s">
        <v>192</v>
      </c>
      <c r="AF157" s="296" t="s">
        <v>193</v>
      </c>
      <c r="AG157" s="296">
        <v>0</v>
      </c>
      <c r="AH157" s="298">
        <v>42572</v>
      </c>
      <c r="AJ157" s="296" t="s">
        <v>194</v>
      </c>
      <c r="AK157" s="299">
        <f>COUNTIF($A$3:A$917,A157)</f>
        <v>1</v>
      </c>
    </row>
    <row r="158" spans="1:37" x14ac:dyDescent="0.25">
      <c r="A158" s="296">
        <v>501450912</v>
      </c>
      <c r="B158" s="296" t="s">
        <v>1655</v>
      </c>
      <c r="C158" s="296" t="s">
        <v>183</v>
      </c>
      <c r="D158" s="296" t="s">
        <v>183</v>
      </c>
      <c r="E158" s="296" t="s">
        <v>183</v>
      </c>
      <c r="F158" s="296" t="s">
        <v>1656</v>
      </c>
      <c r="G158" s="296" t="s">
        <v>278</v>
      </c>
      <c r="H158" s="296" t="s">
        <v>183</v>
      </c>
      <c r="I158" s="296" t="s">
        <v>1542</v>
      </c>
      <c r="J158" s="296" t="s">
        <v>1657</v>
      </c>
      <c r="K158" s="296" t="s">
        <v>183</v>
      </c>
      <c r="L158" s="296" t="s">
        <v>183</v>
      </c>
      <c r="M158" s="296" t="s">
        <v>183</v>
      </c>
      <c r="N158" s="296" t="s">
        <v>1658</v>
      </c>
      <c r="O158" s="296" t="s">
        <v>183</v>
      </c>
      <c r="P158" s="296" t="s">
        <v>183</v>
      </c>
      <c r="Q158" s="296" t="s">
        <v>183</v>
      </c>
      <c r="R158" s="296" t="s">
        <v>183</v>
      </c>
      <c r="S158" s="296" t="s">
        <v>183</v>
      </c>
      <c r="T158" s="296" t="s">
        <v>183</v>
      </c>
      <c r="U158" s="296" t="s">
        <v>183</v>
      </c>
      <c r="V158" s="296" t="s">
        <v>183</v>
      </c>
      <c r="W158" s="296" t="s">
        <v>183</v>
      </c>
      <c r="X158" s="296" t="s">
        <v>183</v>
      </c>
      <c r="Y158" s="296" t="s">
        <v>183</v>
      </c>
      <c r="Z158" s="296" t="s">
        <v>183</v>
      </c>
      <c r="AA158" s="296" t="s">
        <v>183</v>
      </c>
      <c r="AB158" s="296" t="s">
        <v>183</v>
      </c>
      <c r="AC158" s="296" t="s">
        <v>183</v>
      </c>
      <c r="AD158" s="296" t="s">
        <v>1659</v>
      </c>
      <c r="AE158" s="296" t="s">
        <v>192</v>
      </c>
      <c r="AF158" s="296" t="s">
        <v>193</v>
      </c>
      <c r="AG158" s="296">
        <v>0</v>
      </c>
      <c r="AH158" s="298">
        <v>44768</v>
      </c>
      <c r="AJ158" s="296" t="s">
        <v>194</v>
      </c>
      <c r="AK158" s="299">
        <f>COUNTIF($A$3:A$917,A158)</f>
        <v>1</v>
      </c>
    </row>
    <row r="159" spans="1:37" x14ac:dyDescent="0.25">
      <c r="A159" s="296">
        <v>205630899</v>
      </c>
      <c r="B159" s="296" t="s">
        <v>1660</v>
      </c>
      <c r="C159" s="296" t="s">
        <v>183</v>
      </c>
      <c r="D159" s="296" t="s">
        <v>183</v>
      </c>
      <c r="E159" s="296" t="s">
        <v>183</v>
      </c>
      <c r="F159" s="296" t="s">
        <v>1661</v>
      </c>
      <c r="G159" s="296" t="s">
        <v>1661</v>
      </c>
      <c r="H159" s="296" t="s">
        <v>1662</v>
      </c>
      <c r="I159" s="296" t="s">
        <v>1542</v>
      </c>
      <c r="J159" s="296" t="s">
        <v>1663</v>
      </c>
      <c r="K159" s="296" t="s">
        <v>183</v>
      </c>
      <c r="L159" s="296" t="s">
        <v>183</v>
      </c>
      <c r="M159" s="296" t="s">
        <v>183</v>
      </c>
      <c r="N159" s="296" t="s">
        <v>1664</v>
      </c>
      <c r="O159" s="296" t="s">
        <v>183</v>
      </c>
      <c r="P159" s="296" t="s">
        <v>183</v>
      </c>
      <c r="Q159" s="296" t="s">
        <v>183</v>
      </c>
      <c r="R159" s="296" t="s">
        <v>183</v>
      </c>
      <c r="S159" s="296" t="s">
        <v>183</v>
      </c>
      <c r="T159" s="296" t="s">
        <v>183</v>
      </c>
      <c r="U159" s="296" t="s">
        <v>183</v>
      </c>
      <c r="V159" s="296" t="s">
        <v>183</v>
      </c>
      <c r="W159" s="296" t="s">
        <v>183</v>
      </c>
      <c r="X159" s="296" t="s">
        <v>183</v>
      </c>
      <c r="Y159" s="296" t="s">
        <v>183</v>
      </c>
      <c r="Z159" s="296" t="s">
        <v>183</v>
      </c>
      <c r="AA159" s="296" t="s">
        <v>183</v>
      </c>
      <c r="AB159" s="296" t="s">
        <v>183</v>
      </c>
      <c r="AC159" s="296" t="s">
        <v>183</v>
      </c>
      <c r="AD159" s="296" t="s">
        <v>1665</v>
      </c>
      <c r="AE159" s="296" t="s">
        <v>192</v>
      </c>
      <c r="AF159" s="296" t="s">
        <v>193</v>
      </c>
      <c r="AG159" s="296">
        <v>0</v>
      </c>
      <c r="AH159" s="298">
        <v>44313</v>
      </c>
      <c r="AJ159" s="296" t="s">
        <v>194</v>
      </c>
      <c r="AK159" s="299">
        <f>COUNTIF($A$3:A$917,A159)</f>
        <v>1</v>
      </c>
    </row>
    <row r="160" spans="1:37" x14ac:dyDescent="0.25">
      <c r="A160" s="296">
        <v>155809474602</v>
      </c>
      <c r="B160" s="296" t="s">
        <v>1666</v>
      </c>
      <c r="C160" s="296" t="s">
        <v>183</v>
      </c>
      <c r="D160" s="296" t="s">
        <v>183</v>
      </c>
      <c r="E160" s="296" t="s">
        <v>183</v>
      </c>
      <c r="F160" s="296" t="s">
        <v>1667</v>
      </c>
      <c r="G160" s="296" t="s">
        <v>183</v>
      </c>
      <c r="H160" s="296" t="s">
        <v>1668</v>
      </c>
      <c r="I160" s="296" t="s">
        <v>1542</v>
      </c>
      <c r="J160" s="296" t="s">
        <v>1669</v>
      </c>
      <c r="K160" s="296" t="s">
        <v>183</v>
      </c>
      <c r="L160" s="296" t="s">
        <v>183</v>
      </c>
      <c r="M160" s="296" t="s">
        <v>183</v>
      </c>
      <c r="N160" s="296" t="s">
        <v>1670</v>
      </c>
      <c r="O160" s="296" t="s">
        <v>183</v>
      </c>
      <c r="P160" s="296" t="s">
        <v>183</v>
      </c>
      <c r="Q160" s="296" t="s">
        <v>183</v>
      </c>
      <c r="R160" s="296" t="s">
        <v>183</v>
      </c>
      <c r="S160" s="296" t="s">
        <v>183</v>
      </c>
      <c r="T160" s="296" t="s">
        <v>183</v>
      </c>
      <c r="U160" s="296" t="s">
        <v>183</v>
      </c>
      <c r="V160" s="296" t="s">
        <v>183</v>
      </c>
      <c r="W160" s="296" t="s">
        <v>183</v>
      </c>
      <c r="X160" s="296" t="s">
        <v>183</v>
      </c>
      <c r="Y160" s="296" t="s">
        <v>183</v>
      </c>
      <c r="Z160" s="296" t="s">
        <v>183</v>
      </c>
      <c r="AA160" s="296" t="s">
        <v>183</v>
      </c>
      <c r="AB160" s="296" t="s">
        <v>183</v>
      </c>
      <c r="AC160" s="296" t="s">
        <v>183</v>
      </c>
      <c r="AD160" s="296" t="s">
        <v>1671</v>
      </c>
      <c r="AE160" s="296" t="s">
        <v>192</v>
      </c>
      <c r="AF160" s="296" t="s">
        <v>193</v>
      </c>
      <c r="AG160" s="296">
        <v>10992</v>
      </c>
      <c r="AH160" s="298">
        <v>42433</v>
      </c>
      <c r="AJ160" s="296" t="s">
        <v>194</v>
      </c>
      <c r="AK160" s="299">
        <f>COUNTIF($A$3:A$917,A160)</f>
        <v>1</v>
      </c>
    </row>
    <row r="161" spans="1:37" x14ac:dyDescent="0.25">
      <c r="A161" s="296">
        <v>502620580</v>
      </c>
      <c r="B161" s="296" t="s">
        <v>1672</v>
      </c>
      <c r="C161" s="296" t="s">
        <v>183</v>
      </c>
      <c r="D161" s="296" t="s">
        <v>183</v>
      </c>
      <c r="E161" s="296" t="s">
        <v>183</v>
      </c>
      <c r="F161" s="296" t="s">
        <v>1673</v>
      </c>
      <c r="G161" s="296" t="s">
        <v>1674</v>
      </c>
      <c r="H161" s="296" t="s">
        <v>1675</v>
      </c>
      <c r="I161" s="296" t="s">
        <v>1542</v>
      </c>
      <c r="J161" s="296" t="s">
        <v>1676</v>
      </c>
      <c r="K161" s="296" t="s">
        <v>183</v>
      </c>
      <c r="L161" s="296" t="s">
        <v>183</v>
      </c>
      <c r="M161" s="296" t="s">
        <v>183</v>
      </c>
      <c r="N161" s="296" t="s">
        <v>1677</v>
      </c>
      <c r="O161" s="296" t="s">
        <v>183</v>
      </c>
      <c r="P161" s="296" t="s">
        <v>183</v>
      </c>
      <c r="Q161" s="296" t="s">
        <v>183</v>
      </c>
      <c r="R161" s="296" t="s">
        <v>183</v>
      </c>
      <c r="S161" s="296" t="s">
        <v>183</v>
      </c>
      <c r="T161" s="296" t="s">
        <v>183</v>
      </c>
      <c r="U161" s="296" t="s">
        <v>183</v>
      </c>
      <c r="V161" s="296" t="s">
        <v>183</v>
      </c>
      <c r="W161" s="296" t="s">
        <v>183</v>
      </c>
      <c r="X161" s="296" t="s">
        <v>183</v>
      </c>
      <c r="Y161" s="296" t="s">
        <v>183</v>
      </c>
      <c r="Z161" s="296" t="s">
        <v>183</v>
      </c>
      <c r="AA161" s="296" t="s">
        <v>183</v>
      </c>
      <c r="AB161" s="296" t="s">
        <v>183</v>
      </c>
      <c r="AC161" s="296" t="s">
        <v>183</v>
      </c>
      <c r="AD161" s="296" t="s">
        <v>1678</v>
      </c>
      <c r="AE161" s="296" t="s">
        <v>192</v>
      </c>
      <c r="AF161" s="296" t="s">
        <v>193</v>
      </c>
      <c r="AG161" s="296">
        <v>0</v>
      </c>
      <c r="AH161" s="298">
        <v>44054</v>
      </c>
      <c r="AJ161" s="296" t="s">
        <v>194</v>
      </c>
      <c r="AK161" s="299">
        <f>COUNTIF($A$3:A$917,A161)</f>
        <v>1</v>
      </c>
    </row>
    <row r="162" spans="1:37" x14ac:dyDescent="0.25">
      <c r="A162" s="296">
        <v>900880246</v>
      </c>
      <c r="B162" s="296" t="s">
        <v>1679</v>
      </c>
      <c r="C162" s="296" t="s">
        <v>183</v>
      </c>
      <c r="D162" s="296" t="s">
        <v>183</v>
      </c>
      <c r="E162" s="296" t="s">
        <v>183</v>
      </c>
      <c r="F162" s="296" t="s">
        <v>1680</v>
      </c>
      <c r="G162" s="296" t="s">
        <v>1680</v>
      </c>
      <c r="H162" s="296" t="s">
        <v>1681</v>
      </c>
      <c r="I162" s="296" t="s">
        <v>1542</v>
      </c>
      <c r="J162" s="296" t="s">
        <v>1642</v>
      </c>
      <c r="K162" s="296" t="s">
        <v>183</v>
      </c>
      <c r="L162" s="296" t="s">
        <v>183</v>
      </c>
      <c r="M162" s="296" t="s">
        <v>183</v>
      </c>
      <c r="N162" s="296" t="s">
        <v>250</v>
      </c>
      <c r="O162" s="296" t="s">
        <v>183</v>
      </c>
      <c r="P162" s="296" t="s">
        <v>183</v>
      </c>
      <c r="Q162" s="296" t="s">
        <v>183</v>
      </c>
      <c r="R162" s="296" t="s">
        <v>183</v>
      </c>
      <c r="S162" s="296" t="s">
        <v>183</v>
      </c>
      <c r="T162" s="296" t="s">
        <v>183</v>
      </c>
      <c r="U162" s="296" t="s">
        <v>183</v>
      </c>
      <c r="V162" s="296" t="s">
        <v>183</v>
      </c>
      <c r="W162" s="296" t="s">
        <v>183</v>
      </c>
      <c r="X162" s="296" t="s">
        <v>183</v>
      </c>
      <c r="Y162" s="296" t="s">
        <v>183</v>
      </c>
      <c r="Z162" s="296" t="s">
        <v>183</v>
      </c>
      <c r="AA162" s="296" t="s">
        <v>183</v>
      </c>
      <c r="AB162" s="296" t="s">
        <v>183</v>
      </c>
      <c r="AC162" s="296" t="s">
        <v>183</v>
      </c>
      <c r="AD162" s="296" t="s">
        <v>1682</v>
      </c>
      <c r="AE162" s="296" t="s">
        <v>192</v>
      </c>
      <c r="AF162" s="296" t="s">
        <v>193</v>
      </c>
      <c r="AG162" s="296">
        <v>0</v>
      </c>
      <c r="AH162" s="298">
        <v>44392</v>
      </c>
      <c r="AJ162" s="296" t="s">
        <v>194</v>
      </c>
      <c r="AK162" s="299">
        <f>COUNTIF($A$3:A$917,A162)</f>
        <v>1</v>
      </c>
    </row>
    <row r="163" spans="1:37" x14ac:dyDescent="0.25">
      <c r="A163" s="296">
        <v>3102940043</v>
      </c>
      <c r="B163" s="296" t="s">
        <v>1683</v>
      </c>
      <c r="C163" s="296" t="s">
        <v>1684</v>
      </c>
      <c r="D163" s="296" t="s">
        <v>1685</v>
      </c>
      <c r="E163" s="296" t="s">
        <v>1057</v>
      </c>
      <c r="F163" s="296" t="s">
        <v>1686</v>
      </c>
      <c r="G163" s="296" t="s">
        <v>183</v>
      </c>
      <c r="H163" s="296" t="s">
        <v>1687</v>
      </c>
      <c r="I163" s="296" t="s">
        <v>1688</v>
      </c>
      <c r="J163" s="296" t="s">
        <v>1689</v>
      </c>
      <c r="K163" s="296" t="s">
        <v>1690</v>
      </c>
      <c r="L163" s="296" t="s">
        <v>1683</v>
      </c>
      <c r="M163" s="296" t="s">
        <v>179</v>
      </c>
      <c r="N163" s="296" t="s">
        <v>1686</v>
      </c>
      <c r="O163" s="296" t="s">
        <v>1686</v>
      </c>
      <c r="P163" s="296" t="s">
        <v>1687</v>
      </c>
      <c r="Q163" s="296" t="s">
        <v>183</v>
      </c>
      <c r="R163" s="296" t="s">
        <v>1691</v>
      </c>
      <c r="S163" s="296" t="s">
        <v>185</v>
      </c>
      <c r="T163" s="296" t="s">
        <v>185</v>
      </c>
      <c r="U163" s="296" t="s">
        <v>186</v>
      </c>
      <c r="V163" s="296" t="s">
        <v>187</v>
      </c>
      <c r="W163" s="296" t="s">
        <v>188</v>
      </c>
      <c r="X163" s="296" t="s">
        <v>189</v>
      </c>
      <c r="Y163" s="296" t="s">
        <v>183</v>
      </c>
      <c r="Z163" s="296" t="s">
        <v>183</v>
      </c>
      <c r="AA163" s="296" t="s">
        <v>183</v>
      </c>
      <c r="AB163" s="296" t="s">
        <v>183</v>
      </c>
      <c r="AC163" s="296" t="s">
        <v>1692</v>
      </c>
      <c r="AD163" s="296" t="s">
        <v>1693</v>
      </c>
      <c r="AE163" s="296" t="s">
        <v>192</v>
      </c>
      <c r="AF163" s="296" t="s">
        <v>193</v>
      </c>
      <c r="AG163" s="296">
        <v>0</v>
      </c>
      <c r="AH163" s="298">
        <v>44683</v>
      </c>
      <c r="AJ163" s="296" t="s">
        <v>194</v>
      </c>
      <c r="AK163" s="299">
        <f>COUNTIF($A$3:A$917,A163)</f>
        <v>1</v>
      </c>
    </row>
    <row r="164" spans="1:37" x14ac:dyDescent="0.25">
      <c r="A164" s="296">
        <v>112870620</v>
      </c>
      <c r="B164" s="296" t="s">
        <v>439</v>
      </c>
      <c r="C164" s="296" t="s">
        <v>183</v>
      </c>
      <c r="D164" s="296" t="s">
        <v>183</v>
      </c>
      <c r="E164" s="296" t="s">
        <v>183</v>
      </c>
      <c r="F164" s="296" t="s">
        <v>440</v>
      </c>
      <c r="G164" s="296" t="s">
        <v>440</v>
      </c>
      <c r="H164" s="296" t="s">
        <v>441</v>
      </c>
      <c r="I164" s="296" t="s">
        <v>1688</v>
      </c>
      <c r="J164" s="296" t="s">
        <v>443</v>
      </c>
      <c r="K164" s="296" t="s">
        <v>444</v>
      </c>
      <c r="L164" s="296" t="s">
        <v>445</v>
      </c>
      <c r="M164" s="296" t="s">
        <v>179</v>
      </c>
      <c r="N164" s="296" t="s">
        <v>446</v>
      </c>
      <c r="O164" s="296" t="s">
        <v>446</v>
      </c>
      <c r="P164" s="296" t="s">
        <v>447</v>
      </c>
      <c r="Q164" s="296" t="s">
        <v>183</v>
      </c>
      <c r="R164" s="296" t="s">
        <v>448</v>
      </c>
      <c r="S164" s="296" t="s">
        <v>185</v>
      </c>
      <c r="T164" s="296" t="s">
        <v>185</v>
      </c>
      <c r="U164" s="296" t="s">
        <v>186</v>
      </c>
      <c r="V164" s="296" t="s">
        <v>187</v>
      </c>
      <c r="W164" s="296" t="s">
        <v>188</v>
      </c>
      <c r="X164" s="296" t="s">
        <v>256</v>
      </c>
      <c r="Y164" s="296" t="s">
        <v>183</v>
      </c>
      <c r="Z164" s="296" t="s">
        <v>183</v>
      </c>
      <c r="AA164" s="296" t="s">
        <v>183</v>
      </c>
      <c r="AB164" s="296" t="s">
        <v>183</v>
      </c>
      <c r="AC164" s="296" t="s">
        <v>449</v>
      </c>
      <c r="AD164" s="296" t="s">
        <v>1694</v>
      </c>
      <c r="AE164" s="296" t="s">
        <v>192</v>
      </c>
      <c r="AF164" s="296" t="s">
        <v>193</v>
      </c>
      <c r="AG164" s="296">
        <v>6948</v>
      </c>
      <c r="AH164" s="298">
        <v>43845</v>
      </c>
      <c r="AJ164" s="296" t="s">
        <v>194</v>
      </c>
      <c r="AK164" s="299">
        <f>COUNTIF($A$3:A$917,A164)</f>
        <v>2</v>
      </c>
    </row>
    <row r="165" spans="1:37" x14ac:dyDescent="0.25">
      <c r="A165" s="296">
        <v>207820640</v>
      </c>
      <c r="B165" s="296" t="s">
        <v>1695</v>
      </c>
      <c r="C165" s="296" t="s">
        <v>183</v>
      </c>
      <c r="D165" s="296" t="s">
        <v>183</v>
      </c>
      <c r="E165" s="296" t="s">
        <v>183</v>
      </c>
      <c r="F165" s="296" t="s">
        <v>1696</v>
      </c>
      <c r="G165" s="296" t="s">
        <v>183</v>
      </c>
      <c r="H165" s="296" t="s">
        <v>1697</v>
      </c>
      <c r="I165" s="296" t="s">
        <v>1688</v>
      </c>
      <c r="J165" s="296" t="s">
        <v>1698</v>
      </c>
      <c r="K165" s="296" t="s">
        <v>1699</v>
      </c>
      <c r="L165" s="296" t="s">
        <v>1700</v>
      </c>
      <c r="M165" s="296" t="s">
        <v>179</v>
      </c>
      <c r="N165" s="296" t="s">
        <v>988</v>
      </c>
      <c r="O165" s="296" t="s">
        <v>988</v>
      </c>
      <c r="P165" s="296" t="s">
        <v>983</v>
      </c>
      <c r="Q165" s="296" t="s">
        <v>183</v>
      </c>
      <c r="R165" s="296" t="s">
        <v>1701</v>
      </c>
      <c r="S165" s="296" t="s">
        <v>185</v>
      </c>
      <c r="T165" s="296" t="s">
        <v>185</v>
      </c>
      <c r="U165" s="296" t="s">
        <v>186</v>
      </c>
      <c r="V165" s="296" t="s">
        <v>187</v>
      </c>
      <c r="W165" s="296" t="s">
        <v>188</v>
      </c>
      <c r="X165" s="296" t="s">
        <v>224</v>
      </c>
      <c r="Y165" s="296" t="s">
        <v>183</v>
      </c>
      <c r="Z165" s="296" t="s">
        <v>183</v>
      </c>
      <c r="AA165" s="296" t="s">
        <v>183</v>
      </c>
      <c r="AB165" s="296" t="s">
        <v>183</v>
      </c>
      <c r="AC165" s="296" t="s">
        <v>1702</v>
      </c>
      <c r="AD165" s="296" t="s">
        <v>1703</v>
      </c>
      <c r="AE165" s="296" t="s">
        <v>192</v>
      </c>
      <c r="AF165" s="296" t="s">
        <v>193</v>
      </c>
      <c r="AG165" s="296">
        <v>0</v>
      </c>
      <c r="AH165" s="298">
        <v>45861</v>
      </c>
      <c r="AJ165" s="296" t="s">
        <v>194</v>
      </c>
      <c r="AK165" s="299">
        <f>COUNTIF($A$3:A$917,A165)</f>
        <v>1</v>
      </c>
    </row>
    <row r="166" spans="1:37" x14ac:dyDescent="0.25">
      <c r="A166" s="296">
        <v>3101755941</v>
      </c>
      <c r="B166" s="296" t="s">
        <v>1704</v>
      </c>
      <c r="C166" s="296" t="s">
        <v>183</v>
      </c>
      <c r="D166" s="296" t="s">
        <v>183</v>
      </c>
      <c r="E166" s="296" t="s">
        <v>183</v>
      </c>
      <c r="F166" s="296" t="s">
        <v>1705</v>
      </c>
      <c r="G166" s="296" t="s">
        <v>183</v>
      </c>
      <c r="H166" s="296" t="s">
        <v>1706</v>
      </c>
      <c r="I166" s="296" t="s">
        <v>1688</v>
      </c>
      <c r="J166" s="296" t="s">
        <v>1707</v>
      </c>
      <c r="K166" s="296" t="s">
        <v>1708</v>
      </c>
      <c r="L166" s="296" t="s">
        <v>1709</v>
      </c>
      <c r="M166" s="296" t="s">
        <v>179</v>
      </c>
      <c r="N166" s="296" t="s">
        <v>1705</v>
      </c>
      <c r="O166" s="296" t="s">
        <v>183</v>
      </c>
      <c r="P166" s="296" t="s">
        <v>1706</v>
      </c>
      <c r="Q166" s="296" t="s">
        <v>183</v>
      </c>
      <c r="R166" s="296" t="s">
        <v>1710</v>
      </c>
      <c r="S166" s="296" t="s">
        <v>185</v>
      </c>
      <c r="T166" s="296" t="s">
        <v>185</v>
      </c>
      <c r="U166" s="296" t="s">
        <v>186</v>
      </c>
      <c r="V166" s="296" t="s">
        <v>187</v>
      </c>
      <c r="W166" s="296" t="s">
        <v>188</v>
      </c>
      <c r="X166" s="296" t="s">
        <v>256</v>
      </c>
      <c r="Y166" s="296" t="s">
        <v>183</v>
      </c>
      <c r="Z166" s="296" t="s">
        <v>183</v>
      </c>
      <c r="AA166" s="296" t="s">
        <v>183</v>
      </c>
      <c r="AB166" s="296" t="s">
        <v>183</v>
      </c>
      <c r="AC166" s="296" t="s">
        <v>1711</v>
      </c>
      <c r="AD166" s="296" t="s">
        <v>1712</v>
      </c>
      <c r="AE166" s="296" t="s">
        <v>192</v>
      </c>
      <c r="AF166" s="296" t="s">
        <v>193</v>
      </c>
      <c r="AG166" s="296">
        <v>0</v>
      </c>
      <c r="AH166" s="298">
        <v>43397</v>
      </c>
      <c r="AJ166" s="296" t="s">
        <v>194</v>
      </c>
      <c r="AK166" s="299">
        <f>COUNTIF($A$3:A$917,A166)</f>
        <v>2</v>
      </c>
    </row>
    <row r="167" spans="1:37" x14ac:dyDescent="0.25">
      <c r="A167" s="296">
        <v>502030156</v>
      </c>
      <c r="B167" s="296" t="s">
        <v>1713</v>
      </c>
      <c r="C167" s="296" t="s">
        <v>183</v>
      </c>
      <c r="D167" s="296" t="s">
        <v>183</v>
      </c>
      <c r="E167" s="296" t="s">
        <v>183</v>
      </c>
      <c r="F167" s="296" t="s">
        <v>1621</v>
      </c>
      <c r="G167" s="296" t="s">
        <v>1621</v>
      </c>
      <c r="H167" s="296" t="s">
        <v>1714</v>
      </c>
      <c r="I167" s="296" t="s">
        <v>1688</v>
      </c>
      <c r="J167" s="296" t="s">
        <v>1715</v>
      </c>
      <c r="K167" s="296" t="s">
        <v>1716</v>
      </c>
      <c r="L167" s="296" t="s">
        <v>1713</v>
      </c>
      <c r="M167" s="296" t="s">
        <v>179</v>
      </c>
      <c r="N167" s="296" t="s">
        <v>1621</v>
      </c>
      <c r="O167" s="296" t="s">
        <v>1621</v>
      </c>
      <c r="P167" s="296" t="s">
        <v>1714</v>
      </c>
      <c r="Q167" s="296" t="s">
        <v>183</v>
      </c>
      <c r="R167" s="296" t="s">
        <v>1717</v>
      </c>
      <c r="S167" s="296" t="s">
        <v>185</v>
      </c>
      <c r="T167" s="296" t="s">
        <v>185</v>
      </c>
      <c r="U167" s="296" t="s">
        <v>186</v>
      </c>
      <c r="V167" s="296" t="s">
        <v>187</v>
      </c>
      <c r="W167" s="296" t="s">
        <v>188</v>
      </c>
      <c r="X167" s="296" t="s">
        <v>256</v>
      </c>
      <c r="Y167" s="296" t="s">
        <v>183</v>
      </c>
      <c r="Z167" s="296" t="s">
        <v>183</v>
      </c>
      <c r="AA167" s="296" t="s">
        <v>183</v>
      </c>
      <c r="AB167" s="296" t="s">
        <v>183</v>
      </c>
      <c r="AC167" s="296" t="s">
        <v>1718</v>
      </c>
      <c r="AD167" s="296" t="s">
        <v>1719</v>
      </c>
      <c r="AE167" s="296" t="s">
        <v>192</v>
      </c>
      <c r="AF167" s="296" t="s">
        <v>193</v>
      </c>
      <c r="AG167" s="296">
        <v>18129.5</v>
      </c>
      <c r="AH167" s="298">
        <v>38043</v>
      </c>
      <c r="AJ167" s="296" t="s">
        <v>194</v>
      </c>
      <c r="AK167" s="299">
        <f>COUNTIF($A$3:A$917,A167)</f>
        <v>1</v>
      </c>
    </row>
    <row r="168" spans="1:37" x14ac:dyDescent="0.25">
      <c r="A168" s="296">
        <v>3101140324</v>
      </c>
      <c r="B168" s="296" t="s">
        <v>1720</v>
      </c>
      <c r="C168" s="296" t="s">
        <v>1721</v>
      </c>
      <c r="D168" s="296" t="s">
        <v>1722</v>
      </c>
      <c r="E168" s="296" t="s">
        <v>1723</v>
      </c>
      <c r="F168" s="296" t="s">
        <v>1724</v>
      </c>
      <c r="G168" s="296" t="s">
        <v>1725</v>
      </c>
      <c r="H168" s="296" t="s">
        <v>1726</v>
      </c>
      <c r="I168" s="296" t="s">
        <v>1688</v>
      </c>
      <c r="J168" s="296" t="s">
        <v>1727</v>
      </c>
      <c r="K168" s="296" t="s">
        <v>1728</v>
      </c>
      <c r="L168" s="296" t="s">
        <v>1720</v>
      </c>
      <c r="M168" s="296" t="s">
        <v>179</v>
      </c>
      <c r="N168" s="296" t="s">
        <v>1724</v>
      </c>
      <c r="O168" s="296" t="s">
        <v>1725</v>
      </c>
      <c r="P168" s="296" t="s">
        <v>1729</v>
      </c>
      <c r="Q168" s="296" t="s">
        <v>183</v>
      </c>
      <c r="R168" s="296" t="s">
        <v>1730</v>
      </c>
      <c r="S168" s="296" t="s">
        <v>185</v>
      </c>
      <c r="T168" s="296" t="s">
        <v>185</v>
      </c>
      <c r="U168" s="296" t="s">
        <v>186</v>
      </c>
      <c r="V168" s="296" t="s">
        <v>187</v>
      </c>
      <c r="W168" s="296" t="s">
        <v>188</v>
      </c>
      <c r="X168" s="296" t="s">
        <v>224</v>
      </c>
      <c r="Y168" s="296" t="s">
        <v>183</v>
      </c>
      <c r="Z168" s="296" t="s">
        <v>183</v>
      </c>
      <c r="AA168" s="296" t="s">
        <v>183</v>
      </c>
      <c r="AB168" s="296" t="s">
        <v>183</v>
      </c>
      <c r="AC168" s="296" t="s">
        <v>1731</v>
      </c>
      <c r="AD168" s="296" t="s">
        <v>1732</v>
      </c>
      <c r="AE168" s="296" t="s">
        <v>192</v>
      </c>
      <c r="AF168" s="296" t="s">
        <v>193</v>
      </c>
      <c r="AG168" s="296">
        <v>30094</v>
      </c>
      <c r="AH168" s="298">
        <v>36579</v>
      </c>
      <c r="AJ168" s="296" t="s">
        <v>194</v>
      </c>
      <c r="AK168" s="299">
        <f>COUNTIF($A$3:A$917,A168)</f>
        <v>2</v>
      </c>
    </row>
    <row r="169" spans="1:37" x14ac:dyDescent="0.25">
      <c r="A169" s="296">
        <v>3101230228</v>
      </c>
      <c r="B169" s="296" t="s">
        <v>1733</v>
      </c>
      <c r="C169" s="296" t="s">
        <v>183</v>
      </c>
      <c r="D169" s="296" t="s">
        <v>183</v>
      </c>
      <c r="E169" s="296" t="s">
        <v>183</v>
      </c>
      <c r="F169" s="296" t="s">
        <v>1734</v>
      </c>
      <c r="G169" s="296" t="s">
        <v>183</v>
      </c>
      <c r="H169" s="296" t="s">
        <v>1735</v>
      </c>
      <c r="I169" s="296" t="s">
        <v>1688</v>
      </c>
      <c r="J169" s="296" t="s">
        <v>1736</v>
      </c>
      <c r="K169" s="296" t="s">
        <v>1737</v>
      </c>
      <c r="L169" s="296" t="s">
        <v>1733</v>
      </c>
      <c r="M169" s="296" t="s">
        <v>179</v>
      </c>
      <c r="N169" s="296" t="s">
        <v>1734</v>
      </c>
      <c r="O169" s="296" t="s">
        <v>183</v>
      </c>
      <c r="P169" s="296" t="s">
        <v>1735</v>
      </c>
      <c r="Q169" s="296" t="s">
        <v>183</v>
      </c>
      <c r="R169" s="296" t="s">
        <v>1738</v>
      </c>
      <c r="S169" s="296" t="s">
        <v>185</v>
      </c>
      <c r="T169" s="296" t="s">
        <v>185</v>
      </c>
      <c r="U169" s="296" t="s">
        <v>186</v>
      </c>
      <c r="V169" s="296" t="s">
        <v>187</v>
      </c>
      <c r="W169" s="296" t="s">
        <v>188</v>
      </c>
      <c r="X169" s="296" t="s">
        <v>256</v>
      </c>
      <c r="Y169" s="296" t="s">
        <v>183</v>
      </c>
      <c r="Z169" s="296" t="s">
        <v>183</v>
      </c>
      <c r="AA169" s="296" t="s">
        <v>183</v>
      </c>
      <c r="AB169" s="296" t="s">
        <v>183</v>
      </c>
      <c r="AC169" s="296" t="s">
        <v>1739</v>
      </c>
      <c r="AD169" s="296" t="s">
        <v>1740</v>
      </c>
      <c r="AE169" s="296" t="s">
        <v>192</v>
      </c>
      <c r="AF169" s="296" t="s">
        <v>193</v>
      </c>
      <c r="AG169" s="296">
        <v>25657</v>
      </c>
      <c r="AH169" s="298">
        <v>43493</v>
      </c>
      <c r="AJ169" s="296" t="s">
        <v>194</v>
      </c>
      <c r="AK169" s="299">
        <f>COUNTIF($A$3:A$917,A169)</f>
        <v>1</v>
      </c>
    </row>
    <row r="170" spans="1:37" x14ac:dyDescent="0.25">
      <c r="A170" s="296">
        <v>103350885</v>
      </c>
      <c r="B170" s="296" t="s">
        <v>1741</v>
      </c>
      <c r="C170" s="296" t="s">
        <v>183</v>
      </c>
      <c r="D170" s="296" t="s">
        <v>183</v>
      </c>
      <c r="E170" s="296" t="s">
        <v>183</v>
      </c>
      <c r="F170" s="296" t="s">
        <v>1075</v>
      </c>
      <c r="G170" s="296" t="s">
        <v>1742</v>
      </c>
      <c r="H170" s="296" t="s">
        <v>1743</v>
      </c>
      <c r="I170" s="296" t="s">
        <v>1688</v>
      </c>
      <c r="J170" s="296" t="s">
        <v>1744</v>
      </c>
      <c r="K170" s="296" t="s">
        <v>1073</v>
      </c>
      <c r="L170" s="296" t="s">
        <v>1074</v>
      </c>
      <c r="M170" s="296" t="s">
        <v>179</v>
      </c>
      <c r="N170" s="296" t="s">
        <v>1075</v>
      </c>
      <c r="O170" s="296" t="s">
        <v>183</v>
      </c>
      <c r="P170" s="296" t="s">
        <v>1076</v>
      </c>
      <c r="Q170" s="296" t="s">
        <v>183</v>
      </c>
      <c r="R170" s="296" t="s">
        <v>1077</v>
      </c>
      <c r="S170" s="296" t="s">
        <v>1041</v>
      </c>
      <c r="T170" s="296" t="s">
        <v>185</v>
      </c>
      <c r="U170" s="296" t="s">
        <v>186</v>
      </c>
      <c r="V170" s="296" t="s">
        <v>187</v>
      </c>
      <c r="W170" s="296" t="s">
        <v>188</v>
      </c>
      <c r="X170" s="296" t="s">
        <v>308</v>
      </c>
      <c r="Y170" s="296" t="s">
        <v>183</v>
      </c>
      <c r="Z170" s="296" t="s">
        <v>183</v>
      </c>
      <c r="AA170" s="296" t="s">
        <v>183</v>
      </c>
      <c r="AB170" s="296" t="s">
        <v>183</v>
      </c>
      <c r="AC170" s="296" t="s">
        <v>1078</v>
      </c>
      <c r="AD170" s="296" t="s">
        <v>1745</v>
      </c>
      <c r="AE170" s="296" t="s">
        <v>192</v>
      </c>
      <c r="AF170" s="296" t="s">
        <v>193</v>
      </c>
      <c r="AG170" s="296">
        <v>0</v>
      </c>
      <c r="AH170" s="298">
        <v>44277</v>
      </c>
      <c r="AJ170" s="296" t="s">
        <v>194</v>
      </c>
      <c r="AK170" s="299">
        <f>COUNTIF($A$3:A$917,A170)</f>
        <v>1</v>
      </c>
    </row>
    <row r="171" spans="1:37" x14ac:dyDescent="0.25">
      <c r="A171" s="296">
        <v>3101202111</v>
      </c>
      <c r="B171" s="296" t="s">
        <v>1746</v>
      </c>
      <c r="C171" s="296" t="s">
        <v>183</v>
      </c>
      <c r="D171" s="296" t="s">
        <v>183</v>
      </c>
      <c r="E171" s="296" t="s">
        <v>183</v>
      </c>
      <c r="F171" s="296" t="s">
        <v>1747</v>
      </c>
      <c r="G171" s="296" t="s">
        <v>1748</v>
      </c>
      <c r="H171" s="296" t="s">
        <v>1749</v>
      </c>
      <c r="I171" s="296" t="s">
        <v>1688</v>
      </c>
      <c r="J171" s="296" t="s">
        <v>1750</v>
      </c>
      <c r="K171" s="296" t="s">
        <v>1751</v>
      </c>
      <c r="L171" s="296" t="s">
        <v>1746</v>
      </c>
      <c r="M171" s="296" t="s">
        <v>179</v>
      </c>
      <c r="N171" s="296" t="s">
        <v>1747</v>
      </c>
      <c r="O171" s="296" t="s">
        <v>1748</v>
      </c>
      <c r="P171" s="296" t="s">
        <v>1749</v>
      </c>
      <c r="Q171" s="296" t="s">
        <v>183</v>
      </c>
      <c r="R171" s="296" t="s">
        <v>1752</v>
      </c>
      <c r="S171" s="296" t="s">
        <v>185</v>
      </c>
      <c r="T171" s="296" t="s">
        <v>185</v>
      </c>
      <c r="U171" s="296" t="s">
        <v>186</v>
      </c>
      <c r="V171" s="296" t="s">
        <v>187</v>
      </c>
      <c r="W171" s="296" t="s">
        <v>188</v>
      </c>
      <c r="X171" s="296" t="s">
        <v>573</v>
      </c>
      <c r="Y171" s="296" t="s">
        <v>183</v>
      </c>
      <c r="Z171" s="296" t="s">
        <v>183</v>
      </c>
      <c r="AA171" s="296" t="s">
        <v>183</v>
      </c>
      <c r="AB171" s="296" t="s">
        <v>183</v>
      </c>
      <c r="AC171" s="296" t="s">
        <v>1753</v>
      </c>
      <c r="AD171" s="296" t="s">
        <v>1754</v>
      </c>
      <c r="AE171" s="296" t="s">
        <v>192</v>
      </c>
      <c r="AF171" s="296" t="s">
        <v>193</v>
      </c>
      <c r="AG171" s="296">
        <v>0</v>
      </c>
      <c r="AH171" s="298">
        <v>44342</v>
      </c>
      <c r="AJ171" s="296" t="s">
        <v>194</v>
      </c>
      <c r="AK171" s="299">
        <f>COUNTIF($A$3:A$917,A171)</f>
        <v>1</v>
      </c>
    </row>
    <row r="172" spans="1:37" x14ac:dyDescent="0.25">
      <c r="A172" s="296">
        <v>603040718</v>
      </c>
      <c r="B172" s="296" t="s">
        <v>1755</v>
      </c>
      <c r="C172" s="296" t="s">
        <v>183</v>
      </c>
      <c r="D172" s="296" t="s">
        <v>183</v>
      </c>
      <c r="E172" s="296" t="s">
        <v>183</v>
      </c>
      <c r="F172" s="296" t="s">
        <v>1756</v>
      </c>
      <c r="G172" s="296" t="s">
        <v>1756</v>
      </c>
      <c r="H172" s="296" t="s">
        <v>1757</v>
      </c>
      <c r="I172" s="296" t="s">
        <v>1688</v>
      </c>
      <c r="J172" s="296" t="s">
        <v>1758</v>
      </c>
      <c r="K172" s="296" t="s">
        <v>1759</v>
      </c>
      <c r="L172" s="296" t="s">
        <v>1760</v>
      </c>
      <c r="M172" s="296" t="s">
        <v>179</v>
      </c>
      <c r="N172" s="296" t="s">
        <v>1761</v>
      </c>
      <c r="O172" s="296" t="s">
        <v>1762</v>
      </c>
      <c r="P172" s="296" t="s">
        <v>1763</v>
      </c>
      <c r="Q172" s="296" t="s">
        <v>183</v>
      </c>
      <c r="R172" s="296" t="s">
        <v>1764</v>
      </c>
      <c r="S172" s="296" t="s">
        <v>1041</v>
      </c>
      <c r="T172" s="296" t="s">
        <v>185</v>
      </c>
      <c r="U172" s="296" t="s">
        <v>186</v>
      </c>
      <c r="V172" s="296" t="s">
        <v>187</v>
      </c>
      <c r="W172" s="296" t="s">
        <v>188</v>
      </c>
      <c r="X172" s="296" t="s">
        <v>246</v>
      </c>
      <c r="Y172" s="296" t="s">
        <v>183</v>
      </c>
      <c r="Z172" s="296" t="s">
        <v>183</v>
      </c>
      <c r="AA172" s="296" t="s">
        <v>183</v>
      </c>
      <c r="AB172" s="296" t="s">
        <v>183</v>
      </c>
      <c r="AC172" s="296" t="s">
        <v>1765</v>
      </c>
      <c r="AD172" s="296" t="s">
        <v>1766</v>
      </c>
      <c r="AE172" s="296" t="s">
        <v>192</v>
      </c>
      <c r="AF172" s="296" t="s">
        <v>193</v>
      </c>
      <c r="AG172" s="296">
        <v>21345.25</v>
      </c>
      <c r="AH172" s="298">
        <v>40815</v>
      </c>
      <c r="AJ172" s="296" t="s">
        <v>194</v>
      </c>
      <c r="AK172" s="299">
        <f>COUNTIF($A$3:A$917,A172)</f>
        <v>1</v>
      </c>
    </row>
    <row r="173" spans="1:37" x14ac:dyDescent="0.25">
      <c r="A173" s="296">
        <v>3101767951</v>
      </c>
      <c r="B173" s="296" t="s">
        <v>1767</v>
      </c>
      <c r="C173" s="296" t="s">
        <v>1768</v>
      </c>
      <c r="D173" s="296" t="s">
        <v>1769</v>
      </c>
      <c r="E173" s="296" t="s">
        <v>172</v>
      </c>
      <c r="F173" s="296" t="s">
        <v>1770</v>
      </c>
      <c r="G173" s="296" t="s">
        <v>1771</v>
      </c>
      <c r="H173" s="296" t="s">
        <v>1772</v>
      </c>
      <c r="I173" s="296" t="s">
        <v>1688</v>
      </c>
      <c r="J173" s="296" t="s">
        <v>1773</v>
      </c>
      <c r="K173" s="296" t="s">
        <v>1769</v>
      </c>
      <c r="L173" s="296" t="s">
        <v>1768</v>
      </c>
      <c r="M173" s="296" t="s">
        <v>179</v>
      </c>
      <c r="N173" s="296" t="s">
        <v>1770</v>
      </c>
      <c r="O173" s="296" t="s">
        <v>1771</v>
      </c>
      <c r="P173" s="296" t="s">
        <v>1772</v>
      </c>
      <c r="Q173" s="296" t="s">
        <v>183</v>
      </c>
      <c r="R173" s="296" t="s">
        <v>1774</v>
      </c>
      <c r="S173" s="296" t="s">
        <v>185</v>
      </c>
      <c r="T173" s="296" t="s">
        <v>185</v>
      </c>
      <c r="U173" s="296" t="s">
        <v>186</v>
      </c>
      <c r="V173" s="296" t="s">
        <v>187</v>
      </c>
      <c r="W173" s="296" t="s">
        <v>188</v>
      </c>
      <c r="X173" s="296" t="s">
        <v>189</v>
      </c>
      <c r="Y173" s="296" t="s">
        <v>183</v>
      </c>
      <c r="Z173" s="296" t="s">
        <v>183</v>
      </c>
      <c r="AA173" s="296" t="s">
        <v>183</v>
      </c>
      <c r="AB173" s="296" t="s">
        <v>183</v>
      </c>
      <c r="AC173" s="296" t="s">
        <v>1775</v>
      </c>
      <c r="AD173" s="296" t="s">
        <v>1776</v>
      </c>
      <c r="AE173" s="296" t="s">
        <v>192</v>
      </c>
      <c r="AF173" s="296" t="s">
        <v>193</v>
      </c>
      <c r="AG173" s="296">
        <v>24145</v>
      </c>
      <c r="AH173" s="298">
        <v>36616</v>
      </c>
      <c r="AJ173" s="296" t="s">
        <v>194</v>
      </c>
      <c r="AK173" s="299">
        <f>COUNTIF($A$3:A$917,A173)</f>
        <v>3</v>
      </c>
    </row>
    <row r="174" spans="1:37" x14ac:dyDescent="0.25">
      <c r="A174" s="296">
        <v>502460251</v>
      </c>
      <c r="B174" s="296" t="s">
        <v>1777</v>
      </c>
      <c r="C174" s="296" t="s">
        <v>183</v>
      </c>
      <c r="D174" s="296" t="s">
        <v>183</v>
      </c>
      <c r="E174" s="296" t="s">
        <v>183</v>
      </c>
      <c r="F174" s="296" t="s">
        <v>1580</v>
      </c>
      <c r="G174" s="296" t="s">
        <v>1580</v>
      </c>
      <c r="H174" s="296" t="s">
        <v>1778</v>
      </c>
      <c r="I174" s="296" t="s">
        <v>1688</v>
      </c>
      <c r="J174" s="296" t="s">
        <v>1779</v>
      </c>
      <c r="K174" s="296" t="s">
        <v>1780</v>
      </c>
      <c r="L174" s="296" t="s">
        <v>1777</v>
      </c>
      <c r="M174" s="296" t="s">
        <v>179</v>
      </c>
      <c r="N174" s="296" t="s">
        <v>1580</v>
      </c>
      <c r="O174" s="296" t="s">
        <v>1580</v>
      </c>
      <c r="P174" s="296" t="s">
        <v>1778</v>
      </c>
      <c r="Q174" s="296" t="s">
        <v>183</v>
      </c>
      <c r="R174" s="296" t="s">
        <v>1781</v>
      </c>
      <c r="S174" s="296" t="s">
        <v>185</v>
      </c>
      <c r="T174" s="296" t="s">
        <v>185</v>
      </c>
      <c r="U174" s="296" t="s">
        <v>186</v>
      </c>
      <c r="V174" s="296" t="s">
        <v>187</v>
      </c>
      <c r="W174" s="296" t="s">
        <v>188</v>
      </c>
      <c r="X174" s="296" t="s">
        <v>308</v>
      </c>
      <c r="Y174" s="296" t="s">
        <v>183</v>
      </c>
      <c r="Z174" s="296" t="s">
        <v>183</v>
      </c>
      <c r="AA174" s="296" t="s">
        <v>183</v>
      </c>
      <c r="AB174" s="296" t="s">
        <v>183</v>
      </c>
      <c r="AC174" s="296" t="s">
        <v>1782</v>
      </c>
      <c r="AD174" s="296" t="s">
        <v>1783</v>
      </c>
      <c r="AE174" s="296" t="s">
        <v>192</v>
      </c>
      <c r="AF174" s="296" t="s">
        <v>193</v>
      </c>
      <c r="AG174" s="296">
        <v>0</v>
      </c>
      <c r="AH174" s="298">
        <v>44469</v>
      </c>
      <c r="AJ174" s="296" t="s">
        <v>194</v>
      </c>
      <c r="AK174" s="299">
        <f>COUNTIF($A$3:A$917,A174)</f>
        <v>1</v>
      </c>
    </row>
    <row r="175" spans="1:37" x14ac:dyDescent="0.25">
      <c r="A175" s="296">
        <v>204370329</v>
      </c>
      <c r="B175" s="296" t="s">
        <v>769</v>
      </c>
      <c r="C175" s="296" t="s">
        <v>183</v>
      </c>
      <c r="D175" s="296" t="s">
        <v>183</v>
      </c>
      <c r="E175" s="296" t="s">
        <v>183</v>
      </c>
      <c r="F175" s="296" t="s">
        <v>770</v>
      </c>
      <c r="G175" s="296" t="s">
        <v>770</v>
      </c>
      <c r="H175" s="296" t="s">
        <v>771</v>
      </c>
      <c r="I175" s="296" t="s">
        <v>1688</v>
      </c>
      <c r="J175" s="296" t="s">
        <v>1784</v>
      </c>
      <c r="K175" s="296" t="s">
        <v>768</v>
      </c>
      <c r="L175" s="296" t="s">
        <v>769</v>
      </c>
      <c r="M175" s="296" t="s">
        <v>179</v>
      </c>
      <c r="N175" s="296" t="s">
        <v>770</v>
      </c>
      <c r="O175" s="296" t="s">
        <v>770</v>
      </c>
      <c r="P175" s="296" t="s">
        <v>771</v>
      </c>
      <c r="Q175" s="296" t="s">
        <v>183</v>
      </c>
      <c r="R175" s="296" t="s">
        <v>1785</v>
      </c>
      <c r="S175" s="296" t="s">
        <v>185</v>
      </c>
      <c r="T175" s="296" t="s">
        <v>185</v>
      </c>
      <c r="U175" s="296" t="s">
        <v>186</v>
      </c>
      <c r="V175" s="296" t="s">
        <v>187</v>
      </c>
      <c r="W175" s="296" t="s">
        <v>188</v>
      </c>
      <c r="X175" s="296" t="s">
        <v>256</v>
      </c>
      <c r="Y175" s="296" t="s">
        <v>183</v>
      </c>
      <c r="Z175" s="296" t="s">
        <v>183</v>
      </c>
      <c r="AA175" s="296" t="s">
        <v>183</v>
      </c>
      <c r="AB175" s="296" t="s">
        <v>183</v>
      </c>
      <c r="AC175" s="296" t="s">
        <v>1786</v>
      </c>
      <c r="AD175" s="296" t="s">
        <v>1787</v>
      </c>
      <c r="AE175" s="296" t="s">
        <v>192</v>
      </c>
      <c r="AF175" s="296" t="s">
        <v>193</v>
      </c>
      <c r="AG175" s="296">
        <v>23583</v>
      </c>
      <c r="AH175" s="298">
        <v>39770</v>
      </c>
      <c r="AJ175" s="296" t="s">
        <v>194</v>
      </c>
      <c r="AK175" s="299">
        <f>COUNTIF($A$3:A$917,A175)</f>
        <v>1</v>
      </c>
    </row>
    <row r="176" spans="1:37" x14ac:dyDescent="0.25">
      <c r="A176" s="296">
        <v>501640505</v>
      </c>
      <c r="B176" s="296" t="s">
        <v>1788</v>
      </c>
      <c r="C176" s="296" t="s">
        <v>183</v>
      </c>
      <c r="D176" s="296" t="s">
        <v>183</v>
      </c>
      <c r="E176" s="296" t="s">
        <v>183</v>
      </c>
      <c r="F176" s="296" t="s">
        <v>1789</v>
      </c>
      <c r="G176" s="296" t="s">
        <v>183</v>
      </c>
      <c r="H176" s="296" t="s">
        <v>1790</v>
      </c>
      <c r="I176" s="296" t="s">
        <v>1688</v>
      </c>
      <c r="J176" s="296" t="s">
        <v>1791</v>
      </c>
      <c r="K176" s="296" t="s">
        <v>1792</v>
      </c>
      <c r="L176" s="296" t="s">
        <v>1793</v>
      </c>
      <c r="M176" s="296" t="s">
        <v>179</v>
      </c>
      <c r="N176" s="296" t="s">
        <v>1789</v>
      </c>
      <c r="O176" s="296" t="s">
        <v>1794</v>
      </c>
      <c r="P176" s="296" t="s">
        <v>1795</v>
      </c>
      <c r="Q176" s="296" t="s">
        <v>183</v>
      </c>
      <c r="R176" s="296" t="s">
        <v>1796</v>
      </c>
      <c r="S176" s="296" t="s">
        <v>185</v>
      </c>
      <c r="T176" s="296" t="s">
        <v>185</v>
      </c>
      <c r="U176" s="296" t="s">
        <v>186</v>
      </c>
      <c r="V176" s="296" t="s">
        <v>187</v>
      </c>
      <c r="W176" s="296" t="s">
        <v>188</v>
      </c>
      <c r="X176" s="296" t="s">
        <v>189</v>
      </c>
      <c r="Y176" s="296" t="s">
        <v>183</v>
      </c>
      <c r="Z176" s="296" t="s">
        <v>183</v>
      </c>
      <c r="AA176" s="296" t="s">
        <v>183</v>
      </c>
      <c r="AB176" s="296" t="s">
        <v>183</v>
      </c>
      <c r="AC176" s="296" t="s">
        <v>1797</v>
      </c>
      <c r="AD176" s="296" t="s">
        <v>1798</v>
      </c>
      <c r="AE176" s="296" t="s">
        <v>192</v>
      </c>
      <c r="AF176" s="296" t="s">
        <v>193</v>
      </c>
      <c r="AG176" s="296">
        <v>0</v>
      </c>
      <c r="AH176" s="298">
        <v>45064</v>
      </c>
      <c r="AJ176" s="296" t="s">
        <v>194</v>
      </c>
      <c r="AK176" s="299">
        <f>COUNTIF($A$3:A$917,A176)</f>
        <v>1</v>
      </c>
    </row>
    <row r="177" spans="1:37" x14ac:dyDescent="0.25">
      <c r="A177" s="296">
        <v>3102699102</v>
      </c>
      <c r="B177" s="296" t="s">
        <v>1799</v>
      </c>
      <c r="C177" s="296" t="s">
        <v>1800</v>
      </c>
      <c r="D177" s="296" t="s">
        <v>1801</v>
      </c>
      <c r="E177" s="296" t="s">
        <v>1057</v>
      </c>
      <c r="F177" s="296" t="s">
        <v>1802</v>
      </c>
      <c r="G177" s="296" t="s">
        <v>1803</v>
      </c>
      <c r="H177" s="296" t="s">
        <v>1804</v>
      </c>
      <c r="I177" s="296" t="s">
        <v>1688</v>
      </c>
      <c r="J177" s="296" t="s">
        <v>1805</v>
      </c>
      <c r="K177" s="296" t="s">
        <v>1806</v>
      </c>
      <c r="L177" s="296" t="s">
        <v>1799</v>
      </c>
      <c r="M177" s="296" t="s">
        <v>179</v>
      </c>
      <c r="N177" s="296" t="s">
        <v>1802</v>
      </c>
      <c r="O177" s="296" t="s">
        <v>1803</v>
      </c>
      <c r="P177" s="296" t="s">
        <v>1804</v>
      </c>
      <c r="Q177" s="296" t="s">
        <v>183</v>
      </c>
      <c r="R177" s="296" t="s">
        <v>1807</v>
      </c>
      <c r="S177" s="296" t="s">
        <v>185</v>
      </c>
      <c r="T177" s="296" t="s">
        <v>185</v>
      </c>
      <c r="U177" s="296" t="s">
        <v>186</v>
      </c>
      <c r="V177" s="296" t="s">
        <v>187</v>
      </c>
      <c r="W177" s="296" t="s">
        <v>188</v>
      </c>
      <c r="X177" s="296" t="s">
        <v>256</v>
      </c>
      <c r="Y177" s="296" t="s">
        <v>183</v>
      </c>
      <c r="Z177" s="296" t="s">
        <v>183</v>
      </c>
      <c r="AA177" s="296" t="s">
        <v>183</v>
      </c>
      <c r="AB177" s="296" t="s">
        <v>183</v>
      </c>
      <c r="AC177" s="296" t="s">
        <v>1808</v>
      </c>
      <c r="AD177" s="296" t="s">
        <v>1809</v>
      </c>
      <c r="AE177" s="296" t="s">
        <v>192</v>
      </c>
      <c r="AF177" s="296" t="s">
        <v>193</v>
      </c>
      <c r="AG177" s="296">
        <v>0</v>
      </c>
      <c r="AH177" s="298">
        <v>45162</v>
      </c>
      <c r="AJ177" s="296" t="s">
        <v>194</v>
      </c>
      <c r="AK177" s="299">
        <f>COUNTIF($A$3:A$917,A177)</f>
        <v>3</v>
      </c>
    </row>
    <row r="178" spans="1:37" x14ac:dyDescent="0.25">
      <c r="A178" s="296">
        <v>112150326</v>
      </c>
      <c r="B178" s="296" t="s">
        <v>1810</v>
      </c>
      <c r="C178" s="296" t="s">
        <v>183</v>
      </c>
      <c r="D178" s="296" t="s">
        <v>183</v>
      </c>
      <c r="E178" s="296" t="s">
        <v>183</v>
      </c>
      <c r="F178" s="296" t="s">
        <v>1811</v>
      </c>
      <c r="G178" s="296" t="s">
        <v>1811</v>
      </c>
      <c r="H178" s="296" t="s">
        <v>1812</v>
      </c>
      <c r="I178" s="296" t="s">
        <v>1688</v>
      </c>
      <c r="J178" s="296" t="s">
        <v>1813</v>
      </c>
      <c r="K178" s="296" t="s">
        <v>1814</v>
      </c>
      <c r="L178" s="296" t="s">
        <v>1810</v>
      </c>
      <c r="M178" s="296" t="s">
        <v>179</v>
      </c>
      <c r="N178" s="296" t="s">
        <v>1811</v>
      </c>
      <c r="O178" s="296" t="s">
        <v>1811</v>
      </c>
      <c r="P178" s="296" t="s">
        <v>1812</v>
      </c>
      <c r="Q178" s="296" t="s">
        <v>183</v>
      </c>
      <c r="R178" s="296" t="s">
        <v>1815</v>
      </c>
      <c r="S178" s="296" t="s">
        <v>185</v>
      </c>
      <c r="T178" s="296" t="s">
        <v>185</v>
      </c>
      <c r="U178" s="296" t="s">
        <v>186</v>
      </c>
      <c r="V178" s="296" t="s">
        <v>187</v>
      </c>
      <c r="W178" s="296" t="s">
        <v>188</v>
      </c>
      <c r="X178" s="296" t="s">
        <v>256</v>
      </c>
      <c r="Y178" s="296" t="s">
        <v>183</v>
      </c>
      <c r="Z178" s="296" t="s">
        <v>183</v>
      </c>
      <c r="AA178" s="296" t="s">
        <v>183</v>
      </c>
      <c r="AB178" s="296" t="s">
        <v>183</v>
      </c>
      <c r="AC178" s="296" t="s">
        <v>1816</v>
      </c>
      <c r="AD178" s="296" t="s">
        <v>1817</v>
      </c>
      <c r="AE178" s="296" t="s">
        <v>192</v>
      </c>
      <c r="AF178" s="296" t="s">
        <v>193</v>
      </c>
      <c r="AG178" s="296">
        <v>0</v>
      </c>
      <c r="AH178" s="298">
        <v>45579</v>
      </c>
      <c r="AJ178" s="296" t="s">
        <v>194</v>
      </c>
      <c r="AK178" s="299">
        <f>COUNTIF($A$3:A$917,A178)</f>
        <v>1</v>
      </c>
    </row>
    <row r="179" spans="1:37" x14ac:dyDescent="0.25">
      <c r="A179" s="296">
        <v>3101142587</v>
      </c>
      <c r="B179" s="296" t="s">
        <v>1209</v>
      </c>
      <c r="C179" s="296" t="s">
        <v>183</v>
      </c>
      <c r="D179" s="296" t="s">
        <v>183</v>
      </c>
      <c r="E179" s="296" t="s">
        <v>183</v>
      </c>
      <c r="F179" s="296" t="s">
        <v>1210</v>
      </c>
      <c r="G179" s="296" t="s">
        <v>183</v>
      </c>
      <c r="H179" s="296" t="s">
        <v>1211</v>
      </c>
      <c r="I179" s="296" t="s">
        <v>1688</v>
      </c>
      <c r="J179" s="296" t="s">
        <v>1818</v>
      </c>
      <c r="K179" s="296" t="s">
        <v>1213</v>
      </c>
      <c r="L179" s="296" t="s">
        <v>1214</v>
      </c>
      <c r="M179" s="296" t="s">
        <v>179</v>
      </c>
      <c r="N179" s="296" t="s">
        <v>1210</v>
      </c>
      <c r="O179" s="296" t="s">
        <v>183</v>
      </c>
      <c r="P179" s="296" t="s">
        <v>1215</v>
      </c>
      <c r="Q179" s="296" t="s">
        <v>183</v>
      </c>
      <c r="R179" s="296" t="s">
        <v>1216</v>
      </c>
      <c r="S179" s="296" t="s">
        <v>185</v>
      </c>
      <c r="T179" s="296" t="s">
        <v>185</v>
      </c>
      <c r="U179" s="296" t="s">
        <v>186</v>
      </c>
      <c r="V179" s="296" t="s">
        <v>187</v>
      </c>
      <c r="W179" s="296" t="s">
        <v>188</v>
      </c>
      <c r="X179" s="296" t="s">
        <v>256</v>
      </c>
      <c r="Y179" s="296" t="s">
        <v>183</v>
      </c>
      <c r="Z179" s="296" t="s">
        <v>183</v>
      </c>
      <c r="AA179" s="296" t="s">
        <v>183</v>
      </c>
      <c r="AB179" s="296" t="s">
        <v>183</v>
      </c>
      <c r="AC179" s="296" t="s">
        <v>1217</v>
      </c>
      <c r="AD179" s="296" t="s">
        <v>1819</v>
      </c>
      <c r="AE179" s="296" t="s">
        <v>192</v>
      </c>
      <c r="AF179" s="296" t="s">
        <v>193</v>
      </c>
      <c r="AG179" s="296">
        <v>9852.25</v>
      </c>
      <c r="AH179" s="298">
        <v>36564</v>
      </c>
      <c r="AJ179" s="296" t="s">
        <v>194</v>
      </c>
      <c r="AK179" s="299">
        <f>COUNTIF($A$3:A$917,A179)</f>
        <v>4</v>
      </c>
    </row>
    <row r="180" spans="1:37" x14ac:dyDescent="0.25">
      <c r="A180" s="296">
        <v>3102774758</v>
      </c>
      <c r="B180" s="296" t="s">
        <v>1820</v>
      </c>
      <c r="C180" s="296" t="s">
        <v>1821</v>
      </c>
      <c r="D180" s="296" t="s">
        <v>1822</v>
      </c>
      <c r="E180" s="296" t="s">
        <v>1057</v>
      </c>
      <c r="F180" s="296" t="s">
        <v>1823</v>
      </c>
      <c r="G180" s="296" t="s">
        <v>278</v>
      </c>
      <c r="H180" s="296" t="s">
        <v>1824</v>
      </c>
      <c r="I180" s="296" t="s">
        <v>1688</v>
      </c>
      <c r="J180" s="296" t="s">
        <v>1825</v>
      </c>
      <c r="K180" s="296" t="s">
        <v>1826</v>
      </c>
      <c r="L180" s="296" t="s">
        <v>1820</v>
      </c>
      <c r="M180" s="296" t="s">
        <v>179</v>
      </c>
      <c r="N180" s="296" t="s">
        <v>1823</v>
      </c>
      <c r="O180" s="296" t="s">
        <v>1827</v>
      </c>
      <c r="P180" s="296" t="s">
        <v>1824</v>
      </c>
      <c r="Q180" s="296" t="s">
        <v>183</v>
      </c>
      <c r="R180" s="296" t="s">
        <v>1828</v>
      </c>
      <c r="S180" s="296" t="s">
        <v>185</v>
      </c>
      <c r="T180" s="296" t="s">
        <v>185</v>
      </c>
      <c r="U180" s="296" t="s">
        <v>186</v>
      </c>
      <c r="V180" s="296" t="s">
        <v>187</v>
      </c>
      <c r="W180" s="296" t="s">
        <v>188</v>
      </c>
      <c r="X180" s="296" t="s">
        <v>256</v>
      </c>
      <c r="Y180" s="296" t="s">
        <v>183</v>
      </c>
      <c r="Z180" s="296" t="s">
        <v>183</v>
      </c>
      <c r="AA180" s="296" t="s">
        <v>183</v>
      </c>
      <c r="AB180" s="296" t="s">
        <v>183</v>
      </c>
      <c r="AC180" s="296" t="s">
        <v>1829</v>
      </c>
      <c r="AD180" s="296" t="s">
        <v>1830</v>
      </c>
      <c r="AE180" s="296" t="s">
        <v>192</v>
      </c>
      <c r="AF180" s="296" t="s">
        <v>193</v>
      </c>
      <c r="AG180" s="296">
        <v>0</v>
      </c>
      <c r="AH180" s="298">
        <v>45432</v>
      </c>
      <c r="AJ180" s="296" t="s">
        <v>194</v>
      </c>
      <c r="AK180" s="299">
        <f>COUNTIF($A$3:A$917,A180)</f>
        <v>1</v>
      </c>
    </row>
    <row r="181" spans="1:37" x14ac:dyDescent="0.25">
      <c r="A181" s="296">
        <v>3101141078</v>
      </c>
      <c r="B181" s="296" t="s">
        <v>1831</v>
      </c>
      <c r="C181" s="296" t="s">
        <v>1832</v>
      </c>
      <c r="D181" s="296" t="s">
        <v>1833</v>
      </c>
      <c r="E181" s="296" t="s">
        <v>1057</v>
      </c>
      <c r="F181" s="296" t="s">
        <v>1834</v>
      </c>
      <c r="G181" s="296" t="s">
        <v>183</v>
      </c>
      <c r="H181" s="296" t="s">
        <v>1835</v>
      </c>
      <c r="I181" s="296" t="s">
        <v>1688</v>
      </c>
      <c r="J181" s="296" t="s">
        <v>1836</v>
      </c>
      <c r="K181" s="296" t="s">
        <v>1837</v>
      </c>
      <c r="L181" s="296" t="s">
        <v>1831</v>
      </c>
      <c r="M181" s="296" t="s">
        <v>179</v>
      </c>
      <c r="N181" s="296" t="s">
        <v>1834</v>
      </c>
      <c r="O181" s="296" t="s">
        <v>1838</v>
      </c>
      <c r="P181" s="296" t="s">
        <v>1835</v>
      </c>
      <c r="Q181" s="296" t="s">
        <v>183</v>
      </c>
      <c r="R181" s="296" t="s">
        <v>1839</v>
      </c>
      <c r="S181" s="296" t="s">
        <v>185</v>
      </c>
      <c r="T181" s="296" t="s">
        <v>185</v>
      </c>
      <c r="U181" s="296" t="s">
        <v>186</v>
      </c>
      <c r="V181" s="296" t="s">
        <v>187</v>
      </c>
      <c r="W181" s="296" t="s">
        <v>188</v>
      </c>
      <c r="X181" s="296" t="s">
        <v>256</v>
      </c>
      <c r="Y181" s="296" t="s">
        <v>183</v>
      </c>
      <c r="Z181" s="296" t="s">
        <v>183</v>
      </c>
      <c r="AA181" s="296" t="s">
        <v>183</v>
      </c>
      <c r="AB181" s="296" t="s">
        <v>183</v>
      </c>
      <c r="AC181" s="296" t="s">
        <v>1840</v>
      </c>
      <c r="AD181" s="296" t="s">
        <v>1841</v>
      </c>
      <c r="AE181" s="296" t="s">
        <v>192</v>
      </c>
      <c r="AF181" s="296" t="s">
        <v>193</v>
      </c>
      <c r="AG181" s="296">
        <v>29624</v>
      </c>
      <c r="AH181" s="298">
        <v>42464</v>
      </c>
      <c r="AJ181" s="296" t="s">
        <v>194</v>
      </c>
      <c r="AK181" s="299">
        <f>COUNTIF($A$3:A$917,A181)</f>
        <v>1</v>
      </c>
    </row>
    <row r="182" spans="1:37" x14ac:dyDescent="0.25">
      <c r="A182" s="296">
        <v>800990737</v>
      </c>
      <c r="B182" s="296" t="s">
        <v>1842</v>
      </c>
      <c r="C182" s="296" t="s">
        <v>183</v>
      </c>
      <c r="D182" s="296" t="s">
        <v>183</v>
      </c>
      <c r="E182" s="296" t="s">
        <v>183</v>
      </c>
      <c r="F182" s="296" t="s">
        <v>1843</v>
      </c>
      <c r="G182" s="296" t="s">
        <v>1843</v>
      </c>
      <c r="H182" s="296" t="s">
        <v>1844</v>
      </c>
      <c r="I182" s="296" t="s">
        <v>1845</v>
      </c>
      <c r="J182" s="296" t="s">
        <v>1846</v>
      </c>
      <c r="K182" s="296" t="s">
        <v>1423</v>
      </c>
      <c r="L182" s="296" t="s">
        <v>1424</v>
      </c>
      <c r="M182" s="296" t="s">
        <v>179</v>
      </c>
      <c r="N182" s="296" t="s">
        <v>1425</v>
      </c>
      <c r="O182" s="296" t="s">
        <v>1426</v>
      </c>
      <c r="P182" s="296" t="s">
        <v>1421</v>
      </c>
      <c r="Q182" s="296" t="s">
        <v>183</v>
      </c>
      <c r="R182" s="296" t="s">
        <v>1427</v>
      </c>
      <c r="S182" s="296" t="s">
        <v>185</v>
      </c>
      <c r="T182" s="296" t="s">
        <v>185</v>
      </c>
      <c r="U182" s="296" t="s">
        <v>186</v>
      </c>
      <c r="V182" s="296" t="s">
        <v>187</v>
      </c>
      <c r="W182" s="296" t="s">
        <v>188</v>
      </c>
      <c r="X182" s="296" t="s">
        <v>404</v>
      </c>
      <c r="Y182" s="296" t="s">
        <v>183</v>
      </c>
      <c r="Z182" s="296" t="s">
        <v>183</v>
      </c>
      <c r="AA182" s="296" t="s">
        <v>183</v>
      </c>
      <c r="AB182" s="296" t="s">
        <v>183</v>
      </c>
      <c r="AC182" s="296" t="s">
        <v>1428</v>
      </c>
      <c r="AD182" s="296" t="s">
        <v>1847</v>
      </c>
      <c r="AE182" s="296" t="s">
        <v>192</v>
      </c>
      <c r="AF182" s="296" t="s">
        <v>193</v>
      </c>
      <c r="AG182" s="296">
        <v>0</v>
      </c>
      <c r="AH182" s="298">
        <v>44879</v>
      </c>
      <c r="AJ182" s="296" t="s">
        <v>194</v>
      </c>
      <c r="AK182" s="299">
        <f>COUNTIF($A$3:A$917,A182)</f>
        <v>4</v>
      </c>
    </row>
    <row r="183" spans="1:37" x14ac:dyDescent="0.25">
      <c r="A183" s="296">
        <v>3102915091</v>
      </c>
      <c r="B183" s="296" t="s">
        <v>1848</v>
      </c>
      <c r="C183" s="296" t="s">
        <v>183</v>
      </c>
      <c r="D183" s="296" t="s">
        <v>183</v>
      </c>
      <c r="E183" s="296" t="s">
        <v>183</v>
      </c>
      <c r="F183" s="296" t="s">
        <v>1849</v>
      </c>
      <c r="G183" s="296" t="s">
        <v>1849</v>
      </c>
      <c r="H183" s="296" t="s">
        <v>1850</v>
      </c>
      <c r="I183" s="296" t="s">
        <v>1845</v>
      </c>
      <c r="J183" s="296" t="s">
        <v>1851</v>
      </c>
      <c r="K183" s="296" t="s">
        <v>1852</v>
      </c>
      <c r="L183" s="296" t="s">
        <v>1853</v>
      </c>
      <c r="M183" s="296" t="s">
        <v>179</v>
      </c>
      <c r="N183" s="296" t="s">
        <v>1854</v>
      </c>
      <c r="O183" s="296" t="s">
        <v>1855</v>
      </c>
      <c r="P183" s="296" t="s">
        <v>1856</v>
      </c>
      <c r="Q183" s="296" t="s">
        <v>183</v>
      </c>
      <c r="R183" s="296" t="s">
        <v>1857</v>
      </c>
      <c r="S183" s="296" t="s">
        <v>185</v>
      </c>
      <c r="T183" s="296" t="s">
        <v>185</v>
      </c>
      <c r="U183" s="296" t="s">
        <v>186</v>
      </c>
      <c r="V183" s="296" t="s">
        <v>187</v>
      </c>
      <c r="W183" s="296" t="s">
        <v>188</v>
      </c>
      <c r="X183" s="296" t="s">
        <v>189</v>
      </c>
      <c r="Y183" s="296" t="s">
        <v>183</v>
      </c>
      <c r="Z183" s="296" t="s">
        <v>183</v>
      </c>
      <c r="AA183" s="296" t="s">
        <v>183</v>
      </c>
      <c r="AB183" s="296" t="s">
        <v>183</v>
      </c>
      <c r="AC183" s="296" t="s">
        <v>1858</v>
      </c>
      <c r="AD183" s="296" t="s">
        <v>1859</v>
      </c>
      <c r="AE183" s="296" t="s">
        <v>192</v>
      </c>
      <c r="AF183" s="296" t="s">
        <v>193</v>
      </c>
      <c r="AG183" s="296">
        <v>0</v>
      </c>
      <c r="AH183" s="298">
        <v>45391</v>
      </c>
      <c r="AJ183" s="296" t="s">
        <v>194</v>
      </c>
      <c r="AK183" s="299">
        <f>COUNTIF($A$3:A$917,A183)</f>
        <v>1</v>
      </c>
    </row>
    <row r="184" spans="1:37" x14ac:dyDescent="0.25">
      <c r="A184" s="296">
        <v>117002948917</v>
      </c>
      <c r="B184" s="296" t="s">
        <v>1860</v>
      </c>
      <c r="C184" s="296" t="s">
        <v>183</v>
      </c>
      <c r="D184" s="296" t="s">
        <v>183</v>
      </c>
      <c r="E184" s="296" t="s">
        <v>183</v>
      </c>
      <c r="F184" s="296" t="s">
        <v>1861</v>
      </c>
      <c r="G184" s="296" t="s">
        <v>1862</v>
      </c>
      <c r="H184" s="296" t="s">
        <v>1863</v>
      </c>
      <c r="I184" s="296" t="s">
        <v>1845</v>
      </c>
      <c r="J184" s="296" t="s">
        <v>1864</v>
      </c>
      <c r="K184" s="296" t="s">
        <v>355</v>
      </c>
      <c r="L184" s="296" t="s">
        <v>356</v>
      </c>
      <c r="M184" s="296" t="s">
        <v>179</v>
      </c>
      <c r="N184" s="296" t="s">
        <v>278</v>
      </c>
      <c r="O184" s="296" t="s">
        <v>278</v>
      </c>
      <c r="P184" s="296" t="s">
        <v>183</v>
      </c>
      <c r="Q184" s="296" t="s">
        <v>183</v>
      </c>
      <c r="R184" s="296" t="s">
        <v>357</v>
      </c>
      <c r="S184" s="296" t="s">
        <v>185</v>
      </c>
      <c r="T184" s="296" t="s">
        <v>185</v>
      </c>
      <c r="U184" s="296" t="s">
        <v>186</v>
      </c>
      <c r="V184" s="296" t="s">
        <v>187</v>
      </c>
      <c r="W184" s="296" t="s">
        <v>188</v>
      </c>
      <c r="X184" s="296" t="s">
        <v>189</v>
      </c>
      <c r="Y184" s="296" t="s">
        <v>183</v>
      </c>
      <c r="Z184" s="296" t="s">
        <v>183</v>
      </c>
      <c r="AA184" s="296" t="s">
        <v>183</v>
      </c>
      <c r="AB184" s="296" t="s">
        <v>183</v>
      </c>
      <c r="AC184" s="296" t="s">
        <v>358</v>
      </c>
      <c r="AD184" s="296" t="s">
        <v>1865</v>
      </c>
      <c r="AE184" s="296" t="s">
        <v>192</v>
      </c>
      <c r="AF184" s="296" t="s">
        <v>193</v>
      </c>
      <c r="AG184" s="296">
        <v>0</v>
      </c>
      <c r="AH184" s="298">
        <v>45925</v>
      </c>
      <c r="AJ184" s="296" t="s">
        <v>194</v>
      </c>
      <c r="AK184" s="299">
        <f>COUNTIF($A$3:A$917,A184)</f>
        <v>1</v>
      </c>
    </row>
    <row r="185" spans="1:37" x14ac:dyDescent="0.25">
      <c r="A185" s="296">
        <v>504690797</v>
      </c>
      <c r="B185" s="296" t="s">
        <v>1866</v>
      </c>
      <c r="C185" s="296" t="s">
        <v>183</v>
      </c>
      <c r="D185" s="296" t="s">
        <v>183</v>
      </c>
      <c r="E185" s="296" t="s">
        <v>183</v>
      </c>
      <c r="F185" s="296" t="s">
        <v>1867</v>
      </c>
      <c r="G185" s="296" t="s">
        <v>1867</v>
      </c>
      <c r="H185" s="296" t="s">
        <v>1868</v>
      </c>
      <c r="I185" s="296" t="s">
        <v>1869</v>
      </c>
      <c r="J185" s="296" t="s">
        <v>1870</v>
      </c>
      <c r="K185" s="296" t="s">
        <v>1269</v>
      </c>
      <c r="L185" s="296" t="s">
        <v>1270</v>
      </c>
      <c r="M185" s="296" t="s">
        <v>179</v>
      </c>
      <c r="N185" s="296" t="s">
        <v>1271</v>
      </c>
      <c r="O185" s="296" t="s">
        <v>1272</v>
      </c>
      <c r="P185" s="296" t="s">
        <v>1273</v>
      </c>
      <c r="Q185" s="296" t="s">
        <v>183</v>
      </c>
      <c r="R185" s="296" t="s">
        <v>1871</v>
      </c>
      <c r="S185" s="296" t="s">
        <v>185</v>
      </c>
      <c r="T185" s="296" t="s">
        <v>185</v>
      </c>
      <c r="U185" s="296" t="s">
        <v>186</v>
      </c>
      <c r="V185" s="296" t="s">
        <v>187</v>
      </c>
      <c r="W185" s="296" t="s">
        <v>188</v>
      </c>
      <c r="X185" s="296" t="s">
        <v>189</v>
      </c>
      <c r="Y185" s="296" t="s">
        <v>183</v>
      </c>
      <c r="Z185" s="296" t="s">
        <v>183</v>
      </c>
      <c r="AA185" s="296" t="s">
        <v>183</v>
      </c>
      <c r="AB185" s="296" t="s">
        <v>183</v>
      </c>
      <c r="AC185" s="296" t="s">
        <v>1872</v>
      </c>
      <c r="AD185" s="296" t="s">
        <v>1873</v>
      </c>
      <c r="AE185" s="296" t="s">
        <v>192</v>
      </c>
      <c r="AF185" s="296" t="s">
        <v>193</v>
      </c>
      <c r="AG185" s="296">
        <v>0</v>
      </c>
      <c r="AH185" s="298">
        <v>45565</v>
      </c>
      <c r="AJ185" s="296" t="s">
        <v>194</v>
      </c>
      <c r="AK185" s="299">
        <f>COUNTIF($A$3:A$917,A185)</f>
        <v>3</v>
      </c>
    </row>
    <row r="186" spans="1:37" x14ac:dyDescent="0.25">
      <c r="A186" s="296">
        <v>502290442</v>
      </c>
      <c r="B186" s="296" t="s">
        <v>1874</v>
      </c>
      <c r="C186" s="296" t="s">
        <v>183</v>
      </c>
      <c r="D186" s="296" t="s">
        <v>183</v>
      </c>
      <c r="E186" s="296" t="s">
        <v>183</v>
      </c>
      <c r="F186" s="296" t="s">
        <v>1670</v>
      </c>
      <c r="G186" s="296" t="s">
        <v>1875</v>
      </c>
      <c r="H186" s="296" t="s">
        <v>1876</v>
      </c>
      <c r="I186" s="296" t="s">
        <v>1869</v>
      </c>
      <c r="J186" s="296" t="s">
        <v>1877</v>
      </c>
      <c r="K186" s="296" t="s">
        <v>1878</v>
      </c>
      <c r="L186" s="296" t="s">
        <v>1879</v>
      </c>
      <c r="M186" s="296" t="s">
        <v>179</v>
      </c>
      <c r="N186" s="296" t="s">
        <v>1670</v>
      </c>
      <c r="O186" s="296" t="s">
        <v>183</v>
      </c>
      <c r="P186" s="296" t="s">
        <v>1876</v>
      </c>
      <c r="Q186" s="296" t="s">
        <v>183</v>
      </c>
      <c r="R186" s="296" t="s">
        <v>1880</v>
      </c>
      <c r="S186" s="296" t="s">
        <v>185</v>
      </c>
      <c r="T186" s="296" t="s">
        <v>185</v>
      </c>
      <c r="U186" s="296" t="s">
        <v>186</v>
      </c>
      <c r="V186" s="296" t="s">
        <v>187</v>
      </c>
      <c r="W186" s="296" t="s">
        <v>188</v>
      </c>
      <c r="X186" s="296" t="s">
        <v>256</v>
      </c>
      <c r="Y186" s="296" t="s">
        <v>183</v>
      </c>
      <c r="Z186" s="296" t="s">
        <v>183</v>
      </c>
      <c r="AA186" s="296" t="s">
        <v>183</v>
      </c>
      <c r="AB186" s="296" t="s">
        <v>183</v>
      </c>
      <c r="AC186" s="296" t="s">
        <v>1881</v>
      </c>
      <c r="AD186" s="296" t="s">
        <v>1882</v>
      </c>
      <c r="AE186" s="296" t="s">
        <v>192</v>
      </c>
      <c r="AF186" s="296" t="s">
        <v>193</v>
      </c>
      <c r="AG186" s="296">
        <v>0</v>
      </c>
      <c r="AH186" s="298">
        <v>44867</v>
      </c>
      <c r="AJ186" s="296" t="s">
        <v>194</v>
      </c>
      <c r="AK186" s="299">
        <f>COUNTIF($A$3:A$917,A186)</f>
        <v>2</v>
      </c>
    </row>
    <row r="187" spans="1:37" x14ac:dyDescent="0.25">
      <c r="A187" s="296">
        <v>503000730</v>
      </c>
      <c r="B187" s="296" t="s">
        <v>1883</v>
      </c>
      <c r="C187" s="296" t="s">
        <v>183</v>
      </c>
      <c r="D187" s="296" t="s">
        <v>183</v>
      </c>
      <c r="E187" s="296" t="s">
        <v>183</v>
      </c>
      <c r="F187" s="296" t="s">
        <v>1884</v>
      </c>
      <c r="G187" s="296" t="s">
        <v>1884</v>
      </c>
      <c r="H187" s="296" t="s">
        <v>1885</v>
      </c>
      <c r="I187" s="296" t="s">
        <v>1869</v>
      </c>
      <c r="J187" s="296" t="s">
        <v>1886</v>
      </c>
      <c r="K187" s="296" t="s">
        <v>355</v>
      </c>
      <c r="L187" s="296" t="s">
        <v>356</v>
      </c>
      <c r="M187" s="296" t="s">
        <v>179</v>
      </c>
      <c r="N187" s="296" t="s">
        <v>278</v>
      </c>
      <c r="O187" s="296" t="s">
        <v>278</v>
      </c>
      <c r="P187" s="296" t="s">
        <v>183</v>
      </c>
      <c r="Q187" s="296" t="s">
        <v>183</v>
      </c>
      <c r="R187" s="296" t="s">
        <v>357</v>
      </c>
      <c r="S187" s="296" t="s">
        <v>185</v>
      </c>
      <c r="T187" s="296" t="s">
        <v>185</v>
      </c>
      <c r="U187" s="296" t="s">
        <v>186</v>
      </c>
      <c r="V187" s="296" t="s">
        <v>187</v>
      </c>
      <c r="W187" s="296" t="s">
        <v>188</v>
      </c>
      <c r="X187" s="296" t="s">
        <v>189</v>
      </c>
      <c r="Y187" s="296" t="s">
        <v>183</v>
      </c>
      <c r="Z187" s="296" t="s">
        <v>183</v>
      </c>
      <c r="AA187" s="296" t="s">
        <v>183</v>
      </c>
      <c r="AB187" s="296" t="s">
        <v>183</v>
      </c>
      <c r="AC187" s="296" t="s">
        <v>358</v>
      </c>
      <c r="AD187" s="296" t="s">
        <v>1887</v>
      </c>
      <c r="AE187" s="296" t="s">
        <v>192</v>
      </c>
      <c r="AF187" s="296" t="s">
        <v>193</v>
      </c>
      <c r="AG187" s="296">
        <v>0</v>
      </c>
      <c r="AH187" s="298">
        <v>45488</v>
      </c>
      <c r="AJ187" s="296" t="s">
        <v>194</v>
      </c>
      <c r="AK187" s="299">
        <f>COUNTIF($A$3:A$917,A187)</f>
        <v>2</v>
      </c>
    </row>
    <row r="188" spans="1:37" x14ac:dyDescent="0.25">
      <c r="A188" s="296">
        <v>503980436</v>
      </c>
      <c r="B188" s="296" t="s">
        <v>1888</v>
      </c>
      <c r="C188" s="296" t="s">
        <v>183</v>
      </c>
      <c r="D188" s="296" t="s">
        <v>183</v>
      </c>
      <c r="E188" s="296" t="s">
        <v>183</v>
      </c>
      <c r="F188" s="296" t="s">
        <v>1889</v>
      </c>
      <c r="G188" s="296" t="s">
        <v>183</v>
      </c>
      <c r="H188" s="296" t="s">
        <v>1890</v>
      </c>
      <c r="I188" s="296" t="s">
        <v>1869</v>
      </c>
      <c r="J188" s="296" t="s">
        <v>1891</v>
      </c>
      <c r="K188" s="296" t="s">
        <v>1892</v>
      </c>
      <c r="L188" s="296" t="s">
        <v>1893</v>
      </c>
      <c r="M188" s="296" t="s">
        <v>179</v>
      </c>
      <c r="N188" s="296" t="s">
        <v>1894</v>
      </c>
      <c r="O188" s="296" t="s">
        <v>183</v>
      </c>
      <c r="P188" s="296" t="s">
        <v>672</v>
      </c>
      <c r="Q188" s="296" t="s">
        <v>183</v>
      </c>
      <c r="R188" s="296" t="s">
        <v>1895</v>
      </c>
      <c r="S188" s="296" t="s">
        <v>185</v>
      </c>
      <c r="T188" s="296" t="s">
        <v>185</v>
      </c>
      <c r="U188" s="296" t="s">
        <v>186</v>
      </c>
      <c r="V188" s="296" t="s">
        <v>187</v>
      </c>
      <c r="W188" s="296" t="s">
        <v>188</v>
      </c>
      <c r="X188" s="296" t="s">
        <v>256</v>
      </c>
      <c r="Y188" s="296" t="s">
        <v>183</v>
      </c>
      <c r="Z188" s="296" t="s">
        <v>183</v>
      </c>
      <c r="AA188" s="296" t="s">
        <v>183</v>
      </c>
      <c r="AB188" s="296" t="s">
        <v>183</v>
      </c>
      <c r="AC188" s="296" t="s">
        <v>1896</v>
      </c>
      <c r="AD188" s="296" t="s">
        <v>1897</v>
      </c>
      <c r="AE188" s="296" t="s">
        <v>192</v>
      </c>
      <c r="AF188" s="296" t="s">
        <v>193</v>
      </c>
      <c r="AG188" s="296">
        <v>0</v>
      </c>
      <c r="AH188" s="298">
        <v>44980</v>
      </c>
      <c r="AJ188" s="296" t="s">
        <v>194</v>
      </c>
      <c r="AK188" s="299">
        <f>COUNTIF($A$3:A$917,A188)</f>
        <v>1</v>
      </c>
    </row>
    <row r="189" spans="1:37" x14ac:dyDescent="0.25">
      <c r="A189" s="296">
        <v>603250919</v>
      </c>
      <c r="B189" s="296" t="s">
        <v>936</v>
      </c>
      <c r="C189" s="296" t="s">
        <v>183</v>
      </c>
      <c r="D189" s="296" t="s">
        <v>183</v>
      </c>
      <c r="E189" s="296" t="s">
        <v>183</v>
      </c>
      <c r="F189" s="296" t="s">
        <v>937</v>
      </c>
      <c r="G189" s="296" t="s">
        <v>183</v>
      </c>
      <c r="H189" s="296" t="s">
        <v>938</v>
      </c>
      <c r="I189" s="296" t="s">
        <v>1869</v>
      </c>
      <c r="J189" s="296" t="s">
        <v>1898</v>
      </c>
      <c r="K189" s="296" t="s">
        <v>941</v>
      </c>
      <c r="L189" s="296" t="s">
        <v>936</v>
      </c>
      <c r="M189" s="296" t="s">
        <v>179</v>
      </c>
      <c r="N189" s="296" t="s">
        <v>937</v>
      </c>
      <c r="O189" s="296" t="s">
        <v>183</v>
      </c>
      <c r="P189" s="296" t="s">
        <v>938</v>
      </c>
      <c r="Q189" s="296" t="s">
        <v>183</v>
      </c>
      <c r="R189" s="296" t="s">
        <v>942</v>
      </c>
      <c r="S189" s="296" t="s">
        <v>185</v>
      </c>
      <c r="T189" s="296" t="s">
        <v>185</v>
      </c>
      <c r="U189" s="296" t="s">
        <v>186</v>
      </c>
      <c r="V189" s="296" t="s">
        <v>187</v>
      </c>
      <c r="W189" s="296" t="s">
        <v>188</v>
      </c>
      <c r="X189" s="296" t="s">
        <v>189</v>
      </c>
      <c r="Y189" s="296" t="s">
        <v>183</v>
      </c>
      <c r="Z189" s="296" t="s">
        <v>183</v>
      </c>
      <c r="AA189" s="296" t="s">
        <v>183</v>
      </c>
      <c r="AB189" s="296" t="s">
        <v>183</v>
      </c>
      <c r="AC189" s="296" t="s">
        <v>943</v>
      </c>
      <c r="AD189" s="296" t="s">
        <v>1899</v>
      </c>
      <c r="AE189" s="296" t="s">
        <v>192</v>
      </c>
      <c r="AF189" s="296" t="s">
        <v>193</v>
      </c>
      <c r="AG189" s="296">
        <v>0</v>
      </c>
      <c r="AH189" s="298">
        <v>45373</v>
      </c>
      <c r="AJ189" s="296" t="s">
        <v>194</v>
      </c>
      <c r="AK189" s="299">
        <f>COUNTIF($A$3:A$917,A189)</f>
        <v>2</v>
      </c>
    </row>
    <row r="190" spans="1:37" x14ac:dyDescent="0.25">
      <c r="A190" s="296">
        <v>503250119</v>
      </c>
      <c r="B190" s="296" t="s">
        <v>1900</v>
      </c>
      <c r="C190" s="296" t="s">
        <v>183</v>
      </c>
      <c r="D190" s="296" t="s">
        <v>183</v>
      </c>
      <c r="E190" s="296" t="s">
        <v>183</v>
      </c>
      <c r="F190" s="296" t="s">
        <v>1901</v>
      </c>
      <c r="G190" s="296" t="s">
        <v>183</v>
      </c>
      <c r="H190" s="296" t="s">
        <v>1902</v>
      </c>
      <c r="I190" s="296" t="s">
        <v>1869</v>
      </c>
      <c r="J190" s="296" t="s">
        <v>1903</v>
      </c>
      <c r="K190" s="296" t="s">
        <v>1904</v>
      </c>
      <c r="L190" s="296" t="s">
        <v>1900</v>
      </c>
      <c r="M190" s="296" t="s">
        <v>179</v>
      </c>
      <c r="N190" s="296" t="s">
        <v>1901</v>
      </c>
      <c r="O190" s="296" t="s">
        <v>183</v>
      </c>
      <c r="P190" s="296" t="s">
        <v>1902</v>
      </c>
      <c r="Q190" s="296" t="s">
        <v>183</v>
      </c>
      <c r="R190" s="296" t="s">
        <v>1905</v>
      </c>
      <c r="S190" s="296" t="s">
        <v>185</v>
      </c>
      <c r="T190" s="296" t="s">
        <v>185</v>
      </c>
      <c r="U190" s="296" t="s">
        <v>186</v>
      </c>
      <c r="V190" s="296" t="s">
        <v>187</v>
      </c>
      <c r="W190" s="296" t="s">
        <v>188</v>
      </c>
      <c r="X190" s="296" t="s">
        <v>189</v>
      </c>
      <c r="Y190" s="296" t="s">
        <v>183</v>
      </c>
      <c r="Z190" s="296" t="s">
        <v>183</v>
      </c>
      <c r="AA190" s="296" t="s">
        <v>183</v>
      </c>
      <c r="AB190" s="296" t="s">
        <v>183</v>
      </c>
      <c r="AC190" s="296" t="s">
        <v>1906</v>
      </c>
      <c r="AD190" s="296" t="s">
        <v>1907</v>
      </c>
      <c r="AE190" s="296" t="s">
        <v>192</v>
      </c>
      <c r="AF190" s="296" t="s">
        <v>193</v>
      </c>
      <c r="AG190" s="296">
        <v>0</v>
      </c>
      <c r="AH190" s="298">
        <v>44887</v>
      </c>
      <c r="AJ190" s="296" t="s">
        <v>194</v>
      </c>
      <c r="AK190" s="299">
        <f>COUNTIF($A$3:A$917,A190)</f>
        <v>1</v>
      </c>
    </row>
    <row r="191" spans="1:37" x14ac:dyDescent="0.25">
      <c r="A191" s="296">
        <v>503630071</v>
      </c>
      <c r="B191" s="296" t="s">
        <v>1908</v>
      </c>
      <c r="C191" s="296" t="s">
        <v>183</v>
      </c>
      <c r="D191" s="296" t="s">
        <v>183</v>
      </c>
      <c r="E191" s="296" t="s">
        <v>183</v>
      </c>
      <c r="F191" s="296" t="s">
        <v>1909</v>
      </c>
      <c r="G191" s="296" t="s">
        <v>183</v>
      </c>
      <c r="H191" s="296" t="s">
        <v>1910</v>
      </c>
      <c r="I191" s="296" t="s">
        <v>1869</v>
      </c>
      <c r="J191" s="296" t="s">
        <v>1911</v>
      </c>
      <c r="K191" s="296" t="s">
        <v>1912</v>
      </c>
      <c r="L191" s="296" t="s">
        <v>1913</v>
      </c>
      <c r="M191" s="296" t="s">
        <v>179</v>
      </c>
      <c r="N191" s="296" t="s">
        <v>1914</v>
      </c>
      <c r="O191" s="296" t="s">
        <v>1914</v>
      </c>
      <c r="P191" s="296" t="s">
        <v>1915</v>
      </c>
      <c r="Q191" s="296" t="s">
        <v>183</v>
      </c>
      <c r="R191" s="296" t="s">
        <v>1916</v>
      </c>
      <c r="S191" s="296" t="s">
        <v>185</v>
      </c>
      <c r="T191" s="296" t="s">
        <v>185</v>
      </c>
      <c r="U191" s="296" t="s">
        <v>186</v>
      </c>
      <c r="V191" s="296" t="s">
        <v>187</v>
      </c>
      <c r="W191" s="296" t="s">
        <v>188</v>
      </c>
      <c r="X191" s="296" t="s">
        <v>189</v>
      </c>
      <c r="Y191" s="296" t="s">
        <v>183</v>
      </c>
      <c r="Z191" s="296" t="s">
        <v>183</v>
      </c>
      <c r="AA191" s="296" t="s">
        <v>183</v>
      </c>
      <c r="AB191" s="296" t="s">
        <v>183</v>
      </c>
      <c r="AC191" s="296" t="s">
        <v>1917</v>
      </c>
      <c r="AD191" s="296" t="s">
        <v>1918</v>
      </c>
      <c r="AE191" s="296" t="s">
        <v>192</v>
      </c>
      <c r="AF191" s="296" t="s">
        <v>193</v>
      </c>
      <c r="AG191" s="296">
        <v>0</v>
      </c>
      <c r="AH191" s="298">
        <v>45581</v>
      </c>
      <c r="AJ191" s="296" t="s">
        <v>194</v>
      </c>
      <c r="AK191" s="299">
        <f>COUNTIF($A$3:A$917,A191)</f>
        <v>1</v>
      </c>
    </row>
    <row r="192" spans="1:37" x14ac:dyDescent="0.25">
      <c r="A192" s="296">
        <v>205330909</v>
      </c>
      <c r="B192" s="296" t="s">
        <v>1522</v>
      </c>
      <c r="C192" s="296" t="s">
        <v>183</v>
      </c>
      <c r="D192" s="296" t="s">
        <v>183</v>
      </c>
      <c r="E192" s="296" t="s">
        <v>183</v>
      </c>
      <c r="F192" s="296" t="s">
        <v>1523</v>
      </c>
      <c r="G192" s="296" t="s">
        <v>1523</v>
      </c>
      <c r="H192" s="296" t="s">
        <v>1524</v>
      </c>
      <c r="I192" s="296" t="s">
        <v>1869</v>
      </c>
      <c r="J192" s="296" t="s">
        <v>1525</v>
      </c>
      <c r="K192" s="296" t="s">
        <v>788</v>
      </c>
      <c r="L192" s="296" t="s">
        <v>789</v>
      </c>
      <c r="M192" s="296" t="s">
        <v>179</v>
      </c>
      <c r="N192" s="296" t="s">
        <v>790</v>
      </c>
      <c r="O192" s="296" t="s">
        <v>791</v>
      </c>
      <c r="P192" s="296" t="s">
        <v>792</v>
      </c>
      <c r="Q192" s="296" t="s">
        <v>183</v>
      </c>
      <c r="R192" s="296" t="s">
        <v>793</v>
      </c>
      <c r="S192" s="296" t="s">
        <v>185</v>
      </c>
      <c r="T192" s="296" t="s">
        <v>185</v>
      </c>
      <c r="U192" s="296" t="s">
        <v>186</v>
      </c>
      <c r="V192" s="296" t="s">
        <v>187</v>
      </c>
      <c r="W192" s="296" t="s">
        <v>188</v>
      </c>
      <c r="X192" s="296" t="s">
        <v>189</v>
      </c>
      <c r="Y192" s="296" t="s">
        <v>183</v>
      </c>
      <c r="Z192" s="296" t="s">
        <v>183</v>
      </c>
      <c r="AA192" s="296" t="s">
        <v>183</v>
      </c>
      <c r="AB192" s="296" t="s">
        <v>183</v>
      </c>
      <c r="AC192" s="296" t="s">
        <v>794</v>
      </c>
      <c r="AD192" s="296" t="s">
        <v>1919</v>
      </c>
      <c r="AE192" s="296" t="s">
        <v>192</v>
      </c>
      <c r="AF192" s="296" t="s">
        <v>193</v>
      </c>
      <c r="AG192" s="296">
        <v>0</v>
      </c>
      <c r="AH192" s="298">
        <v>45736</v>
      </c>
      <c r="AJ192" s="296" t="s">
        <v>194</v>
      </c>
      <c r="AK192" s="299">
        <f>COUNTIF($A$3:A$917,A192)</f>
        <v>2</v>
      </c>
    </row>
    <row r="193" spans="1:37" x14ac:dyDescent="0.25">
      <c r="A193" s="296">
        <v>3102912882</v>
      </c>
      <c r="B193" s="296" t="s">
        <v>1920</v>
      </c>
      <c r="C193" s="296" t="s">
        <v>1921</v>
      </c>
      <c r="D193" s="296" t="s">
        <v>1922</v>
      </c>
      <c r="E193" s="296" t="s">
        <v>172</v>
      </c>
      <c r="F193" s="296" t="s">
        <v>1923</v>
      </c>
      <c r="G193" s="296" t="s">
        <v>183</v>
      </c>
      <c r="H193" s="296" t="s">
        <v>1924</v>
      </c>
      <c r="I193" s="296" t="s">
        <v>1925</v>
      </c>
      <c r="J193" s="296" t="s">
        <v>1926</v>
      </c>
      <c r="K193" s="296" t="s">
        <v>1927</v>
      </c>
      <c r="L193" s="296" t="s">
        <v>1920</v>
      </c>
      <c r="M193" s="296" t="s">
        <v>179</v>
      </c>
      <c r="N193" s="296" t="s">
        <v>1923</v>
      </c>
      <c r="O193" s="296" t="s">
        <v>183</v>
      </c>
      <c r="P193" s="296" t="s">
        <v>1928</v>
      </c>
      <c r="Q193" s="296" t="s">
        <v>183</v>
      </c>
      <c r="R193" s="296" t="s">
        <v>1929</v>
      </c>
      <c r="S193" s="296" t="s">
        <v>185</v>
      </c>
      <c r="T193" s="296" t="s">
        <v>185</v>
      </c>
      <c r="U193" s="296" t="s">
        <v>186</v>
      </c>
      <c r="V193" s="296" t="s">
        <v>187</v>
      </c>
      <c r="W193" s="296" t="s">
        <v>188</v>
      </c>
      <c r="X193" s="296" t="s">
        <v>189</v>
      </c>
      <c r="Y193" s="296" t="s">
        <v>183</v>
      </c>
      <c r="Z193" s="296" t="s">
        <v>183</v>
      </c>
      <c r="AA193" s="296" t="s">
        <v>183</v>
      </c>
      <c r="AB193" s="296" t="s">
        <v>183</v>
      </c>
      <c r="AC193" s="296" t="s">
        <v>1930</v>
      </c>
      <c r="AD193" s="296" t="s">
        <v>1931</v>
      </c>
      <c r="AE193" s="296" t="s">
        <v>192</v>
      </c>
      <c r="AF193" s="296" t="s">
        <v>193</v>
      </c>
      <c r="AG193" s="296">
        <v>0</v>
      </c>
      <c r="AH193" s="298">
        <v>45618</v>
      </c>
      <c r="AJ193" s="296" t="s">
        <v>194</v>
      </c>
      <c r="AK193" s="299">
        <f>COUNTIF($A$3:A$917,A193)</f>
        <v>1</v>
      </c>
    </row>
    <row r="194" spans="1:37" x14ac:dyDescent="0.25">
      <c r="A194" s="296">
        <v>113140621</v>
      </c>
      <c r="B194" s="296" t="s">
        <v>1932</v>
      </c>
      <c r="C194" s="296" t="s">
        <v>183</v>
      </c>
      <c r="D194" s="296" t="s">
        <v>183</v>
      </c>
      <c r="E194" s="296" t="s">
        <v>183</v>
      </c>
      <c r="F194" s="296" t="s">
        <v>1933</v>
      </c>
      <c r="G194" s="296" t="s">
        <v>1934</v>
      </c>
      <c r="H194" s="296" t="s">
        <v>1935</v>
      </c>
      <c r="I194" s="296" t="s">
        <v>1925</v>
      </c>
      <c r="J194" s="296" t="s">
        <v>1936</v>
      </c>
      <c r="K194" s="296" t="s">
        <v>1937</v>
      </c>
      <c r="L194" s="296" t="s">
        <v>1932</v>
      </c>
      <c r="M194" s="296" t="s">
        <v>179</v>
      </c>
      <c r="N194" s="296" t="s">
        <v>1933</v>
      </c>
      <c r="O194" s="296" t="s">
        <v>1934</v>
      </c>
      <c r="P194" s="296" t="s">
        <v>1935</v>
      </c>
      <c r="Q194" s="296" t="s">
        <v>183</v>
      </c>
      <c r="R194" s="296" t="s">
        <v>1938</v>
      </c>
      <c r="S194" s="296" t="s">
        <v>185</v>
      </c>
      <c r="T194" s="296" t="s">
        <v>185</v>
      </c>
      <c r="U194" s="296" t="s">
        <v>186</v>
      </c>
      <c r="V194" s="296" t="s">
        <v>187</v>
      </c>
      <c r="W194" s="296" t="s">
        <v>188</v>
      </c>
      <c r="X194" s="296" t="s">
        <v>189</v>
      </c>
      <c r="Y194" s="296" t="s">
        <v>183</v>
      </c>
      <c r="Z194" s="296" t="s">
        <v>183</v>
      </c>
      <c r="AA194" s="296" t="s">
        <v>183</v>
      </c>
      <c r="AB194" s="296" t="s">
        <v>183</v>
      </c>
      <c r="AC194" s="296" t="s">
        <v>1939</v>
      </c>
      <c r="AD194" s="296" t="s">
        <v>1940</v>
      </c>
      <c r="AE194" s="296" t="s">
        <v>192</v>
      </c>
      <c r="AF194" s="296" t="s">
        <v>193</v>
      </c>
      <c r="AG194" s="296">
        <v>0</v>
      </c>
      <c r="AH194" s="298">
        <v>42774</v>
      </c>
      <c r="AJ194" s="296" t="s">
        <v>194</v>
      </c>
      <c r="AK194" s="299">
        <f>COUNTIF($A$3:A$917,A194)</f>
        <v>1</v>
      </c>
    </row>
    <row r="195" spans="1:37" x14ac:dyDescent="0.25">
      <c r="A195" s="296">
        <v>3101855877</v>
      </c>
      <c r="B195" s="296" t="s">
        <v>1941</v>
      </c>
      <c r="C195" s="296" t="s">
        <v>1913</v>
      </c>
      <c r="D195" s="296" t="s">
        <v>1912</v>
      </c>
      <c r="E195" s="296" t="s">
        <v>172</v>
      </c>
      <c r="F195" s="296" t="s">
        <v>1914</v>
      </c>
      <c r="G195" s="296" t="s">
        <v>1914</v>
      </c>
      <c r="H195" s="296" t="s">
        <v>1915</v>
      </c>
      <c r="I195" s="296" t="s">
        <v>1925</v>
      </c>
      <c r="J195" s="296" t="s">
        <v>1942</v>
      </c>
      <c r="K195" s="296" t="s">
        <v>1943</v>
      </c>
      <c r="L195" s="296" t="s">
        <v>1944</v>
      </c>
      <c r="M195" s="296" t="s">
        <v>179</v>
      </c>
      <c r="N195" s="296" t="s">
        <v>1586</v>
      </c>
      <c r="O195" s="296" t="s">
        <v>1945</v>
      </c>
      <c r="P195" s="296" t="s">
        <v>1946</v>
      </c>
      <c r="Q195" s="296" t="s">
        <v>183</v>
      </c>
      <c r="R195" s="296" t="s">
        <v>1947</v>
      </c>
      <c r="S195" s="296" t="s">
        <v>185</v>
      </c>
      <c r="T195" s="296" t="s">
        <v>185</v>
      </c>
      <c r="U195" s="296" t="s">
        <v>186</v>
      </c>
      <c r="V195" s="296" t="s">
        <v>187</v>
      </c>
      <c r="W195" s="296" t="s">
        <v>188</v>
      </c>
      <c r="X195" s="296" t="s">
        <v>189</v>
      </c>
      <c r="Y195" s="296" t="s">
        <v>183</v>
      </c>
      <c r="Z195" s="296" t="s">
        <v>183</v>
      </c>
      <c r="AA195" s="296" t="s">
        <v>183</v>
      </c>
      <c r="AB195" s="296" t="s">
        <v>183</v>
      </c>
      <c r="AC195" s="296" t="s">
        <v>1948</v>
      </c>
      <c r="AD195" s="296" t="s">
        <v>1949</v>
      </c>
      <c r="AE195" s="296" t="s">
        <v>192</v>
      </c>
      <c r="AF195" s="296" t="s">
        <v>193</v>
      </c>
      <c r="AG195" s="296">
        <v>0</v>
      </c>
      <c r="AH195" s="298">
        <v>45138</v>
      </c>
      <c r="AJ195" s="296" t="s">
        <v>194</v>
      </c>
      <c r="AK195" s="299">
        <f>COUNTIF($A$3:A$917,A195)</f>
        <v>2</v>
      </c>
    </row>
    <row r="196" spans="1:37" x14ac:dyDescent="0.25">
      <c r="A196" s="296">
        <v>204170069</v>
      </c>
      <c r="B196" s="296" t="s">
        <v>1950</v>
      </c>
      <c r="C196" s="296" t="s">
        <v>183</v>
      </c>
      <c r="D196" s="296" t="s">
        <v>183</v>
      </c>
      <c r="E196" s="296" t="s">
        <v>183</v>
      </c>
      <c r="F196" s="296" t="s">
        <v>1951</v>
      </c>
      <c r="G196" s="296" t="s">
        <v>183</v>
      </c>
      <c r="H196" s="296" t="s">
        <v>1952</v>
      </c>
      <c r="I196" s="296" t="s">
        <v>1925</v>
      </c>
      <c r="J196" s="296" t="s">
        <v>1953</v>
      </c>
      <c r="K196" s="296" t="s">
        <v>1954</v>
      </c>
      <c r="L196" s="296" t="s">
        <v>1955</v>
      </c>
      <c r="M196" s="296" t="s">
        <v>179</v>
      </c>
      <c r="N196" s="296" t="s">
        <v>1956</v>
      </c>
      <c r="O196" s="296" t="s">
        <v>183</v>
      </c>
      <c r="P196" s="296" t="s">
        <v>1957</v>
      </c>
      <c r="Q196" s="296" t="s">
        <v>183</v>
      </c>
      <c r="R196" s="296" t="s">
        <v>1958</v>
      </c>
      <c r="S196" s="296" t="s">
        <v>185</v>
      </c>
      <c r="T196" s="296" t="s">
        <v>185</v>
      </c>
      <c r="U196" s="296" t="s">
        <v>186</v>
      </c>
      <c r="V196" s="296" t="s">
        <v>187</v>
      </c>
      <c r="W196" s="296" t="s">
        <v>188</v>
      </c>
      <c r="X196" s="296" t="s">
        <v>256</v>
      </c>
      <c r="Y196" s="296" t="s">
        <v>183</v>
      </c>
      <c r="Z196" s="296" t="s">
        <v>183</v>
      </c>
      <c r="AA196" s="296" t="s">
        <v>183</v>
      </c>
      <c r="AB196" s="296" t="s">
        <v>183</v>
      </c>
      <c r="AC196" s="296" t="s">
        <v>1959</v>
      </c>
      <c r="AD196" s="296" t="s">
        <v>1960</v>
      </c>
      <c r="AE196" s="296" t="s">
        <v>192</v>
      </c>
      <c r="AF196" s="296" t="s">
        <v>193</v>
      </c>
      <c r="AG196" s="296">
        <v>0</v>
      </c>
      <c r="AH196" s="298">
        <v>45391</v>
      </c>
      <c r="AJ196" s="296" t="s">
        <v>194</v>
      </c>
      <c r="AK196" s="299">
        <f>COUNTIF($A$3:A$917,A196)</f>
        <v>1</v>
      </c>
    </row>
    <row r="197" spans="1:37" x14ac:dyDescent="0.25">
      <c r="A197" s="296">
        <v>502550560</v>
      </c>
      <c r="B197" s="296" t="s">
        <v>1961</v>
      </c>
      <c r="C197" s="296" t="s">
        <v>183</v>
      </c>
      <c r="D197" s="296" t="s">
        <v>183</v>
      </c>
      <c r="E197" s="296" t="s">
        <v>183</v>
      </c>
      <c r="F197" s="296" t="s">
        <v>1962</v>
      </c>
      <c r="G197" s="296" t="s">
        <v>1962</v>
      </c>
      <c r="H197" s="296" t="s">
        <v>1963</v>
      </c>
      <c r="I197" s="296" t="s">
        <v>1925</v>
      </c>
      <c r="J197" s="296" t="s">
        <v>1964</v>
      </c>
      <c r="K197" s="296" t="s">
        <v>1965</v>
      </c>
      <c r="L197" s="296" t="s">
        <v>1961</v>
      </c>
      <c r="M197" s="296" t="s">
        <v>179</v>
      </c>
      <c r="N197" s="296" t="s">
        <v>1962</v>
      </c>
      <c r="O197" s="296" t="s">
        <v>1962</v>
      </c>
      <c r="P197" s="296" t="s">
        <v>1963</v>
      </c>
      <c r="Q197" s="296" t="s">
        <v>183</v>
      </c>
      <c r="R197" s="296" t="s">
        <v>1966</v>
      </c>
      <c r="S197" s="296" t="s">
        <v>185</v>
      </c>
      <c r="T197" s="296" t="s">
        <v>185</v>
      </c>
      <c r="U197" s="296" t="s">
        <v>186</v>
      </c>
      <c r="V197" s="296" t="s">
        <v>187</v>
      </c>
      <c r="W197" s="296" t="s">
        <v>188</v>
      </c>
      <c r="X197" s="296" t="s">
        <v>189</v>
      </c>
      <c r="Y197" s="296" t="s">
        <v>183</v>
      </c>
      <c r="Z197" s="296" t="s">
        <v>183</v>
      </c>
      <c r="AA197" s="296" t="s">
        <v>183</v>
      </c>
      <c r="AB197" s="296" t="s">
        <v>183</v>
      </c>
      <c r="AC197" s="296" t="s">
        <v>1967</v>
      </c>
      <c r="AD197" s="296" t="s">
        <v>1968</v>
      </c>
      <c r="AE197" s="296" t="s">
        <v>192</v>
      </c>
      <c r="AF197" s="296" t="s">
        <v>193</v>
      </c>
      <c r="AG197" s="296">
        <v>36828.25</v>
      </c>
      <c r="AH197" s="298">
        <v>42387</v>
      </c>
      <c r="AJ197" s="296" t="s">
        <v>194</v>
      </c>
      <c r="AK197" s="299">
        <f>COUNTIF($A$3:A$917,A197)</f>
        <v>2</v>
      </c>
    </row>
    <row r="198" spans="1:37" x14ac:dyDescent="0.25">
      <c r="A198" s="296">
        <v>111730428</v>
      </c>
      <c r="B198" s="296" t="s">
        <v>1969</v>
      </c>
      <c r="C198" s="296" t="s">
        <v>183</v>
      </c>
      <c r="D198" s="296" t="s">
        <v>183</v>
      </c>
      <c r="E198" s="296" t="s">
        <v>183</v>
      </c>
      <c r="F198" s="296" t="s">
        <v>1970</v>
      </c>
      <c r="G198" s="296" t="s">
        <v>1970</v>
      </c>
      <c r="H198" s="296" t="s">
        <v>1971</v>
      </c>
      <c r="I198" s="296" t="s">
        <v>1925</v>
      </c>
      <c r="J198" s="296" t="s">
        <v>1972</v>
      </c>
      <c r="K198" s="296" t="s">
        <v>323</v>
      </c>
      <c r="L198" s="296" t="s">
        <v>324</v>
      </c>
      <c r="M198" s="296" t="s">
        <v>179</v>
      </c>
      <c r="N198" s="296" t="s">
        <v>325</v>
      </c>
      <c r="O198" s="296" t="s">
        <v>183</v>
      </c>
      <c r="P198" s="296" t="s">
        <v>326</v>
      </c>
      <c r="Q198" s="296" t="s">
        <v>183</v>
      </c>
      <c r="R198" s="296" t="s">
        <v>327</v>
      </c>
      <c r="S198" s="296" t="s">
        <v>185</v>
      </c>
      <c r="T198" s="296" t="s">
        <v>185</v>
      </c>
      <c r="U198" s="296" t="s">
        <v>186</v>
      </c>
      <c r="V198" s="296" t="s">
        <v>187</v>
      </c>
      <c r="W198" s="296" t="s">
        <v>188</v>
      </c>
      <c r="X198" s="296" t="s">
        <v>246</v>
      </c>
      <c r="Y198" s="296" t="s">
        <v>183</v>
      </c>
      <c r="Z198" s="296" t="s">
        <v>183</v>
      </c>
      <c r="AA198" s="296" t="s">
        <v>183</v>
      </c>
      <c r="AB198" s="296" t="s">
        <v>183</v>
      </c>
      <c r="AC198" s="296" t="s">
        <v>328</v>
      </c>
      <c r="AD198" s="296" t="s">
        <v>1973</v>
      </c>
      <c r="AE198" s="296" t="s">
        <v>192</v>
      </c>
      <c r="AF198" s="296" t="s">
        <v>193</v>
      </c>
      <c r="AG198" s="296">
        <v>0</v>
      </c>
      <c r="AH198" s="298">
        <v>44839</v>
      </c>
      <c r="AJ198" s="296" t="s">
        <v>194</v>
      </c>
      <c r="AK198" s="299">
        <f>COUNTIF($A$3:A$917,A198)</f>
        <v>1</v>
      </c>
    </row>
    <row r="199" spans="1:37" x14ac:dyDescent="0.25">
      <c r="A199" s="296">
        <v>504340926</v>
      </c>
      <c r="B199" s="296" t="s">
        <v>1974</v>
      </c>
      <c r="C199" s="296" t="s">
        <v>183</v>
      </c>
      <c r="D199" s="296" t="s">
        <v>183</v>
      </c>
      <c r="E199" s="296" t="s">
        <v>183</v>
      </c>
      <c r="F199" s="296" t="s">
        <v>1975</v>
      </c>
      <c r="G199" s="296" t="s">
        <v>183</v>
      </c>
      <c r="H199" s="296" t="s">
        <v>1976</v>
      </c>
      <c r="I199" s="296" t="s">
        <v>1925</v>
      </c>
      <c r="J199" s="296" t="s">
        <v>1977</v>
      </c>
      <c r="K199" s="296" t="s">
        <v>1978</v>
      </c>
      <c r="L199" s="296" t="s">
        <v>1979</v>
      </c>
      <c r="M199" s="296" t="s">
        <v>179</v>
      </c>
      <c r="N199" s="296" t="s">
        <v>1980</v>
      </c>
      <c r="O199" s="296" t="s">
        <v>1980</v>
      </c>
      <c r="P199" s="296" t="s">
        <v>1981</v>
      </c>
      <c r="Q199" s="296" t="s">
        <v>183</v>
      </c>
      <c r="R199" s="296" t="s">
        <v>1982</v>
      </c>
      <c r="S199" s="296" t="s">
        <v>185</v>
      </c>
      <c r="T199" s="296" t="s">
        <v>185</v>
      </c>
      <c r="U199" s="296" t="s">
        <v>186</v>
      </c>
      <c r="V199" s="296" t="s">
        <v>187</v>
      </c>
      <c r="W199" s="296" t="s">
        <v>188</v>
      </c>
      <c r="X199" s="296" t="s">
        <v>189</v>
      </c>
      <c r="Y199" s="296" t="s">
        <v>183</v>
      </c>
      <c r="Z199" s="296" t="s">
        <v>183</v>
      </c>
      <c r="AA199" s="296" t="s">
        <v>183</v>
      </c>
      <c r="AB199" s="296" t="s">
        <v>183</v>
      </c>
      <c r="AC199" s="296" t="s">
        <v>1983</v>
      </c>
      <c r="AD199" s="296" t="s">
        <v>1984</v>
      </c>
      <c r="AE199" s="296" t="s">
        <v>192</v>
      </c>
      <c r="AF199" s="296" t="s">
        <v>193</v>
      </c>
      <c r="AG199" s="296">
        <v>0</v>
      </c>
      <c r="AH199" s="298">
        <v>44649</v>
      </c>
      <c r="AJ199" s="296" t="s">
        <v>194</v>
      </c>
      <c r="AK199" s="299">
        <f>COUNTIF($A$3:A$917,A199)</f>
        <v>2</v>
      </c>
    </row>
    <row r="200" spans="1:37" x14ac:dyDescent="0.25">
      <c r="A200" s="296">
        <v>503040511</v>
      </c>
      <c r="B200" s="296" t="s">
        <v>1985</v>
      </c>
      <c r="C200" s="296" t="s">
        <v>183</v>
      </c>
      <c r="D200" s="296" t="s">
        <v>183</v>
      </c>
      <c r="E200" s="296" t="s">
        <v>183</v>
      </c>
      <c r="F200" s="296" t="s">
        <v>1986</v>
      </c>
      <c r="G200" s="296" t="s">
        <v>1986</v>
      </c>
      <c r="H200" s="296" t="s">
        <v>1987</v>
      </c>
      <c r="I200" s="296" t="s">
        <v>1925</v>
      </c>
      <c r="J200" s="296" t="s">
        <v>1988</v>
      </c>
      <c r="K200" s="296" t="s">
        <v>1989</v>
      </c>
      <c r="L200" s="296" t="s">
        <v>1985</v>
      </c>
      <c r="M200" s="296" t="s">
        <v>179</v>
      </c>
      <c r="N200" s="296" t="s">
        <v>1986</v>
      </c>
      <c r="O200" s="296" t="s">
        <v>1986</v>
      </c>
      <c r="P200" s="296" t="s">
        <v>1987</v>
      </c>
      <c r="Q200" s="296" t="s">
        <v>183</v>
      </c>
      <c r="R200" s="296" t="s">
        <v>1990</v>
      </c>
      <c r="S200" s="296" t="s">
        <v>185</v>
      </c>
      <c r="T200" s="296" t="s">
        <v>185</v>
      </c>
      <c r="U200" s="296" t="s">
        <v>186</v>
      </c>
      <c r="V200" s="296" t="s">
        <v>187</v>
      </c>
      <c r="W200" s="296" t="s">
        <v>188</v>
      </c>
      <c r="X200" s="296" t="s">
        <v>404</v>
      </c>
      <c r="Y200" s="296" t="s">
        <v>183</v>
      </c>
      <c r="Z200" s="296" t="s">
        <v>183</v>
      </c>
      <c r="AA200" s="296" t="s">
        <v>183</v>
      </c>
      <c r="AB200" s="296" t="s">
        <v>183</v>
      </c>
      <c r="AC200" s="296" t="s">
        <v>1991</v>
      </c>
      <c r="AD200" s="296" t="s">
        <v>1992</v>
      </c>
      <c r="AE200" s="296" t="s">
        <v>192</v>
      </c>
      <c r="AF200" s="296" t="s">
        <v>193</v>
      </c>
      <c r="AG200" s="296">
        <v>41794.5</v>
      </c>
      <c r="AH200" s="298">
        <v>42880</v>
      </c>
      <c r="AJ200" s="296" t="s">
        <v>194</v>
      </c>
      <c r="AK200" s="299">
        <f>COUNTIF($A$3:A$917,A200)</f>
        <v>1</v>
      </c>
    </row>
    <row r="201" spans="1:37" x14ac:dyDescent="0.25">
      <c r="A201" s="296">
        <v>205450429</v>
      </c>
      <c r="B201" s="296" t="s">
        <v>1993</v>
      </c>
      <c r="C201" s="296" t="s">
        <v>183</v>
      </c>
      <c r="D201" s="296" t="s">
        <v>183</v>
      </c>
      <c r="E201" s="296" t="s">
        <v>183</v>
      </c>
      <c r="F201" s="296" t="s">
        <v>1994</v>
      </c>
      <c r="G201" s="296" t="s">
        <v>1994</v>
      </c>
      <c r="H201" s="296" t="s">
        <v>1995</v>
      </c>
      <c r="I201" s="296" t="s">
        <v>1996</v>
      </c>
      <c r="J201" s="296" t="s">
        <v>1997</v>
      </c>
      <c r="K201" s="296" t="s">
        <v>1998</v>
      </c>
      <c r="L201" s="296" t="s">
        <v>1993</v>
      </c>
      <c r="M201" s="296" t="s">
        <v>179</v>
      </c>
      <c r="N201" s="296" t="s">
        <v>1994</v>
      </c>
      <c r="O201" s="296" t="s">
        <v>1994</v>
      </c>
      <c r="P201" s="296" t="s">
        <v>1995</v>
      </c>
      <c r="Q201" s="296" t="s">
        <v>183</v>
      </c>
      <c r="R201" s="296" t="s">
        <v>1999</v>
      </c>
      <c r="S201" s="296" t="s">
        <v>185</v>
      </c>
      <c r="T201" s="296" t="s">
        <v>185</v>
      </c>
      <c r="U201" s="296" t="s">
        <v>186</v>
      </c>
      <c r="V201" s="296" t="s">
        <v>187</v>
      </c>
      <c r="W201" s="296" t="s">
        <v>188</v>
      </c>
      <c r="X201" s="296" t="s">
        <v>224</v>
      </c>
      <c r="Y201" s="296" t="s">
        <v>183</v>
      </c>
      <c r="Z201" s="296" t="s">
        <v>183</v>
      </c>
      <c r="AA201" s="296" t="s">
        <v>183</v>
      </c>
      <c r="AB201" s="296" t="s">
        <v>183</v>
      </c>
      <c r="AC201" s="296" t="s">
        <v>2000</v>
      </c>
      <c r="AD201" s="296" t="s">
        <v>2001</v>
      </c>
      <c r="AE201" s="296" t="s">
        <v>192</v>
      </c>
      <c r="AF201" s="296" t="s">
        <v>193</v>
      </c>
      <c r="AG201" s="296">
        <v>0</v>
      </c>
      <c r="AH201" s="298">
        <v>45918</v>
      </c>
      <c r="AJ201" s="296" t="s">
        <v>194</v>
      </c>
      <c r="AK201" s="299">
        <f>COUNTIF($A$3:A$917,A201)</f>
        <v>1</v>
      </c>
    </row>
    <row r="202" spans="1:37" x14ac:dyDescent="0.25">
      <c r="A202" s="296">
        <v>3102898199</v>
      </c>
      <c r="B202" s="296" t="s">
        <v>430</v>
      </c>
      <c r="C202" s="296" t="s">
        <v>431</v>
      </c>
      <c r="D202" s="296" t="s">
        <v>432</v>
      </c>
      <c r="E202" s="296" t="s">
        <v>172</v>
      </c>
      <c r="F202" s="296" t="s">
        <v>433</v>
      </c>
      <c r="G202" s="296" t="s">
        <v>278</v>
      </c>
      <c r="H202" s="296" t="s">
        <v>434</v>
      </c>
      <c r="I202" s="296" t="s">
        <v>1996</v>
      </c>
      <c r="J202" s="296" t="s">
        <v>436</v>
      </c>
      <c r="K202" s="296" t="s">
        <v>2002</v>
      </c>
      <c r="L202" s="296" t="s">
        <v>430</v>
      </c>
      <c r="M202" s="296" t="s">
        <v>179</v>
      </c>
      <c r="N202" s="296" t="s">
        <v>433</v>
      </c>
      <c r="O202" s="296" t="s">
        <v>433</v>
      </c>
      <c r="P202" s="296" t="s">
        <v>2003</v>
      </c>
      <c r="Q202" s="296" t="s">
        <v>183</v>
      </c>
      <c r="R202" s="296" t="s">
        <v>2004</v>
      </c>
      <c r="S202" s="296" t="s">
        <v>185</v>
      </c>
      <c r="T202" s="296" t="s">
        <v>185</v>
      </c>
      <c r="U202" s="296" t="s">
        <v>186</v>
      </c>
      <c r="V202" s="296" t="s">
        <v>187</v>
      </c>
      <c r="W202" s="296" t="s">
        <v>188</v>
      </c>
      <c r="X202" s="296" t="s">
        <v>308</v>
      </c>
      <c r="Y202" s="296" t="s">
        <v>183</v>
      </c>
      <c r="Z202" s="296" t="s">
        <v>183</v>
      </c>
      <c r="AA202" s="296" t="s">
        <v>183</v>
      </c>
      <c r="AB202" s="296" t="s">
        <v>183</v>
      </c>
      <c r="AC202" s="296" t="s">
        <v>2005</v>
      </c>
      <c r="AD202" s="296" t="s">
        <v>2006</v>
      </c>
      <c r="AE202" s="296" t="s">
        <v>192</v>
      </c>
      <c r="AF202" s="296" t="s">
        <v>193</v>
      </c>
      <c r="AG202" s="296">
        <v>0</v>
      </c>
      <c r="AH202" s="298">
        <v>46036</v>
      </c>
      <c r="AJ202" s="296" t="s">
        <v>194</v>
      </c>
      <c r="AK202" s="299">
        <f>COUNTIF($A$3:A$917,A202)</f>
        <v>3</v>
      </c>
    </row>
    <row r="203" spans="1:37" x14ac:dyDescent="0.25">
      <c r="A203" s="296">
        <v>3101503497</v>
      </c>
      <c r="B203" s="296" t="s">
        <v>987</v>
      </c>
      <c r="C203" s="296" t="s">
        <v>1700</v>
      </c>
      <c r="D203" s="296" t="s">
        <v>1699</v>
      </c>
      <c r="E203" s="296" t="s">
        <v>172</v>
      </c>
      <c r="F203" s="296" t="s">
        <v>982</v>
      </c>
      <c r="G203" s="296" t="s">
        <v>988</v>
      </c>
      <c r="H203" s="296" t="s">
        <v>983</v>
      </c>
      <c r="I203" s="296" t="s">
        <v>2007</v>
      </c>
      <c r="J203" s="296" t="s">
        <v>2008</v>
      </c>
      <c r="K203" s="296" t="s">
        <v>986</v>
      </c>
      <c r="L203" s="296" t="s">
        <v>987</v>
      </c>
      <c r="M203" s="296" t="s">
        <v>179</v>
      </c>
      <c r="N203" s="296" t="s">
        <v>982</v>
      </c>
      <c r="O203" s="296" t="s">
        <v>988</v>
      </c>
      <c r="P203" s="296" t="s">
        <v>983</v>
      </c>
      <c r="Q203" s="296" t="s">
        <v>183</v>
      </c>
      <c r="R203" s="296" t="s">
        <v>2009</v>
      </c>
      <c r="S203" s="296" t="s">
        <v>185</v>
      </c>
      <c r="T203" s="296" t="s">
        <v>185</v>
      </c>
      <c r="U203" s="296" t="s">
        <v>186</v>
      </c>
      <c r="V203" s="296" t="s">
        <v>187</v>
      </c>
      <c r="W203" s="296" t="s">
        <v>188</v>
      </c>
      <c r="X203" s="296" t="s">
        <v>189</v>
      </c>
      <c r="Y203" s="296" t="s">
        <v>183</v>
      </c>
      <c r="Z203" s="296" t="s">
        <v>183</v>
      </c>
      <c r="AA203" s="296" t="s">
        <v>183</v>
      </c>
      <c r="AB203" s="296" t="s">
        <v>183</v>
      </c>
      <c r="AC203" s="296" t="s">
        <v>2010</v>
      </c>
      <c r="AD203" s="296" t="s">
        <v>2011</v>
      </c>
      <c r="AE203" s="296" t="s">
        <v>192</v>
      </c>
      <c r="AF203" s="296" t="s">
        <v>193</v>
      </c>
      <c r="AG203" s="296">
        <v>0</v>
      </c>
      <c r="AH203" s="298">
        <v>44694</v>
      </c>
      <c r="AJ203" s="296" t="s">
        <v>194</v>
      </c>
      <c r="AK203" s="299">
        <f>COUNTIF($A$3:A$917,A203)</f>
        <v>1</v>
      </c>
    </row>
    <row r="204" spans="1:37" x14ac:dyDescent="0.25">
      <c r="A204" s="296">
        <v>504240065</v>
      </c>
      <c r="B204" s="296" t="s">
        <v>2012</v>
      </c>
      <c r="C204" s="296" t="s">
        <v>183</v>
      </c>
      <c r="D204" s="296" t="s">
        <v>183</v>
      </c>
      <c r="E204" s="296" t="s">
        <v>183</v>
      </c>
      <c r="F204" s="296" t="s">
        <v>2013</v>
      </c>
      <c r="G204" s="296" t="s">
        <v>2013</v>
      </c>
      <c r="H204" s="296" t="s">
        <v>2014</v>
      </c>
      <c r="I204" s="296" t="s">
        <v>2015</v>
      </c>
      <c r="J204" s="296" t="s">
        <v>2016</v>
      </c>
      <c r="K204" s="296" t="s">
        <v>2017</v>
      </c>
      <c r="L204" s="296" t="s">
        <v>2018</v>
      </c>
      <c r="M204" s="296" t="s">
        <v>179</v>
      </c>
      <c r="N204" s="296" t="s">
        <v>278</v>
      </c>
      <c r="O204" s="296" t="s">
        <v>2019</v>
      </c>
      <c r="P204" s="296" t="s">
        <v>183</v>
      </c>
      <c r="Q204" s="296" t="s">
        <v>183</v>
      </c>
      <c r="R204" s="296" t="s">
        <v>2020</v>
      </c>
      <c r="S204" s="296" t="s">
        <v>185</v>
      </c>
      <c r="T204" s="296" t="s">
        <v>185</v>
      </c>
      <c r="U204" s="296" t="s">
        <v>186</v>
      </c>
      <c r="V204" s="296" t="s">
        <v>187</v>
      </c>
      <c r="W204" s="296" t="s">
        <v>188</v>
      </c>
      <c r="X204" s="296" t="s">
        <v>189</v>
      </c>
      <c r="Y204" s="296" t="s">
        <v>183</v>
      </c>
      <c r="Z204" s="296" t="s">
        <v>183</v>
      </c>
      <c r="AA204" s="296" t="s">
        <v>183</v>
      </c>
      <c r="AB204" s="296" t="s">
        <v>183</v>
      </c>
      <c r="AC204" s="296" t="s">
        <v>183</v>
      </c>
      <c r="AD204" s="296" t="s">
        <v>2021</v>
      </c>
      <c r="AE204" s="296" t="s">
        <v>192</v>
      </c>
      <c r="AF204" s="296" t="s">
        <v>193</v>
      </c>
      <c r="AG204" s="296">
        <v>0</v>
      </c>
      <c r="AH204" s="298">
        <v>43847</v>
      </c>
      <c r="AJ204" s="296" t="s">
        <v>194</v>
      </c>
      <c r="AK204" s="299">
        <f>COUNTIF($A$3:A$917,A204)</f>
        <v>1</v>
      </c>
    </row>
    <row r="205" spans="1:37" x14ac:dyDescent="0.25">
      <c r="A205" s="296">
        <v>3002051887</v>
      </c>
      <c r="B205" s="296" t="s">
        <v>2022</v>
      </c>
      <c r="C205" s="296" t="s">
        <v>2023</v>
      </c>
      <c r="D205" s="296" t="s">
        <v>2024</v>
      </c>
      <c r="E205" s="296" t="s">
        <v>172</v>
      </c>
      <c r="F205" s="296" t="s">
        <v>2025</v>
      </c>
      <c r="G205" s="296" t="s">
        <v>183</v>
      </c>
      <c r="H205" s="296" t="s">
        <v>2026</v>
      </c>
      <c r="I205" s="296" t="s">
        <v>2027</v>
      </c>
      <c r="J205" s="296" t="s">
        <v>2028</v>
      </c>
      <c r="K205" s="296" t="s">
        <v>2029</v>
      </c>
      <c r="L205" s="296" t="s">
        <v>2022</v>
      </c>
      <c r="M205" s="296" t="s">
        <v>179</v>
      </c>
      <c r="N205" s="296" t="s">
        <v>2025</v>
      </c>
      <c r="O205" s="296" t="s">
        <v>2030</v>
      </c>
      <c r="P205" s="296" t="s">
        <v>2031</v>
      </c>
      <c r="Q205" s="296" t="s">
        <v>183</v>
      </c>
      <c r="R205" s="296" t="s">
        <v>2032</v>
      </c>
      <c r="S205" s="296" t="s">
        <v>185</v>
      </c>
      <c r="T205" s="296" t="s">
        <v>185</v>
      </c>
      <c r="U205" s="296" t="s">
        <v>186</v>
      </c>
      <c r="V205" s="296" t="s">
        <v>187</v>
      </c>
      <c r="W205" s="296" t="s">
        <v>188</v>
      </c>
      <c r="X205" s="296" t="s">
        <v>224</v>
      </c>
      <c r="Y205" s="296" t="s">
        <v>183</v>
      </c>
      <c r="Z205" s="296" t="s">
        <v>183</v>
      </c>
      <c r="AA205" s="296" t="s">
        <v>183</v>
      </c>
      <c r="AB205" s="296" t="s">
        <v>183</v>
      </c>
      <c r="AC205" s="296" t="s">
        <v>2033</v>
      </c>
      <c r="AD205" s="296" t="s">
        <v>2034</v>
      </c>
      <c r="AE205" s="296" t="s">
        <v>192</v>
      </c>
      <c r="AF205" s="296" t="s">
        <v>193</v>
      </c>
      <c r="AG205" s="296">
        <v>54675</v>
      </c>
      <c r="AH205" s="298">
        <v>36808</v>
      </c>
      <c r="AJ205" s="296" t="s">
        <v>194</v>
      </c>
      <c r="AK205" s="299">
        <f>COUNTIF($A$3:A$917,A205)</f>
        <v>1</v>
      </c>
    </row>
    <row r="206" spans="1:37" x14ac:dyDescent="0.25">
      <c r="A206" s="296">
        <v>108060782</v>
      </c>
      <c r="B206" s="296" t="s">
        <v>2035</v>
      </c>
      <c r="C206" s="296" t="s">
        <v>183</v>
      </c>
      <c r="D206" s="296" t="s">
        <v>183</v>
      </c>
      <c r="E206" s="296" t="s">
        <v>183</v>
      </c>
      <c r="F206" s="296" t="s">
        <v>2036</v>
      </c>
      <c r="G206" s="296" t="s">
        <v>2037</v>
      </c>
      <c r="H206" s="296" t="s">
        <v>2038</v>
      </c>
      <c r="I206" s="296" t="s">
        <v>2027</v>
      </c>
      <c r="J206" s="296" t="s">
        <v>2039</v>
      </c>
      <c r="K206" s="296" t="s">
        <v>2040</v>
      </c>
      <c r="L206" s="296" t="s">
        <v>2035</v>
      </c>
      <c r="M206" s="296" t="s">
        <v>179</v>
      </c>
      <c r="N206" s="296" t="s">
        <v>2036</v>
      </c>
      <c r="O206" s="296" t="s">
        <v>2037</v>
      </c>
      <c r="P206" s="296" t="s">
        <v>2038</v>
      </c>
      <c r="Q206" s="296" t="s">
        <v>183</v>
      </c>
      <c r="R206" s="296" t="s">
        <v>2041</v>
      </c>
      <c r="S206" s="296" t="s">
        <v>185</v>
      </c>
      <c r="T206" s="296" t="s">
        <v>185</v>
      </c>
      <c r="U206" s="296" t="s">
        <v>186</v>
      </c>
      <c r="V206" s="296" t="s">
        <v>187</v>
      </c>
      <c r="W206" s="296" t="s">
        <v>188</v>
      </c>
      <c r="X206" s="296" t="s">
        <v>189</v>
      </c>
      <c r="Y206" s="296" t="s">
        <v>183</v>
      </c>
      <c r="Z206" s="296" t="s">
        <v>183</v>
      </c>
      <c r="AA206" s="296" t="s">
        <v>183</v>
      </c>
      <c r="AB206" s="296" t="s">
        <v>183</v>
      </c>
      <c r="AC206" s="296" t="s">
        <v>2042</v>
      </c>
      <c r="AD206" s="296" t="s">
        <v>2043</v>
      </c>
      <c r="AE206" s="296" t="s">
        <v>192</v>
      </c>
      <c r="AF206" s="296" t="s">
        <v>193</v>
      </c>
      <c r="AG206" s="296">
        <v>163568</v>
      </c>
      <c r="AH206" s="298">
        <v>40241</v>
      </c>
      <c r="AJ206" s="296" t="s">
        <v>194</v>
      </c>
      <c r="AK206" s="299">
        <f>COUNTIF($A$3:A$917,A206)</f>
        <v>1</v>
      </c>
    </row>
    <row r="207" spans="1:37" x14ac:dyDescent="0.25">
      <c r="A207" s="296">
        <v>3010045304</v>
      </c>
      <c r="B207" s="296" t="s">
        <v>2044</v>
      </c>
      <c r="C207" s="296" t="s">
        <v>183</v>
      </c>
      <c r="D207" s="296" t="s">
        <v>183</v>
      </c>
      <c r="E207" s="296" t="s">
        <v>183</v>
      </c>
      <c r="F207" s="296" t="s">
        <v>2045</v>
      </c>
      <c r="G207" s="296" t="s">
        <v>2046</v>
      </c>
      <c r="H207" s="296" t="s">
        <v>2047</v>
      </c>
      <c r="I207" s="296" t="s">
        <v>2027</v>
      </c>
      <c r="J207" s="296" t="s">
        <v>2048</v>
      </c>
      <c r="K207" s="296" t="s">
        <v>2049</v>
      </c>
      <c r="L207" s="296" t="s">
        <v>2044</v>
      </c>
      <c r="M207" s="296" t="s">
        <v>179</v>
      </c>
      <c r="N207" s="296" t="s">
        <v>2045</v>
      </c>
      <c r="O207" s="296" t="s">
        <v>2046</v>
      </c>
      <c r="P207" s="296" t="s">
        <v>2047</v>
      </c>
      <c r="Q207" s="296" t="s">
        <v>183</v>
      </c>
      <c r="R207" s="296" t="s">
        <v>2050</v>
      </c>
      <c r="S207" s="296" t="s">
        <v>185</v>
      </c>
      <c r="T207" s="296" t="s">
        <v>185</v>
      </c>
      <c r="U207" s="296" t="s">
        <v>186</v>
      </c>
      <c r="V207" s="296" t="s">
        <v>187</v>
      </c>
      <c r="W207" s="296" t="s">
        <v>188</v>
      </c>
      <c r="X207" s="296" t="s">
        <v>189</v>
      </c>
      <c r="Y207" s="296" t="s">
        <v>183</v>
      </c>
      <c r="Z207" s="296" t="s">
        <v>183</v>
      </c>
      <c r="AA207" s="296" t="s">
        <v>183</v>
      </c>
      <c r="AB207" s="296" t="s">
        <v>183</v>
      </c>
      <c r="AC207" s="296" t="s">
        <v>2051</v>
      </c>
      <c r="AD207" s="296" t="s">
        <v>2052</v>
      </c>
      <c r="AE207" s="296" t="s">
        <v>192</v>
      </c>
      <c r="AF207" s="296" t="s">
        <v>193</v>
      </c>
      <c r="AG207" s="296">
        <v>187445</v>
      </c>
      <c r="AH207" s="298">
        <v>38372</v>
      </c>
      <c r="AJ207" s="296" t="s">
        <v>194</v>
      </c>
      <c r="AK207" s="299">
        <f>COUNTIF($A$3:A$917,A207)</f>
        <v>1</v>
      </c>
    </row>
    <row r="208" spans="1:37" x14ac:dyDescent="0.25">
      <c r="A208" s="296">
        <v>3101886123</v>
      </c>
      <c r="B208" s="296" t="s">
        <v>2053</v>
      </c>
      <c r="C208" s="296" t="s">
        <v>2054</v>
      </c>
      <c r="D208" s="296" t="s">
        <v>2055</v>
      </c>
      <c r="E208" s="296" t="s">
        <v>172</v>
      </c>
      <c r="F208" s="296" t="s">
        <v>2056</v>
      </c>
      <c r="G208" s="296" t="s">
        <v>278</v>
      </c>
      <c r="H208" s="296" t="s">
        <v>2057</v>
      </c>
      <c r="I208" s="296" t="s">
        <v>2058</v>
      </c>
      <c r="J208" s="296" t="s">
        <v>2059</v>
      </c>
      <c r="K208" s="296" t="s">
        <v>2060</v>
      </c>
      <c r="L208" s="296" t="s">
        <v>2061</v>
      </c>
      <c r="M208" s="296" t="s">
        <v>179</v>
      </c>
      <c r="N208" s="296" t="s">
        <v>2062</v>
      </c>
      <c r="O208" s="296" t="s">
        <v>183</v>
      </c>
      <c r="P208" s="296" t="s">
        <v>2063</v>
      </c>
      <c r="Q208" s="296" t="s">
        <v>183</v>
      </c>
      <c r="R208" s="296" t="s">
        <v>2064</v>
      </c>
      <c r="S208" s="296" t="s">
        <v>185</v>
      </c>
      <c r="T208" s="296" t="s">
        <v>185</v>
      </c>
      <c r="U208" s="296" t="s">
        <v>186</v>
      </c>
      <c r="V208" s="296" t="s">
        <v>187</v>
      </c>
      <c r="W208" s="296" t="s">
        <v>188</v>
      </c>
      <c r="X208" s="296" t="s">
        <v>189</v>
      </c>
      <c r="Y208" s="296" t="s">
        <v>183</v>
      </c>
      <c r="Z208" s="296" t="s">
        <v>183</v>
      </c>
      <c r="AA208" s="296" t="s">
        <v>183</v>
      </c>
      <c r="AB208" s="296" t="s">
        <v>183</v>
      </c>
      <c r="AC208" s="296" t="s">
        <v>2065</v>
      </c>
      <c r="AD208" s="296" t="s">
        <v>2066</v>
      </c>
      <c r="AE208" s="296" t="s">
        <v>192</v>
      </c>
      <c r="AF208" s="296" t="s">
        <v>193</v>
      </c>
      <c r="AG208" s="296">
        <v>0</v>
      </c>
      <c r="AH208" s="298">
        <v>45323</v>
      </c>
      <c r="AJ208" s="296" t="s">
        <v>194</v>
      </c>
      <c r="AK208" s="299">
        <f>COUNTIF($A$3:A$917,A208)</f>
        <v>2</v>
      </c>
    </row>
    <row r="209" spans="1:37" x14ac:dyDescent="0.25">
      <c r="A209" s="296">
        <v>206210213</v>
      </c>
      <c r="B209" s="296" t="s">
        <v>2067</v>
      </c>
      <c r="C209" s="296" t="s">
        <v>183</v>
      </c>
      <c r="D209" s="296" t="s">
        <v>183</v>
      </c>
      <c r="E209" s="296" t="s">
        <v>183</v>
      </c>
      <c r="F209" s="296" t="s">
        <v>2068</v>
      </c>
      <c r="G209" s="296" t="s">
        <v>2068</v>
      </c>
      <c r="H209" s="296" t="s">
        <v>2069</v>
      </c>
      <c r="I209" s="296" t="s">
        <v>2070</v>
      </c>
      <c r="J209" s="296" t="s">
        <v>2071</v>
      </c>
      <c r="K209" s="296" t="s">
        <v>2072</v>
      </c>
      <c r="L209" s="296" t="s">
        <v>2073</v>
      </c>
      <c r="M209" s="296" t="s">
        <v>179</v>
      </c>
      <c r="N209" s="296" t="s">
        <v>2074</v>
      </c>
      <c r="O209" s="296" t="s">
        <v>2074</v>
      </c>
      <c r="P209" s="296" t="s">
        <v>2075</v>
      </c>
      <c r="Q209" s="296" t="s">
        <v>183</v>
      </c>
      <c r="R209" s="296" t="s">
        <v>2076</v>
      </c>
      <c r="S209" s="296" t="s">
        <v>185</v>
      </c>
      <c r="T209" s="296" t="s">
        <v>185</v>
      </c>
      <c r="U209" s="296" t="s">
        <v>186</v>
      </c>
      <c r="V209" s="296" t="s">
        <v>187</v>
      </c>
      <c r="W209" s="296" t="s">
        <v>188</v>
      </c>
      <c r="X209" s="296" t="s">
        <v>189</v>
      </c>
      <c r="Y209" s="296" t="s">
        <v>183</v>
      </c>
      <c r="Z209" s="296" t="s">
        <v>183</v>
      </c>
      <c r="AA209" s="296" t="s">
        <v>183</v>
      </c>
      <c r="AB209" s="296" t="s">
        <v>183</v>
      </c>
      <c r="AC209" s="296" t="s">
        <v>2077</v>
      </c>
      <c r="AD209" s="296" t="s">
        <v>2078</v>
      </c>
      <c r="AE209" s="296" t="s">
        <v>192</v>
      </c>
      <c r="AF209" s="296" t="s">
        <v>193</v>
      </c>
      <c r="AG209" s="296">
        <v>0</v>
      </c>
      <c r="AH209" s="298">
        <v>41486</v>
      </c>
      <c r="AJ209" s="296" t="s">
        <v>194</v>
      </c>
      <c r="AK209" s="299">
        <f>COUNTIF($A$3:A$917,A209)</f>
        <v>1</v>
      </c>
    </row>
    <row r="210" spans="1:37" x14ac:dyDescent="0.25">
      <c r="A210" s="296">
        <v>3101610198</v>
      </c>
      <c r="B210" s="296" t="s">
        <v>2079</v>
      </c>
      <c r="C210" s="296" t="s">
        <v>183</v>
      </c>
      <c r="D210" s="296" t="s">
        <v>183</v>
      </c>
      <c r="E210" s="296" t="s">
        <v>183</v>
      </c>
      <c r="F210" s="296" t="s">
        <v>2080</v>
      </c>
      <c r="G210" s="296" t="s">
        <v>183</v>
      </c>
      <c r="H210" s="296" t="s">
        <v>2081</v>
      </c>
      <c r="I210" s="296" t="s">
        <v>2082</v>
      </c>
      <c r="J210" s="296" t="s">
        <v>2083</v>
      </c>
      <c r="K210" s="296" t="s">
        <v>183</v>
      </c>
      <c r="L210" s="296" t="s">
        <v>183</v>
      </c>
      <c r="M210" s="296" t="s">
        <v>183</v>
      </c>
      <c r="N210" s="296" t="s">
        <v>2084</v>
      </c>
      <c r="O210" s="296" t="s">
        <v>183</v>
      </c>
      <c r="P210" s="296" t="s">
        <v>183</v>
      </c>
      <c r="Q210" s="296" t="s">
        <v>183</v>
      </c>
      <c r="R210" s="296" t="s">
        <v>183</v>
      </c>
      <c r="S210" s="296" t="s">
        <v>183</v>
      </c>
      <c r="T210" s="296" t="s">
        <v>183</v>
      </c>
      <c r="U210" s="296" t="s">
        <v>183</v>
      </c>
      <c r="V210" s="296" t="s">
        <v>183</v>
      </c>
      <c r="W210" s="296" t="s">
        <v>183</v>
      </c>
      <c r="X210" s="296" t="s">
        <v>183</v>
      </c>
      <c r="Y210" s="296" t="s">
        <v>183</v>
      </c>
      <c r="Z210" s="296" t="s">
        <v>183</v>
      </c>
      <c r="AA210" s="296" t="s">
        <v>183</v>
      </c>
      <c r="AB210" s="296" t="s">
        <v>183</v>
      </c>
      <c r="AC210" s="296" t="s">
        <v>183</v>
      </c>
      <c r="AD210" s="296" t="s">
        <v>2085</v>
      </c>
      <c r="AE210" s="296" t="s">
        <v>192</v>
      </c>
      <c r="AF210" s="296" t="s">
        <v>193</v>
      </c>
      <c r="AG210" s="296">
        <v>0</v>
      </c>
      <c r="AH210" s="298">
        <v>41221</v>
      </c>
      <c r="AJ210" s="296" t="s">
        <v>194</v>
      </c>
      <c r="AK210" s="299">
        <f>COUNTIF($A$3:A$917,A210)</f>
        <v>1</v>
      </c>
    </row>
    <row r="211" spans="1:37" x14ac:dyDescent="0.25">
      <c r="A211" s="296">
        <v>3101336262</v>
      </c>
      <c r="B211" s="296" t="s">
        <v>2086</v>
      </c>
      <c r="C211" s="296" t="s">
        <v>2087</v>
      </c>
      <c r="D211" s="296" t="s">
        <v>2088</v>
      </c>
      <c r="E211" s="296" t="s">
        <v>172</v>
      </c>
      <c r="F211" s="296" t="s">
        <v>2089</v>
      </c>
      <c r="G211" s="296" t="s">
        <v>278</v>
      </c>
      <c r="H211" s="296" t="s">
        <v>2090</v>
      </c>
      <c r="I211" s="296" t="s">
        <v>2082</v>
      </c>
      <c r="J211" s="296" t="s">
        <v>2091</v>
      </c>
      <c r="K211" s="296" t="s">
        <v>183</v>
      </c>
      <c r="L211" s="296" t="s">
        <v>183</v>
      </c>
      <c r="M211" s="296" t="s">
        <v>183</v>
      </c>
      <c r="N211" s="296" t="s">
        <v>1271</v>
      </c>
      <c r="O211" s="296" t="s">
        <v>183</v>
      </c>
      <c r="P211" s="296" t="s">
        <v>183</v>
      </c>
      <c r="Q211" s="296" t="s">
        <v>183</v>
      </c>
      <c r="R211" s="296" t="s">
        <v>183</v>
      </c>
      <c r="S211" s="296" t="s">
        <v>183</v>
      </c>
      <c r="T211" s="296" t="s">
        <v>183</v>
      </c>
      <c r="U211" s="296" t="s">
        <v>183</v>
      </c>
      <c r="V211" s="296" t="s">
        <v>183</v>
      </c>
      <c r="W211" s="296" t="s">
        <v>183</v>
      </c>
      <c r="X211" s="296" t="s">
        <v>183</v>
      </c>
      <c r="Y211" s="296" t="s">
        <v>183</v>
      </c>
      <c r="Z211" s="296" t="s">
        <v>183</v>
      </c>
      <c r="AA211" s="296" t="s">
        <v>183</v>
      </c>
      <c r="AB211" s="296" t="s">
        <v>183</v>
      </c>
      <c r="AC211" s="296" t="s">
        <v>183</v>
      </c>
      <c r="AD211" s="296" t="s">
        <v>2092</v>
      </c>
      <c r="AE211" s="296" t="s">
        <v>192</v>
      </c>
      <c r="AF211" s="296" t="s">
        <v>193</v>
      </c>
      <c r="AG211" s="296">
        <v>0</v>
      </c>
      <c r="AH211" s="298">
        <v>45565</v>
      </c>
      <c r="AJ211" s="296" t="s">
        <v>194</v>
      </c>
      <c r="AK211" s="299">
        <f>COUNTIF($A$3:A$917,A211)</f>
        <v>1</v>
      </c>
    </row>
    <row r="212" spans="1:37" x14ac:dyDescent="0.25">
      <c r="A212" s="296">
        <v>206710451</v>
      </c>
      <c r="B212" s="296" t="s">
        <v>2093</v>
      </c>
      <c r="C212" s="296" t="s">
        <v>183</v>
      </c>
      <c r="D212" s="296" t="s">
        <v>183</v>
      </c>
      <c r="E212" s="296" t="s">
        <v>183</v>
      </c>
      <c r="F212" s="296" t="s">
        <v>2094</v>
      </c>
      <c r="G212" s="296" t="s">
        <v>278</v>
      </c>
      <c r="H212" s="296" t="s">
        <v>2095</v>
      </c>
      <c r="I212" s="296" t="s">
        <v>2096</v>
      </c>
      <c r="J212" s="296" t="s">
        <v>2097</v>
      </c>
      <c r="K212" s="296" t="s">
        <v>2098</v>
      </c>
      <c r="L212" s="296" t="s">
        <v>2099</v>
      </c>
      <c r="M212" s="296" t="s">
        <v>179</v>
      </c>
      <c r="N212" s="296" t="s">
        <v>2100</v>
      </c>
      <c r="O212" s="296" t="s">
        <v>278</v>
      </c>
      <c r="P212" s="296" t="s">
        <v>2101</v>
      </c>
      <c r="Q212" s="296" t="s">
        <v>183</v>
      </c>
      <c r="R212" s="296" t="s">
        <v>2102</v>
      </c>
      <c r="S212" s="296" t="s">
        <v>185</v>
      </c>
      <c r="T212" s="296" t="s">
        <v>185</v>
      </c>
      <c r="U212" s="296" t="s">
        <v>186</v>
      </c>
      <c r="V212" s="296" t="s">
        <v>187</v>
      </c>
      <c r="W212" s="296" t="s">
        <v>188</v>
      </c>
      <c r="X212" s="296" t="s">
        <v>189</v>
      </c>
      <c r="Y212" s="296" t="s">
        <v>183</v>
      </c>
      <c r="Z212" s="296" t="s">
        <v>183</v>
      </c>
      <c r="AA212" s="296" t="s">
        <v>183</v>
      </c>
      <c r="AB212" s="296" t="s">
        <v>183</v>
      </c>
      <c r="AC212" s="296" t="s">
        <v>2103</v>
      </c>
      <c r="AD212" s="296" t="s">
        <v>2104</v>
      </c>
      <c r="AE212" s="296" t="s">
        <v>192</v>
      </c>
      <c r="AF212" s="296" t="s">
        <v>193</v>
      </c>
      <c r="AG212" s="296">
        <v>0</v>
      </c>
      <c r="AH212" s="298">
        <v>42653</v>
      </c>
      <c r="AJ212" s="296" t="s">
        <v>194</v>
      </c>
      <c r="AK212" s="299">
        <f>COUNTIF($A$3:A$917,A212)</f>
        <v>2</v>
      </c>
    </row>
    <row r="213" spans="1:37" x14ac:dyDescent="0.25">
      <c r="A213" s="296">
        <v>207610226</v>
      </c>
      <c r="B213" s="296" t="s">
        <v>2105</v>
      </c>
      <c r="C213" s="296" t="s">
        <v>183</v>
      </c>
      <c r="D213" s="296" t="s">
        <v>183</v>
      </c>
      <c r="E213" s="296" t="s">
        <v>183</v>
      </c>
      <c r="F213" s="296" t="s">
        <v>2106</v>
      </c>
      <c r="G213" s="296" t="s">
        <v>183</v>
      </c>
      <c r="H213" s="296" t="s">
        <v>2107</v>
      </c>
      <c r="I213" s="296" t="s">
        <v>2108</v>
      </c>
      <c r="J213" s="296" t="s">
        <v>2109</v>
      </c>
      <c r="K213" s="296" t="s">
        <v>2110</v>
      </c>
      <c r="L213" s="296" t="s">
        <v>2111</v>
      </c>
      <c r="M213" s="296" t="s">
        <v>179</v>
      </c>
      <c r="N213" s="296" t="s">
        <v>2112</v>
      </c>
      <c r="O213" s="296" t="s">
        <v>183</v>
      </c>
      <c r="P213" s="296" t="s">
        <v>2113</v>
      </c>
      <c r="Q213" s="296" t="s">
        <v>183</v>
      </c>
      <c r="R213" s="296" t="s">
        <v>2114</v>
      </c>
      <c r="S213" s="296" t="s">
        <v>185</v>
      </c>
      <c r="T213" s="296" t="s">
        <v>185</v>
      </c>
      <c r="U213" s="296" t="s">
        <v>186</v>
      </c>
      <c r="V213" s="296" t="s">
        <v>187</v>
      </c>
      <c r="W213" s="296" t="s">
        <v>188</v>
      </c>
      <c r="X213" s="296" t="s">
        <v>189</v>
      </c>
      <c r="Y213" s="296" t="s">
        <v>183</v>
      </c>
      <c r="Z213" s="296" t="s">
        <v>183</v>
      </c>
      <c r="AA213" s="296" t="s">
        <v>183</v>
      </c>
      <c r="AB213" s="296" t="s">
        <v>183</v>
      </c>
      <c r="AC213" s="296" t="s">
        <v>2115</v>
      </c>
      <c r="AD213" s="296" t="s">
        <v>2116</v>
      </c>
      <c r="AE213" s="296" t="s">
        <v>192</v>
      </c>
      <c r="AF213" s="296" t="s">
        <v>193</v>
      </c>
      <c r="AG213" s="296">
        <v>0</v>
      </c>
      <c r="AH213" s="298">
        <v>46000</v>
      </c>
      <c r="AJ213" s="296" t="s">
        <v>194</v>
      </c>
      <c r="AK213" s="299">
        <f>COUNTIF($A$3:A$917,A213)</f>
        <v>1</v>
      </c>
    </row>
    <row r="214" spans="1:37" x14ac:dyDescent="0.25">
      <c r="A214" s="296">
        <v>3102545592</v>
      </c>
      <c r="B214" s="296" t="s">
        <v>2117</v>
      </c>
      <c r="C214" s="296" t="s">
        <v>183</v>
      </c>
      <c r="D214" s="296" t="s">
        <v>183</v>
      </c>
      <c r="E214" s="296" t="s">
        <v>183</v>
      </c>
      <c r="F214" s="296" t="s">
        <v>2118</v>
      </c>
      <c r="G214" s="296" t="s">
        <v>183</v>
      </c>
      <c r="H214" s="296" t="s">
        <v>2119</v>
      </c>
      <c r="I214" s="296" t="s">
        <v>2120</v>
      </c>
      <c r="J214" s="296" t="s">
        <v>2121</v>
      </c>
      <c r="K214" s="296" t="s">
        <v>2122</v>
      </c>
      <c r="L214" s="296" t="s">
        <v>2123</v>
      </c>
      <c r="M214" s="296" t="s">
        <v>179</v>
      </c>
      <c r="N214" s="296" t="s">
        <v>2124</v>
      </c>
      <c r="O214" s="296" t="s">
        <v>2125</v>
      </c>
      <c r="P214" s="296" t="s">
        <v>2119</v>
      </c>
      <c r="Q214" s="296" t="s">
        <v>183</v>
      </c>
      <c r="R214" s="296" t="s">
        <v>2126</v>
      </c>
      <c r="S214" s="296" t="s">
        <v>185</v>
      </c>
      <c r="T214" s="296" t="s">
        <v>185</v>
      </c>
      <c r="U214" s="296" t="s">
        <v>186</v>
      </c>
      <c r="V214" s="296" t="s">
        <v>187</v>
      </c>
      <c r="W214" s="296" t="s">
        <v>188</v>
      </c>
      <c r="X214" s="296" t="s">
        <v>189</v>
      </c>
      <c r="Y214" s="296" t="s">
        <v>183</v>
      </c>
      <c r="Z214" s="296" t="s">
        <v>183</v>
      </c>
      <c r="AA214" s="296" t="s">
        <v>183</v>
      </c>
      <c r="AB214" s="296" t="s">
        <v>183</v>
      </c>
      <c r="AC214" s="296" t="s">
        <v>2127</v>
      </c>
      <c r="AD214" s="296" t="s">
        <v>2128</v>
      </c>
      <c r="AE214" s="296" t="s">
        <v>192</v>
      </c>
      <c r="AF214" s="296" t="s">
        <v>193</v>
      </c>
      <c r="AG214" s="296">
        <v>0</v>
      </c>
      <c r="AH214" s="298">
        <v>42593</v>
      </c>
      <c r="AJ214" s="296" t="s">
        <v>194</v>
      </c>
      <c r="AK214" s="299">
        <f>COUNTIF($A$3:A$917,A214)</f>
        <v>1</v>
      </c>
    </row>
    <row r="215" spans="1:37" x14ac:dyDescent="0.25">
      <c r="A215" s="296">
        <v>701740659</v>
      </c>
      <c r="B215" s="296" t="s">
        <v>2129</v>
      </c>
      <c r="C215" s="296" t="s">
        <v>183</v>
      </c>
      <c r="D215" s="296" t="s">
        <v>183</v>
      </c>
      <c r="E215" s="296" t="s">
        <v>183</v>
      </c>
      <c r="F215" s="296" t="s">
        <v>2130</v>
      </c>
      <c r="G215" s="296" t="s">
        <v>183</v>
      </c>
      <c r="H215" s="296" t="s">
        <v>2131</v>
      </c>
      <c r="I215" s="296" t="s">
        <v>2132</v>
      </c>
      <c r="J215" s="296" t="s">
        <v>2133</v>
      </c>
      <c r="K215" s="296" t="s">
        <v>2134</v>
      </c>
      <c r="L215" s="296" t="s">
        <v>2135</v>
      </c>
      <c r="M215" s="296" t="s">
        <v>179</v>
      </c>
      <c r="N215" s="296" t="s">
        <v>2136</v>
      </c>
      <c r="O215" s="296" t="s">
        <v>2136</v>
      </c>
      <c r="P215" s="296" t="s">
        <v>2137</v>
      </c>
      <c r="Q215" s="296" t="s">
        <v>183</v>
      </c>
      <c r="R215" s="296" t="s">
        <v>2138</v>
      </c>
      <c r="S215" s="296" t="s">
        <v>185</v>
      </c>
      <c r="T215" s="296" t="s">
        <v>185</v>
      </c>
      <c r="U215" s="296" t="s">
        <v>186</v>
      </c>
      <c r="V215" s="296" t="s">
        <v>187</v>
      </c>
      <c r="W215" s="296" t="s">
        <v>188</v>
      </c>
      <c r="X215" s="296" t="s">
        <v>189</v>
      </c>
      <c r="Y215" s="296" t="s">
        <v>183</v>
      </c>
      <c r="Z215" s="296" t="s">
        <v>183</v>
      </c>
      <c r="AA215" s="296" t="s">
        <v>183</v>
      </c>
      <c r="AB215" s="296" t="s">
        <v>183</v>
      </c>
      <c r="AC215" s="296" t="s">
        <v>2139</v>
      </c>
      <c r="AD215" s="296" t="s">
        <v>2140</v>
      </c>
      <c r="AE215" s="296" t="s">
        <v>192</v>
      </c>
      <c r="AF215" s="296" t="s">
        <v>193</v>
      </c>
      <c r="AG215" s="296">
        <v>0</v>
      </c>
      <c r="AH215" s="298">
        <v>45205</v>
      </c>
      <c r="AJ215" s="296" t="s">
        <v>194</v>
      </c>
      <c r="AK215" s="299">
        <f>COUNTIF($A$3:A$917,A215)</f>
        <v>3</v>
      </c>
    </row>
    <row r="216" spans="1:37" x14ac:dyDescent="0.25">
      <c r="A216" s="296">
        <v>701740659</v>
      </c>
      <c r="B216" s="296" t="s">
        <v>2129</v>
      </c>
      <c r="C216" s="296" t="s">
        <v>183</v>
      </c>
      <c r="D216" s="296" t="s">
        <v>183</v>
      </c>
      <c r="E216" s="296" t="s">
        <v>183</v>
      </c>
      <c r="F216" s="296" t="s">
        <v>2130</v>
      </c>
      <c r="G216" s="296" t="s">
        <v>183</v>
      </c>
      <c r="H216" s="296" t="s">
        <v>2131</v>
      </c>
      <c r="I216" s="296" t="s">
        <v>2132</v>
      </c>
      <c r="J216" s="296" t="s">
        <v>2133</v>
      </c>
      <c r="K216" s="296" t="s">
        <v>2134</v>
      </c>
      <c r="L216" s="296" t="s">
        <v>2135</v>
      </c>
      <c r="M216" s="296" t="s">
        <v>179</v>
      </c>
      <c r="N216" s="296" t="s">
        <v>2136</v>
      </c>
      <c r="O216" s="296" t="s">
        <v>2136</v>
      </c>
      <c r="P216" s="296" t="s">
        <v>2137</v>
      </c>
      <c r="Q216" s="296" t="s">
        <v>183</v>
      </c>
      <c r="R216" s="296" t="s">
        <v>2138</v>
      </c>
      <c r="S216" s="296" t="s">
        <v>185</v>
      </c>
      <c r="T216" s="296" t="s">
        <v>185</v>
      </c>
      <c r="U216" s="296" t="s">
        <v>186</v>
      </c>
      <c r="V216" s="296" t="s">
        <v>187</v>
      </c>
      <c r="W216" s="296" t="s">
        <v>188</v>
      </c>
      <c r="X216" s="296" t="s">
        <v>189</v>
      </c>
      <c r="Y216" s="296" t="s">
        <v>183</v>
      </c>
      <c r="Z216" s="296" t="s">
        <v>183</v>
      </c>
      <c r="AA216" s="296" t="s">
        <v>183</v>
      </c>
      <c r="AB216" s="296" t="s">
        <v>183</v>
      </c>
      <c r="AC216" s="296" t="s">
        <v>2139</v>
      </c>
      <c r="AD216" s="296" t="s">
        <v>2141</v>
      </c>
      <c r="AE216" s="296" t="s">
        <v>192</v>
      </c>
      <c r="AF216" s="296" t="s">
        <v>193</v>
      </c>
      <c r="AG216" s="296">
        <v>0</v>
      </c>
      <c r="AH216" s="298">
        <v>45205</v>
      </c>
      <c r="AJ216" s="296" t="s">
        <v>194</v>
      </c>
      <c r="AK216" s="299">
        <f>COUNTIF($A$3:A$917,A216)</f>
        <v>3</v>
      </c>
    </row>
    <row r="217" spans="1:37" x14ac:dyDescent="0.25">
      <c r="A217" s="296">
        <v>3101922879</v>
      </c>
      <c r="B217" s="296" t="s">
        <v>2142</v>
      </c>
      <c r="C217" s="296" t="s">
        <v>2129</v>
      </c>
      <c r="D217" s="296" t="s">
        <v>2143</v>
      </c>
      <c r="E217" s="296" t="s">
        <v>172</v>
      </c>
      <c r="F217" s="296" t="s">
        <v>2130</v>
      </c>
      <c r="G217" s="296" t="s">
        <v>183</v>
      </c>
      <c r="H217" s="296" t="s">
        <v>2131</v>
      </c>
      <c r="I217" s="296" t="s">
        <v>2132</v>
      </c>
      <c r="J217" s="296" t="s">
        <v>2144</v>
      </c>
      <c r="K217" s="296" t="s">
        <v>2134</v>
      </c>
      <c r="L217" s="296" t="s">
        <v>2135</v>
      </c>
      <c r="M217" s="296" t="s">
        <v>179</v>
      </c>
      <c r="N217" s="296" t="s">
        <v>2136</v>
      </c>
      <c r="O217" s="296" t="s">
        <v>2136</v>
      </c>
      <c r="P217" s="296" t="s">
        <v>2137</v>
      </c>
      <c r="Q217" s="296" t="s">
        <v>183</v>
      </c>
      <c r="R217" s="296" t="s">
        <v>2138</v>
      </c>
      <c r="S217" s="296" t="s">
        <v>185</v>
      </c>
      <c r="T217" s="296" t="s">
        <v>185</v>
      </c>
      <c r="U217" s="296" t="s">
        <v>186</v>
      </c>
      <c r="V217" s="296" t="s">
        <v>187</v>
      </c>
      <c r="W217" s="296" t="s">
        <v>188</v>
      </c>
      <c r="X217" s="296" t="s">
        <v>189</v>
      </c>
      <c r="Y217" s="296" t="s">
        <v>183</v>
      </c>
      <c r="Z217" s="296" t="s">
        <v>183</v>
      </c>
      <c r="AA217" s="296" t="s">
        <v>183</v>
      </c>
      <c r="AB217" s="296" t="s">
        <v>183</v>
      </c>
      <c r="AC217" s="296" t="s">
        <v>2139</v>
      </c>
      <c r="AD217" s="296" t="s">
        <v>2145</v>
      </c>
      <c r="AE217" s="296" t="s">
        <v>192</v>
      </c>
      <c r="AF217" s="296" t="s">
        <v>193</v>
      </c>
      <c r="AG217" s="296">
        <v>0</v>
      </c>
      <c r="AH217" s="298">
        <v>45757</v>
      </c>
      <c r="AJ217" s="296" t="s">
        <v>194</v>
      </c>
      <c r="AK217" s="299">
        <f>COUNTIF($A$3:A$917,A217)</f>
        <v>1</v>
      </c>
    </row>
    <row r="218" spans="1:37" x14ac:dyDescent="0.25">
      <c r="A218" s="296">
        <v>3102882124</v>
      </c>
      <c r="B218" s="296" t="s">
        <v>2146</v>
      </c>
      <c r="C218" s="296" t="s">
        <v>2147</v>
      </c>
      <c r="D218" s="296" t="s">
        <v>2148</v>
      </c>
      <c r="E218" s="296" t="s">
        <v>172</v>
      </c>
      <c r="F218" s="296" t="s">
        <v>2149</v>
      </c>
      <c r="G218" s="296" t="s">
        <v>278</v>
      </c>
      <c r="H218" s="296" t="s">
        <v>2150</v>
      </c>
      <c r="I218" s="296" t="s">
        <v>175</v>
      </c>
      <c r="J218" s="296" t="s">
        <v>2151</v>
      </c>
      <c r="K218" s="296" t="s">
        <v>1441</v>
      </c>
      <c r="L218" s="296" t="s">
        <v>1442</v>
      </c>
      <c r="M218" s="296" t="s">
        <v>179</v>
      </c>
      <c r="N218" s="296" t="s">
        <v>1443</v>
      </c>
      <c r="O218" s="296" t="s">
        <v>1444</v>
      </c>
      <c r="P218" s="296" t="s">
        <v>1445</v>
      </c>
      <c r="Q218" s="296" t="s">
        <v>183</v>
      </c>
      <c r="R218" s="296" t="s">
        <v>1446</v>
      </c>
      <c r="S218" s="296" t="s">
        <v>185</v>
      </c>
      <c r="T218" s="296" t="s">
        <v>185</v>
      </c>
      <c r="U218" s="296" t="s">
        <v>186</v>
      </c>
      <c r="V218" s="296" t="s">
        <v>187</v>
      </c>
      <c r="W218" s="296" t="s">
        <v>188</v>
      </c>
      <c r="X218" s="296" t="s">
        <v>256</v>
      </c>
      <c r="Y218" s="296" t="s">
        <v>183</v>
      </c>
      <c r="Z218" s="296" t="s">
        <v>183</v>
      </c>
      <c r="AA218" s="296" t="s">
        <v>183</v>
      </c>
      <c r="AB218" s="296" t="s">
        <v>183</v>
      </c>
      <c r="AC218" s="296" t="s">
        <v>1447</v>
      </c>
      <c r="AD218" s="296" t="s">
        <v>2152</v>
      </c>
      <c r="AE218" s="296" t="s">
        <v>192</v>
      </c>
      <c r="AF218" s="296" t="s">
        <v>193</v>
      </c>
      <c r="AG218" s="296">
        <v>0</v>
      </c>
      <c r="AH218" s="298">
        <v>45239</v>
      </c>
      <c r="AJ218" s="296" t="s">
        <v>194</v>
      </c>
      <c r="AK218" s="299">
        <f>COUNTIF($A$3:A$917,A218)</f>
        <v>2</v>
      </c>
    </row>
    <row r="219" spans="1:37" x14ac:dyDescent="0.25">
      <c r="A219" s="296">
        <v>3102882124</v>
      </c>
      <c r="B219" s="296" t="s">
        <v>2146</v>
      </c>
      <c r="C219" s="296" t="s">
        <v>2147</v>
      </c>
      <c r="D219" s="296" t="s">
        <v>2148</v>
      </c>
      <c r="E219" s="296" t="s">
        <v>172</v>
      </c>
      <c r="F219" s="296" t="s">
        <v>2149</v>
      </c>
      <c r="G219" s="296" t="s">
        <v>278</v>
      </c>
      <c r="H219" s="296" t="s">
        <v>2150</v>
      </c>
      <c r="I219" s="296" t="s">
        <v>175</v>
      </c>
      <c r="J219" s="296" t="s">
        <v>2153</v>
      </c>
      <c r="K219" s="296" t="s">
        <v>2060</v>
      </c>
      <c r="L219" s="296" t="s">
        <v>2061</v>
      </c>
      <c r="M219" s="296" t="s">
        <v>179</v>
      </c>
      <c r="N219" s="296" t="s">
        <v>2062</v>
      </c>
      <c r="O219" s="296" t="s">
        <v>183</v>
      </c>
      <c r="P219" s="296" t="s">
        <v>2063</v>
      </c>
      <c r="Q219" s="296" t="s">
        <v>183</v>
      </c>
      <c r="R219" s="296" t="s">
        <v>2064</v>
      </c>
      <c r="S219" s="296" t="s">
        <v>185</v>
      </c>
      <c r="T219" s="296" t="s">
        <v>185</v>
      </c>
      <c r="U219" s="296" t="s">
        <v>186</v>
      </c>
      <c r="V219" s="296" t="s">
        <v>187</v>
      </c>
      <c r="W219" s="296" t="s">
        <v>188</v>
      </c>
      <c r="X219" s="296" t="s">
        <v>189</v>
      </c>
      <c r="Y219" s="296" t="s">
        <v>183</v>
      </c>
      <c r="Z219" s="296" t="s">
        <v>183</v>
      </c>
      <c r="AA219" s="296" t="s">
        <v>183</v>
      </c>
      <c r="AB219" s="296" t="s">
        <v>183</v>
      </c>
      <c r="AC219" s="296" t="s">
        <v>2065</v>
      </c>
      <c r="AD219" s="296" t="s">
        <v>2154</v>
      </c>
      <c r="AE219" s="296" t="s">
        <v>192</v>
      </c>
      <c r="AF219" s="296" t="s">
        <v>193</v>
      </c>
      <c r="AG219" s="296">
        <v>0</v>
      </c>
      <c r="AH219" s="298">
        <v>45394</v>
      </c>
      <c r="AJ219" s="296" t="s">
        <v>194</v>
      </c>
      <c r="AK219" s="299">
        <f>COUNTIF($A$3:A$917,A219)</f>
        <v>2</v>
      </c>
    </row>
    <row r="220" spans="1:37" x14ac:dyDescent="0.25">
      <c r="A220" s="296">
        <v>603700397</v>
      </c>
      <c r="B220" s="296" t="s">
        <v>2155</v>
      </c>
      <c r="C220" s="296" t="s">
        <v>183</v>
      </c>
      <c r="D220" s="296" t="s">
        <v>183</v>
      </c>
      <c r="E220" s="296" t="s">
        <v>183</v>
      </c>
      <c r="F220" s="296" t="s">
        <v>2156</v>
      </c>
      <c r="G220" s="296" t="s">
        <v>2156</v>
      </c>
      <c r="H220" s="296" t="s">
        <v>2157</v>
      </c>
      <c r="I220" s="296" t="s">
        <v>175</v>
      </c>
      <c r="J220" s="296" t="s">
        <v>2158</v>
      </c>
      <c r="K220" s="296" t="s">
        <v>2159</v>
      </c>
      <c r="L220" s="296" t="s">
        <v>2160</v>
      </c>
      <c r="M220" s="296" t="s">
        <v>179</v>
      </c>
      <c r="N220" s="296" t="s">
        <v>2161</v>
      </c>
      <c r="O220" s="296" t="s">
        <v>2161</v>
      </c>
      <c r="P220" s="296" t="s">
        <v>2162</v>
      </c>
      <c r="Q220" s="296" t="s">
        <v>183</v>
      </c>
      <c r="R220" s="296" t="s">
        <v>2163</v>
      </c>
      <c r="S220" s="296" t="s">
        <v>185</v>
      </c>
      <c r="T220" s="296" t="s">
        <v>185</v>
      </c>
      <c r="U220" s="296" t="s">
        <v>186</v>
      </c>
      <c r="V220" s="296" t="s">
        <v>187</v>
      </c>
      <c r="W220" s="296" t="s">
        <v>188</v>
      </c>
      <c r="X220" s="296" t="s">
        <v>189</v>
      </c>
      <c r="Y220" s="296" t="s">
        <v>183</v>
      </c>
      <c r="Z220" s="296" t="s">
        <v>183</v>
      </c>
      <c r="AA220" s="296" t="s">
        <v>183</v>
      </c>
      <c r="AB220" s="296" t="s">
        <v>183</v>
      </c>
      <c r="AC220" s="296" t="s">
        <v>2164</v>
      </c>
      <c r="AD220" s="296" t="s">
        <v>2165</v>
      </c>
      <c r="AE220" s="296" t="s">
        <v>192</v>
      </c>
      <c r="AF220" s="296" t="s">
        <v>193</v>
      </c>
      <c r="AG220" s="296">
        <v>0</v>
      </c>
      <c r="AH220" s="298">
        <v>45835</v>
      </c>
      <c r="AJ220" s="296" t="s">
        <v>194</v>
      </c>
      <c r="AK220" s="299">
        <f>COUNTIF($A$3:A$917,A220)</f>
        <v>1</v>
      </c>
    </row>
    <row r="221" spans="1:37" x14ac:dyDescent="0.25">
      <c r="A221" s="296">
        <v>110660375</v>
      </c>
      <c r="B221" s="296" t="s">
        <v>2166</v>
      </c>
      <c r="C221" s="296" t="s">
        <v>183</v>
      </c>
      <c r="D221" s="296" t="s">
        <v>183</v>
      </c>
      <c r="E221" s="296" t="s">
        <v>183</v>
      </c>
      <c r="F221" s="296" t="s">
        <v>2167</v>
      </c>
      <c r="G221" s="296" t="s">
        <v>2168</v>
      </c>
      <c r="H221" s="296" t="s">
        <v>2169</v>
      </c>
      <c r="I221" s="296" t="s">
        <v>175</v>
      </c>
      <c r="J221" s="296" t="s">
        <v>2170</v>
      </c>
      <c r="K221" s="296" t="s">
        <v>2171</v>
      </c>
      <c r="L221" s="296" t="s">
        <v>2166</v>
      </c>
      <c r="M221" s="296" t="s">
        <v>179</v>
      </c>
      <c r="N221" s="296" t="s">
        <v>2167</v>
      </c>
      <c r="O221" s="296" t="s">
        <v>2168</v>
      </c>
      <c r="P221" s="296" t="s">
        <v>2169</v>
      </c>
      <c r="Q221" s="296" t="s">
        <v>183</v>
      </c>
      <c r="R221" s="296" t="s">
        <v>2172</v>
      </c>
      <c r="S221" s="296" t="s">
        <v>185</v>
      </c>
      <c r="T221" s="296" t="s">
        <v>185</v>
      </c>
      <c r="U221" s="296" t="s">
        <v>186</v>
      </c>
      <c r="V221" s="296" t="s">
        <v>187</v>
      </c>
      <c r="W221" s="296" t="s">
        <v>188</v>
      </c>
      <c r="X221" s="296" t="s">
        <v>189</v>
      </c>
      <c r="Y221" s="296" t="s">
        <v>183</v>
      </c>
      <c r="Z221" s="296" t="s">
        <v>183</v>
      </c>
      <c r="AA221" s="296" t="s">
        <v>183</v>
      </c>
      <c r="AB221" s="296" t="s">
        <v>183</v>
      </c>
      <c r="AC221" s="296" t="s">
        <v>2173</v>
      </c>
      <c r="AD221" s="296" t="s">
        <v>2174</v>
      </c>
      <c r="AE221" s="296" t="s">
        <v>192</v>
      </c>
      <c r="AF221" s="296" t="s">
        <v>193</v>
      </c>
      <c r="AG221" s="296">
        <v>75676.5</v>
      </c>
      <c r="AH221" s="298">
        <v>41800</v>
      </c>
      <c r="AJ221" s="296" t="s">
        <v>194</v>
      </c>
      <c r="AK221" s="299">
        <f>COUNTIF($A$3:A$917,A221)</f>
        <v>1</v>
      </c>
    </row>
    <row r="222" spans="1:37" x14ac:dyDescent="0.25">
      <c r="A222" s="296">
        <v>503390544</v>
      </c>
      <c r="B222" s="296" t="s">
        <v>2175</v>
      </c>
      <c r="C222" s="296" t="s">
        <v>183</v>
      </c>
      <c r="D222" s="296" t="s">
        <v>183</v>
      </c>
      <c r="E222" s="296" t="s">
        <v>183</v>
      </c>
      <c r="F222" s="296" t="s">
        <v>2176</v>
      </c>
      <c r="G222" s="296" t="s">
        <v>2177</v>
      </c>
      <c r="H222" s="296" t="s">
        <v>2178</v>
      </c>
      <c r="I222" s="296" t="s">
        <v>175</v>
      </c>
      <c r="J222" s="296" t="s">
        <v>2179</v>
      </c>
      <c r="K222" s="296" t="s">
        <v>2180</v>
      </c>
      <c r="L222" s="296" t="s">
        <v>2181</v>
      </c>
      <c r="M222" s="296" t="s">
        <v>179</v>
      </c>
      <c r="N222" s="296" t="s">
        <v>2182</v>
      </c>
      <c r="O222" s="296" t="s">
        <v>278</v>
      </c>
      <c r="P222" s="296" t="s">
        <v>2183</v>
      </c>
      <c r="Q222" s="296" t="s">
        <v>183</v>
      </c>
      <c r="R222" s="296" t="s">
        <v>2184</v>
      </c>
      <c r="S222" s="296" t="s">
        <v>185</v>
      </c>
      <c r="T222" s="296" t="s">
        <v>185</v>
      </c>
      <c r="U222" s="296" t="s">
        <v>186</v>
      </c>
      <c r="V222" s="296" t="s">
        <v>187</v>
      </c>
      <c r="W222" s="296" t="s">
        <v>188</v>
      </c>
      <c r="X222" s="296" t="s">
        <v>189</v>
      </c>
      <c r="Y222" s="296" t="s">
        <v>183</v>
      </c>
      <c r="Z222" s="296" t="s">
        <v>183</v>
      </c>
      <c r="AA222" s="296" t="s">
        <v>183</v>
      </c>
      <c r="AB222" s="296" t="s">
        <v>183</v>
      </c>
      <c r="AC222" s="296" t="s">
        <v>2185</v>
      </c>
      <c r="AD222" s="296" t="s">
        <v>2186</v>
      </c>
      <c r="AE222" s="296" t="s">
        <v>192</v>
      </c>
      <c r="AF222" s="296" t="s">
        <v>193</v>
      </c>
      <c r="AG222" s="296">
        <v>0</v>
      </c>
      <c r="AH222" s="298">
        <v>42384</v>
      </c>
      <c r="AJ222" s="296" t="s">
        <v>194</v>
      </c>
      <c r="AK222" s="299">
        <f>COUNTIF($A$3:A$917,A222)</f>
        <v>1</v>
      </c>
    </row>
    <row r="223" spans="1:37" x14ac:dyDescent="0.25">
      <c r="A223" s="296">
        <v>3101813065</v>
      </c>
      <c r="B223" s="296" t="s">
        <v>2187</v>
      </c>
      <c r="C223" s="296" t="s">
        <v>183</v>
      </c>
      <c r="D223" s="296" t="s">
        <v>183</v>
      </c>
      <c r="E223" s="296" t="s">
        <v>183</v>
      </c>
      <c r="F223" s="296" t="s">
        <v>2188</v>
      </c>
      <c r="G223" s="296" t="s">
        <v>183</v>
      </c>
      <c r="H223" s="296" t="s">
        <v>2189</v>
      </c>
      <c r="I223" s="296" t="s">
        <v>175</v>
      </c>
      <c r="J223" s="296" t="s">
        <v>2190</v>
      </c>
      <c r="K223" s="296" t="s">
        <v>768</v>
      </c>
      <c r="L223" s="296" t="s">
        <v>769</v>
      </c>
      <c r="M223" s="296" t="s">
        <v>179</v>
      </c>
      <c r="N223" s="296" t="s">
        <v>770</v>
      </c>
      <c r="O223" s="296" t="s">
        <v>770</v>
      </c>
      <c r="P223" s="296" t="s">
        <v>771</v>
      </c>
      <c r="Q223" s="296" t="s">
        <v>183</v>
      </c>
      <c r="R223" s="296" t="s">
        <v>772</v>
      </c>
      <c r="S223" s="296" t="s">
        <v>185</v>
      </c>
      <c r="T223" s="296" t="s">
        <v>185</v>
      </c>
      <c r="U223" s="296" t="s">
        <v>186</v>
      </c>
      <c r="V223" s="296" t="s">
        <v>187</v>
      </c>
      <c r="W223" s="296" t="s">
        <v>188</v>
      </c>
      <c r="X223" s="296" t="s">
        <v>256</v>
      </c>
      <c r="Y223" s="296" t="s">
        <v>183</v>
      </c>
      <c r="Z223" s="296" t="s">
        <v>183</v>
      </c>
      <c r="AA223" s="296" t="s">
        <v>183</v>
      </c>
      <c r="AB223" s="296" t="s">
        <v>183</v>
      </c>
      <c r="AC223" s="296" t="s">
        <v>773</v>
      </c>
      <c r="AD223" s="296" t="s">
        <v>2191</v>
      </c>
      <c r="AE223" s="296" t="s">
        <v>192</v>
      </c>
      <c r="AF223" s="296" t="s">
        <v>193</v>
      </c>
      <c r="AG223" s="296">
        <v>0</v>
      </c>
      <c r="AH223" s="298">
        <v>44650</v>
      </c>
      <c r="AJ223" s="296" t="s">
        <v>194</v>
      </c>
      <c r="AK223" s="299">
        <f>COUNTIF($A$3:A$917,A223)</f>
        <v>1</v>
      </c>
    </row>
    <row r="224" spans="1:37" x14ac:dyDescent="0.25">
      <c r="A224" s="296">
        <v>3101808728</v>
      </c>
      <c r="B224" s="296" t="s">
        <v>2192</v>
      </c>
      <c r="C224" s="296" t="s">
        <v>183</v>
      </c>
      <c r="D224" s="296" t="s">
        <v>183</v>
      </c>
      <c r="E224" s="296" t="s">
        <v>183</v>
      </c>
      <c r="F224" s="296" t="s">
        <v>2193</v>
      </c>
      <c r="G224" s="296" t="s">
        <v>2194</v>
      </c>
      <c r="H224" s="296" t="s">
        <v>2195</v>
      </c>
      <c r="I224" s="296" t="s">
        <v>175</v>
      </c>
      <c r="J224" s="296" t="s">
        <v>2196</v>
      </c>
      <c r="K224" s="296" t="s">
        <v>2197</v>
      </c>
      <c r="L224" s="296" t="s">
        <v>2198</v>
      </c>
      <c r="M224" s="296" t="s">
        <v>179</v>
      </c>
      <c r="N224" s="296" t="s">
        <v>910</v>
      </c>
      <c r="O224" s="296" t="s">
        <v>183</v>
      </c>
      <c r="P224" s="296" t="s">
        <v>2199</v>
      </c>
      <c r="Q224" s="296" t="s">
        <v>183</v>
      </c>
      <c r="R224" s="296" t="s">
        <v>2200</v>
      </c>
      <c r="S224" s="296" t="s">
        <v>185</v>
      </c>
      <c r="T224" s="296" t="s">
        <v>185</v>
      </c>
      <c r="U224" s="296" t="s">
        <v>186</v>
      </c>
      <c r="V224" s="296" t="s">
        <v>187</v>
      </c>
      <c r="W224" s="296" t="s">
        <v>188</v>
      </c>
      <c r="X224" s="296" t="s">
        <v>189</v>
      </c>
      <c r="Y224" s="296" t="s">
        <v>183</v>
      </c>
      <c r="Z224" s="296" t="s">
        <v>183</v>
      </c>
      <c r="AA224" s="296" t="s">
        <v>183</v>
      </c>
      <c r="AB224" s="296" t="s">
        <v>183</v>
      </c>
      <c r="AC224" s="296" t="s">
        <v>2201</v>
      </c>
      <c r="AD224" s="296" t="s">
        <v>2202</v>
      </c>
      <c r="AE224" s="296" t="s">
        <v>192</v>
      </c>
      <c r="AF224" s="296" t="s">
        <v>193</v>
      </c>
      <c r="AG224" s="296">
        <v>0</v>
      </c>
      <c r="AH224" s="298">
        <v>45315</v>
      </c>
      <c r="AJ224" s="296" t="s">
        <v>194</v>
      </c>
      <c r="AK224" s="299">
        <f>COUNTIF($A$3:A$917,A224)</f>
        <v>1</v>
      </c>
    </row>
    <row r="225" spans="1:37" x14ac:dyDescent="0.25">
      <c r="A225" s="296">
        <v>3101842537</v>
      </c>
      <c r="B225" s="296" t="s">
        <v>2203</v>
      </c>
      <c r="C225" s="296" t="s">
        <v>2204</v>
      </c>
      <c r="D225" s="296" t="s">
        <v>2205</v>
      </c>
      <c r="E225" s="296" t="s">
        <v>172</v>
      </c>
      <c r="F225" s="296" t="s">
        <v>2206</v>
      </c>
      <c r="G225" s="296" t="s">
        <v>183</v>
      </c>
      <c r="H225" s="296" t="s">
        <v>2207</v>
      </c>
      <c r="I225" s="296" t="s">
        <v>175</v>
      </c>
      <c r="J225" s="296" t="s">
        <v>2208</v>
      </c>
      <c r="K225" s="296" t="s">
        <v>2209</v>
      </c>
      <c r="L225" s="296" t="s">
        <v>2210</v>
      </c>
      <c r="M225" s="296" t="s">
        <v>179</v>
      </c>
      <c r="N225" s="296" t="s">
        <v>1696</v>
      </c>
      <c r="O225" s="296" t="s">
        <v>278</v>
      </c>
      <c r="P225" s="296" t="s">
        <v>2211</v>
      </c>
      <c r="Q225" s="296" t="s">
        <v>183</v>
      </c>
      <c r="R225" s="296" t="s">
        <v>2212</v>
      </c>
      <c r="S225" s="296" t="s">
        <v>1041</v>
      </c>
      <c r="T225" s="296" t="s">
        <v>185</v>
      </c>
      <c r="U225" s="296" t="s">
        <v>186</v>
      </c>
      <c r="V225" s="296" t="s">
        <v>187</v>
      </c>
      <c r="W225" s="296" t="s">
        <v>188</v>
      </c>
      <c r="X225" s="296" t="s">
        <v>189</v>
      </c>
      <c r="Y225" s="296" t="s">
        <v>183</v>
      </c>
      <c r="Z225" s="296" t="s">
        <v>183</v>
      </c>
      <c r="AA225" s="296" t="s">
        <v>183</v>
      </c>
      <c r="AB225" s="296" t="s">
        <v>183</v>
      </c>
      <c r="AC225" s="296" t="s">
        <v>2213</v>
      </c>
      <c r="AD225" s="296" t="s">
        <v>2214</v>
      </c>
      <c r="AE225" s="296" t="s">
        <v>192</v>
      </c>
      <c r="AF225" s="296" t="s">
        <v>193</v>
      </c>
      <c r="AG225" s="296">
        <v>0</v>
      </c>
      <c r="AH225" s="298">
        <v>44652</v>
      </c>
      <c r="AJ225" s="296" t="s">
        <v>194</v>
      </c>
      <c r="AK225" s="299">
        <f>COUNTIF($A$3:A$917,A225)</f>
        <v>2</v>
      </c>
    </row>
    <row r="226" spans="1:37" x14ac:dyDescent="0.25">
      <c r="A226" s="296">
        <v>3101842537</v>
      </c>
      <c r="B226" s="296" t="s">
        <v>2203</v>
      </c>
      <c r="C226" s="296" t="s">
        <v>2204</v>
      </c>
      <c r="D226" s="296" t="s">
        <v>2205</v>
      </c>
      <c r="E226" s="296" t="s">
        <v>172</v>
      </c>
      <c r="F226" s="296" t="s">
        <v>2206</v>
      </c>
      <c r="G226" s="296" t="s">
        <v>183</v>
      </c>
      <c r="H226" s="296" t="s">
        <v>2207</v>
      </c>
      <c r="I226" s="296" t="s">
        <v>175</v>
      </c>
      <c r="J226" s="296" t="s">
        <v>2215</v>
      </c>
      <c r="K226" s="296" t="s">
        <v>2216</v>
      </c>
      <c r="L226" s="296" t="s">
        <v>2217</v>
      </c>
      <c r="M226" s="296" t="s">
        <v>179</v>
      </c>
      <c r="N226" s="296" t="s">
        <v>2218</v>
      </c>
      <c r="O226" s="296" t="s">
        <v>183</v>
      </c>
      <c r="P226" s="296" t="s">
        <v>2219</v>
      </c>
      <c r="Q226" s="296" t="s">
        <v>183</v>
      </c>
      <c r="R226" s="296" t="s">
        <v>2220</v>
      </c>
      <c r="S226" s="296" t="s">
        <v>185</v>
      </c>
      <c r="T226" s="296" t="s">
        <v>185</v>
      </c>
      <c r="U226" s="296" t="s">
        <v>186</v>
      </c>
      <c r="V226" s="296" t="s">
        <v>187</v>
      </c>
      <c r="W226" s="296" t="s">
        <v>188</v>
      </c>
      <c r="X226" s="296" t="s">
        <v>189</v>
      </c>
      <c r="Y226" s="296" t="s">
        <v>183</v>
      </c>
      <c r="Z226" s="296" t="s">
        <v>183</v>
      </c>
      <c r="AA226" s="296" t="s">
        <v>183</v>
      </c>
      <c r="AB226" s="296" t="s">
        <v>183</v>
      </c>
      <c r="AC226" s="296" t="s">
        <v>2221</v>
      </c>
      <c r="AD226" s="296" t="s">
        <v>2222</v>
      </c>
      <c r="AE226" s="296" t="s">
        <v>192</v>
      </c>
      <c r="AF226" s="296" t="s">
        <v>193</v>
      </c>
      <c r="AG226" s="296">
        <v>0</v>
      </c>
      <c r="AH226" s="298">
        <v>44845</v>
      </c>
      <c r="AJ226" s="296" t="s">
        <v>194</v>
      </c>
      <c r="AK226" s="299">
        <f>COUNTIF($A$3:A$917,A226)</f>
        <v>2</v>
      </c>
    </row>
    <row r="227" spans="1:37" x14ac:dyDescent="0.25">
      <c r="A227" s="296">
        <v>3101299151</v>
      </c>
      <c r="B227" s="296" t="s">
        <v>2223</v>
      </c>
      <c r="C227" s="296" t="s">
        <v>2224</v>
      </c>
      <c r="D227" s="296" t="s">
        <v>2225</v>
      </c>
      <c r="E227" s="296" t="s">
        <v>172</v>
      </c>
      <c r="F227" s="296" t="s">
        <v>2226</v>
      </c>
      <c r="G227" s="296" t="s">
        <v>278</v>
      </c>
      <c r="H227" s="296" t="s">
        <v>2227</v>
      </c>
      <c r="I227" s="296" t="s">
        <v>175</v>
      </c>
      <c r="J227" s="296" t="s">
        <v>2228</v>
      </c>
      <c r="K227" s="296" t="s">
        <v>2229</v>
      </c>
      <c r="L227" s="296" t="s">
        <v>2230</v>
      </c>
      <c r="M227" s="296" t="s">
        <v>179</v>
      </c>
      <c r="N227" s="296" t="s">
        <v>2231</v>
      </c>
      <c r="O227" s="296" t="s">
        <v>2231</v>
      </c>
      <c r="P227" s="296" t="s">
        <v>2232</v>
      </c>
      <c r="Q227" s="296" t="s">
        <v>183</v>
      </c>
      <c r="R227" s="296" t="s">
        <v>2233</v>
      </c>
      <c r="S227" s="296" t="s">
        <v>185</v>
      </c>
      <c r="T227" s="296" t="s">
        <v>185</v>
      </c>
      <c r="U227" s="296" t="s">
        <v>186</v>
      </c>
      <c r="V227" s="296" t="s">
        <v>187</v>
      </c>
      <c r="W227" s="296" t="s">
        <v>188</v>
      </c>
      <c r="X227" s="296" t="s">
        <v>189</v>
      </c>
      <c r="Y227" s="296" t="s">
        <v>183</v>
      </c>
      <c r="Z227" s="296" t="s">
        <v>183</v>
      </c>
      <c r="AA227" s="296" t="s">
        <v>183</v>
      </c>
      <c r="AB227" s="296" t="s">
        <v>183</v>
      </c>
      <c r="AC227" s="296" t="s">
        <v>2234</v>
      </c>
      <c r="AD227" s="296" t="s">
        <v>2235</v>
      </c>
      <c r="AE227" s="296" t="s">
        <v>192</v>
      </c>
      <c r="AF227" s="296" t="s">
        <v>193</v>
      </c>
      <c r="AG227" s="296">
        <v>0</v>
      </c>
      <c r="AH227" s="298">
        <v>45511</v>
      </c>
      <c r="AJ227" s="296" t="s">
        <v>194</v>
      </c>
      <c r="AK227" s="299">
        <f>COUNTIF($A$3:A$917,A227)</f>
        <v>1</v>
      </c>
    </row>
    <row r="228" spans="1:37" x14ac:dyDescent="0.25">
      <c r="A228" s="296">
        <v>205180674</v>
      </c>
      <c r="B228" s="296" t="s">
        <v>2236</v>
      </c>
      <c r="C228" s="296" t="s">
        <v>183</v>
      </c>
      <c r="D228" s="296" t="s">
        <v>183</v>
      </c>
      <c r="E228" s="296" t="s">
        <v>183</v>
      </c>
      <c r="F228" s="296" t="s">
        <v>2237</v>
      </c>
      <c r="G228" s="296" t="s">
        <v>2237</v>
      </c>
      <c r="H228" s="296" t="s">
        <v>2238</v>
      </c>
      <c r="I228" s="296" t="s">
        <v>2239</v>
      </c>
      <c r="J228" s="296" t="s">
        <v>2240</v>
      </c>
      <c r="K228" s="296" t="s">
        <v>2241</v>
      </c>
      <c r="L228" s="296" t="s">
        <v>2236</v>
      </c>
      <c r="M228" s="296" t="s">
        <v>179</v>
      </c>
      <c r="N228" s="296" t="s">
        <v>2237</v>
      </c>
      <c r="O228" s="296" t="s">
        <v>2237</v>
      </c>
      <c r="P228" s="296" t="s">
        <v>2238</v>
      </c>
      <c r="Q228" s="296" t="s">
        <v>183</v>
      </c>
      <c r="R228" s="296" t="s">
        <v>2242</v>
      </c>
      <c r="S228" s="296" t="s">
        <v>185</v>
      </c>
      <c r="T228" s="296" t="s">
        <v>185</v>
      </c>
      <c r="U228" s="296" t="s">
        <v>186</v>
      </c>
      <c r="V228" s="296" t="s">
        <v>187</v>
      </c>
      <c r="W228" s="296" t="s">
        <v>188</v>
      </c>
      <c r="X228" s="296" t="s">
        <v>189</v>
      </c>
      <c r="Y228" s="296" t="s">
        <v>183</v>
      </c>
      <c r="Z228" s="296" t="s">
        <v>183</v>
      </c>
      <c r="AA228" s="296" t="s">
        <v>183</v>
      </c>
      <c r="AB228" s="296" t="s">
        <v>183</v>
      </c>
      <c r="AC228" s="296" t="s">
        <v>2243</v>
      </c>
      <c r="AD228" s="296" t="s">
        <v>2244</v>
      </c>
      <c r="AE228" s="296" t="s">
        <v>192</v>
      </c>
      <c r="AF228" s="296" t="s">
        <v>193</v>
      </c>
      <c r="AG228" s="296">
        <v>9879</v>
      </c>
      <c r="AH228" s="298">
        <v>44503</v>
      </c>
      <c r="AJ228" s="296" t="s">
        <v>194</v>
      </c>
      <c r="AK228" s="299">
        <f>COUNTIF($A$3:A$917,A228)</f>
        <v>1</v>
      </c>
    </row>
    <row r="229" spans="1:37" x14ac:dyDescent="0.25">
      <c r="A229" s="296">
        <v>502260438</v>
      </c>
      <c r="B229" s="296" t="s">
        <v>2245</v>
      </c>
      <c r="C229" s="296" t="s">
        <v>183</v>
      </c>
      <c r="D229" s="296" t="s">
        <v>183</v>
      </c>
      <c r="E229" s="296" t="s">
        <v>183</v>
      </c>
      <c r="F229" s="296" t="s">
        <v>2246</v>
      </c>
      <c r="G229" s="296" t="s">
        <v>2247</v>
      </c>
      <c r="H229" s="296" t="s">
        <v>2248</v>
      </c>
      <c r="I229" s="296" t="s">
        <v>2239</v>
      </c>
      <c r="J229" s="296" t="s">
        <v>2249</v>
      </c>
      <c r="K229" s="296" t="s">
        <v>2250</v>
      </c>
      <c r="L229" s="296" t="s">
        <v>2251</v>
      </c>
      <c r="M229" s="296" t="s">
        <v>179</v>
      </c>
      <c r="N229" s="296" t="s">
        <v>2252</v>
      </c>
      <c r="O229" s="296" t="s">
        <v>2252</v>
      </c>
      <c r="P229" s="296" t="s">
        <v>2253</v>
      </c>
      <c r="Q229" s="296" t="s">
        <v>183</v>
      </c>
      <c r="R229" s="296" t="s">
        <v>2254</v>
      </c>
      <c r="S229" s="296" t="s">
        <v>185</v>
      </c>
      <c r="T229" s="296" t="s">
        <v>185</v>
      </c>
      <c r="U229" s="296" t="s">
        <v>186</v>
      </c>
      <c r="V229" s="296" t="s">
        <v>187</v>
      </c>
      <c r="W229" s="296" t="s">
        <v>188</v>
      </c>
      <c r="X229" s="296" t="s">
        <v>189</v>
      </c>
      <c r="Y229" s="296" t="s">
        <v>183</v>
      </c>
      <c r="Z229" s="296" t="s">
        <v>183</v>
      </c>
      <c r="AA229" s="296" t="s">
        <v>183</v>
      </c>
      <c r="AB229" s="296" t="s">
        <v>183</v>
      </c>
      <c r="AC229" s="296" t="s">
        <v>2255</v>
      </c>
      <c r="AD229" s="296" t="s">
        <v>2256</v>
      </c>
      <c r="AE229" s="296" t="s">
        <v>192</v>
      </c>
      <c r="AF229" s="296" t="s">
        <v>193</v>
      </c>
      <c r="AG229" s="296">
        <v>0</v>
      </c>
      <c r="AH229" s="298">
        <v>45322</v>
      </c>
      <c r="AJ229" s="296" t="s">
        <v>194</v>
      </c>
      <c r="AK229" s="299">
        <f>COUNTIF($A$3:A$917,A229)</f>
        <v>1</v>
      </c>
    </row>
    <row r="230" spans="1:37" x14ac:dyDescent="0.25">
      <c r="A230" s="296">
        <v>107230168</v>
      </c>
      <c r="B230" s="296" t="s">
        <v>2257</v>
      </c>
      <c r="C230" s="296" t="s">
        <v>183</v>
      </c>
      <c r="D230" s="296" t="s">
        <v>183</v>
      </c>
      <c r="E230" s="296" t="s">
        <v>183</v>
      </c>
      <c r="F230" s="296" t="s">
        <v>2258</v>
      </c>
      <c r="G230" s="296" t="s">
        <v>183</v>
      </c>
      <c r="H230" s="296" t="s">
        <v>2259</v>
      </c>
      <c r="I230" s="296" t="s">
        <v>2239</v>
      </c>
      <c r="J230" s="296" t="s">
        <v>2260</v>
      </c>
      <c r="K230" s="296" t="s">
        <v>2261</v>
      </c>
      <c r="L230" s="296" t="s">
        <v>2257</v>
      </c>
      <c r="M230" s="296" t="s">
        <v>179</v>
      </c>
      <c r="N230" s="296" t="s">
        <v>2258</v>
      </c>
      <c r="O230" s="296" t="s">
        <v>183</v>
      </c>
      <c r="P230" s="296" t="s">
        <v>2259</v>
      </c>
      <c r="Q230" s="296" t="s">
        <v>183</v>
      </c>
      <c r="R230" s="296" t="s">
        <v>2262</v>
      </c>
      <c r="S230" s="296" t="s">
        <v>185</v>
      </c>
      <c r="T230" s="296" t="s">
        <v>185</v>
      </c>
      <c r="U230" s="296" t="s">
        <v>186</v>
      </c>
      <c r="V230" s="296" t="s">
        <v>187</v>
      </c>
      <c r="W230" s="296" t="s">
        <v>188</v>
      </c>
      <c r="X230" s="296" t="s">
        <v>404</v>
      </c>
      <c r="Y230" s="296" t="s">
        <v>183</v>
      </c>
      <c r="Z230" s="296" t="s">
        <v>183</v>
      </c>
      <c r="AA230" s="296" t="s">
        <v>183</v>
      </c>
      <c r="AB230" s="296" t="s">
        <v>183</v>
      </c>
      <c r="AC230" s="296" t="s">
        <v>2263</v>
      </c>
      <c r="AD230" s="296" t="s">
        <v>2264</v>
      </c>
      <c r="AE230" s="296" t="s">
        <v>192</v>
      </c>
      <c r="AF230" s="296" t="s">
        <v>193</v>
      </c>
      <c r="AG230" s="296">
        <v>0</v>
      </c>
      <c r="AH230" s="298">
        <v>45237</v>
      </c>
      <c r="AJ230" s="296" t="s">
        <v>194</v>
      </c>
      <c r="AK230" s="299">
        <f>COUNTIF($A$3:A$917,A230)</f>
        <v>1</v>
      </c>
    </row>
    <row r="231" spans="1:37" x14ac:dyDescent="0.25">
      <c r="A231" s="296">
        <v>501050591</v>
      </c>
      <c r="B231" s="296" t="s">
        <v>958</v>
      </c>
      <c r="C231" s="296" t="s">
        <v>183</v>
      </c>
      <c r="D231" s="296" t="s">
        <v>183</v>
      </c>
      <c r="E231" s="296" t="s">
        <v>183</v>
      </c>
      <c r="F231" s="296" t="s">
        <v>959</v>
      </c>
      <c r="G231" s="296" t="s">
        <v>959</v>
      </c>
      <c r="H231" s="296" t="s">
        <v>960</v>
      </c>
      <c r="I231" s="296" t="s">
        <v>2239</v>
      </c>
      <c r="J231" s="296" t="s">
        <v>2239</v>
      </c>
      <c r="K231" s="296" t="s">
        <v>2265</v>
      </c>
      <c r="L231" s="296" t="s">
        <v>2266</v>
      </c>
      <c r="M231" s="296" t="s">
        <v>179</v>
      </c>
      <c r="N231" s="296" t="s">
        <v>2267</v>
      </c>
      <c r="O231" s="296" t="s">
        <v>183</v>
      </c>
      <c r="P231" s="296" t="s">
        <v>2268</v>
      </c>
      <c r="Q231" s="296" t="s">
        <v>183</v>
      </c>
      <c r="R231" s="296" t="s">
        <v>2269</v>
      </c>
      <c r="S231" s="296" t="s">
        <v>185</v>
      </c>
      <c r="T231" s="296" t="s">
        <v>185</v>
      </c>
      <c r="U231" s="296" t="s">
        <v>186</v>
      </c>
      <c r="V231" s="296" t="s">
        <v>187</v>
      </c>
      <c r="W231" s="296" t="s">
        <v>188</v>
      </c>
      <c r="X231" s="296" t="s">
        <v>189</v>
      </c>
      <c r="Y231" s="296" t="s">
        <v>183</v>
      </c>
      <c r="Z231" s="296" t="s">
        <v>183</v>
      </c>
      <c r="AA231" s="296" t="s">
        <v>183</v>
      </c>
      <c r="AB231" s="296" t="s">
        <v>183</v>
      </c>
      <c r="AC231" s="296" t="s">
        <v>2270</v>
      </c>
      <c r="AD231" s="296" t="s">
        <v>2271</v>
      </c>
      <c r="AE231" s="296" t="s">
        <v>192</v>
      </c>
      <c r="AF231" s="296" t="s">
        <v>193</v>
      </c>
      <c r="AG231" s="296">
        <v>0</v>
      </c>
      <c r="AH231" s="298">
        <v>44761</v>
      </c>
      <c r="AJ231" s="296" t="s">
        <v>194</v>
      </c>
      <c r="AK231" s="299">
        <f>COUNTIF($A$3:A$917,A231)</f>
        <v>2</v>
      </c>
    </row>
    <row r="232" spans="1:37" x14ac:dyDescent="0.25">
      <c r="A232" s="296">
        <v>3101008739</v>
      </c>
      <c r="B232" s="296" t="s">
        <v>2272</v>
      </c>
      <c r="C232" s="296" t="s">
        <v>183</v>
      </c>
      <c r="D232" s="296" t="s">
        <v>183</v>
      </c>
      <c r="E232" s="296" t="s">
        <v>183</v>
      </c>
      <c r="F232" s="296" t="s">
        <v>278</v>
      </c>
      <c r="G232" s="296" t="s">
        <v>278</v>
      </c>
      <c r="H232" s="296" t="s">
        <v>2273</v>
      </c>
      <c r="I232" s="296" t="s">
        <v>2274</v>
      </c>
      <c r="J232" s="296" t="s">
        <v>2275</v>
      </c>
      <c r="K232" s="296" t="s">
        <v>183</v>
      </c>
      <c r="L232" s="296" t="s">
        <v>183</v>
      </c>
      <c r="M232" s="296" t="s">
        <v>183</v>
      </c>
      <c r="N232" s="296" t="s">
        <v>2045</v>
      </c>
      <c r="O232" s="296" t="s">
        <v>183</v>
      </c>
      <c r="P232" s="296" t="s">
        <v>183</v>
      </c>
      <c r="Q232" s="296" t="s">
        <v>183</v>
      </c>
      <c r="R232" s="296" t="s">
        <v>183</v>
      </c>
      <c r="S232" s="296" t="s">
        <v>183</v>
      </c>
      <c r="T232" s="296" t="s">
        <v>183</v>
      </c>
      <c r="U232" s="296" t="s">
        <v>183</v>
      </c>
      <c r="V232" s="296" t="s">
        <v>183</v>
      </c>
      <c r="W232" s="296" t="s">
        <v>183</v>
      </c>
      <c r="X232" s="296" t="s">
        <v>183</v>
      </c>
      <c r="Y232" s="296" t="s">
        <v>183</v>
      </c>
      <c r="Z232" s="296" t="s">
        <v>183</v>
      </c>
      <c r="AA232" s="296" t="s">
        <v>183</v>
      </c>
      <c r="AB232" s="296" t="s">
        <v>183</v>
      </c>
      <c r="AC232" s="296" t="s">
        <v>183</v>
      </c>
      <c r="AD232" s="296" t="s">
        <v>2276</v>
      </c>
      <c r="AE232" s="296" t="s">
        <v>192</v>
      </c>
      <c r="AF232" s="296" t="s">
        <v>193</v>
      </c>
      <c r="AG232" s="296">
        <v>0</v>
      </c>
      <c r="AH232" s="298">
        <v>36818</v>
      </c>
      <c r="AJ232" s="296" t="s">
        <v>194</v>
      </c>
      <c r="AK232" s="299">
        <f>COUNTIF($A$3:A$917,A232)</f>
        <v>1</v>
      </c>
    </row>
    <row r="233" spans="1:37" x14ac:dyDescent="0.25">
      <c r="A233" s="296">
        <v>3101148887</v>
      </c>
      <c r="B233" s="296" t="s">
        <v>2277</v>
      </c>
      <c r="C233" s="296" t="s">
        <v>183</v>
      </c>
      <c r="D233" s="296" t="s">
        <v>183</v>
      </c>
      <c r="E233" s="296" t="s">
        <v>183</v>
      </c>
      <c r="F233" s="296" t="s">
        <v>2278</v>
      </c>
      <c r="G233" s="296" t="s">
        <v>2279</v>
      </c>
      <c r="H233" s="296" t="s">
        <v>2280</v>
      </c>
      <c r="I233" s="296" t="s">
        <v>2274</v>
      </c>
      <c r="J233" s="296" t="s">
        <v>2281</v>
      </c>
      <c r="K233" s="296" t="s">
        <v>183</v>
      </c>
      <c r="L233" s="296" t="s">
        <v>183</v>
      </c>
      <c r="M233" s="296" t="s">
        <v>183</v>
      </c>
      <c r="N233" s="296" t="s">
        <v>2282</v>
      </c>
      <c r="O233" s="296" t="s">
        <v>183</v>
      </c>
      <c r="P233" s="296" t="s">
        <v>183</v>
      </c>
      <c r="Q233" s="296" t="s">
        <v>183</v>
      </c>
      <c r="R233" s="296" t="s">
        <v>183</v>
      </c>
      <c r="S233" s="296" t="s">
        <v>183</v>
      </c>
      <c r="T233" s="296" t="s">
        <v>183</v>
      </c>
      <c r="U233" s="296" t="s">
        <v>183</v>
      </c>
      <c r="V233" s="296" t="s">
        <v>183</v>
      </c>
      <c r="W233" s="296" t="s">
        <v>183</v>
      </c>
      <c r="X233" s="296" t="s">
        <v>183</v>
      </c>
      <c r="Y233" s="296" t="s">
        <v>183</v>
      </c>
      <c r="Z233" s="296" t="s">
        <v>183</v>
      </c>
      <c r="AA233" s="296" t="s">
        <v>183</v>
      </c>
      <c r="AB233" s="296" t="s">
        <v>183</v>
      </c>
      <c r="AC233" s="296" t="s">
        <v>183</v>
      </c>
      <c r="AD233" s="296" t="s">
        <v>2283</v>
      </c>
      <c r="AE233" s="296" t="s">
        <v>192</v>
      </c>
      <c r="AF233" s="296" t="s">
        <v>193</v>
      </c>
      <c r="AG233" s="296">
        <v>0</v>
      </c>
      <c r="AH233" s="298">
        <v>38069</v>
      </c>
      <c r="AJ233" s="296" t="s">
        <v>194</v>
      </c>
      <c r="AK233" s="299">
        <f>COUNTIF($A$3:A$917,A233)</f>
        <v>1</v>
      </c>
    </row>
    <row r="234" spans="1:37" x14ac:dyDescent="0.25">
      <c r="A234" s="296">
        <v>3101006927</v>
      </c>
      <c r="B234" s="296" t="s">
        <v>2284</v>
      </c>
      <c r="C234" s="296" t="s">
        <v>183</v>
      </c>
      <c r="D234" s="296" t="s">
        <v>183</v>
      </c>
      <c r="E234" s="296" t="s">
        <v>183</v>
      </c>
      <c r="F234" s="296" t="s">
        <v>2285</v>
      </c>
      <c r="G234" s="296" t="s">
        <v>2286</v>
      </c>
      <c r="H234" s="296" t="s">
        <v>2287</v>
      </c>
      <c r="I234" s="296" t="s">
        <v>2274</v>
      </c>
      <c r="J234" s="296" t="s">
        <v>2288</v>
      </c>
      <c r="K234" s="296" t="s">
        <v>183</v>
      </c>
      <c r="L234" s="296" t="s">
        <v>183</v>
      </c>
      <c r="M234" s="296" t="s">
        <v>183</v>
      </c>
      <c r="N234" s="296" t="s">
        <v>2045</v>
      </c>
      <c r="O234" s="296" t="s">
        <v>183</v>
      </c>
      <c r="P234" s="296" t="s">
        <v>183</v>
      </c>
      <c r="Q234" s="296" t="s">
        <v>183</v>
      </c>
      <c r="R234" s="296" t="s">
        <v>183</v>
      </c>
      <c r="S234" s="296" t="s">
        <v>183</v>
      </c>
      <c r="T234" s="296" t="s">
        <v>183</v>
      </c>
      <c r="U234" s="296" t="s">
        <v>183</v>
      </c>
      <c r="V234" s="296" t="s">
        <v>183</v>
      </c>
      <c r="W234" s="296" t="s">
        <v>183</v>
      </c>
      <c r="X234" s="296" t="s">
        <v>183</v>
      </c>
      <c r="Y234" s="296" t="s">
        <v>183</v>
      </c>
      <c r="Z234" s="296" t="s">
        <v>183</v>
      </c>
      <c r="AA234" s="296" t="s">
        <v>183</v>
      </c>
      <c r="AB234" s="296" t="s">
        <v>183</v>
      </c>
      <c r="AC234" s="296" t="s">
        <v>183</v>
      </c>
      <c r="AD234" s="296" t="s">
        <v>2289</v>
      </c>
      <c r="AE234" s="296" t="s">
        <v>192</v>
      </c>
      <c r="AF234" s="296" t="s">
        <v>193</v>
      </c>
      <c r="AG234" s="296">
        <v>0</v>
      </c>
      <c r="AH234" s="298">
        <v>42109</v>
      </c>
      <c r="AJ234" s="296" t="s">
        <v>194</v>
      </c>
      <c r="AK234" s="299">
        <f>COUNTIF($A$3:A$917,A234)</f>
        <v>1</v>
      </c>
    </row>
    <row r="235" spans="1:37" x14ac:dyDescent="0.25">
      <c r="A235" s="296">
        <v>3101008150</v>
      </c>
      <c r="B235" s="296" t="s">
        <v>2290</v>
      </c>
      <c r="C235" s="296" t="s">
        <v>183</v>
      </c>
      <c r="D235" s="296" t="s">
        <v>183</v>
      </c>
      <c r="E235" s="296" t="s">
        <v>183</v>
      </c>
      <c r="F235" s="296" t="s">
        <v>278</v>
      </c>
      <c r="G235" s="296" t="s">
        <v>2291</v>
      </c>
      <c r="H235" s="296" t="s">
        <v>2292</v>
      </c>
      <c r="I235" s="296" t="s">
        <v>2274</v>
      </c>
      <c r="J235" s="296" t="s">
        <v>2293</v>
      </c>
      <c r="K235" s="296" t="s">
        <v>183</v>
      </c>
      <c r="L235" s="296" t="s">
        <v>183</v>
      </c>
      <c r="M235" s="296" t="s">
        <v>183</v>
      </c>
      <c r="N235" s="296" t="s">
        <v>2045</v>
      </c>
      <c r="O235" s="296" t="s">
        <v>183</v>
      </c>
      <c r="P235" s="296" t="s">
        <v>183</v>
      </c>
      <c r="Q235" s="296" t="s">
        <v>183</v>
      </c>
      <c r="R235" s="296" t="s">
        <v>183</v>
      </c>
      <c r="S235" s="296" t="s">
        <v>183</v>
      </c>
      <c r="T235" s="296" t="s">
        <v>183</v>
      </c>
      <c r="U235" s="296" t="s">
        <v>183</v>
      </c>
      <c r="V235" s="296" t="s">
        <v>183</v>
      </c>
      <c r="W235" s="296" t="s">
        <v>183</v>
      </c>
      <c r="X235" s="296" t="s">
        <v>183</v>
      </c>
      <c r="Y235" s="296" t="s">
        <v>183</v>
      </c>
      <c r="Z235" s="296" t="s">
        <v>183</v>
      </c>
      <c r="AA235" s="296" t="s">
        <v>183</v>
      </c>
      <c r="AB235" s="296" t="s">
        <v>183</v>
      </c>
      <c r="AC235" s="296" t="s">
        <v>183</v>
      </c>
      <c r="AD235" s="296" t="s">
        <v>2294</v>
      </c>
      <c r="AE235" s="296" t="s">
        <v>192</v>
      </c>
      <c r="AF235" s="296" t="s">
        <v>193</v>
      </c>
      <c r="AG235" s="296">
        <v>0</v>
      </c>
      <c r="AH235" s="298">
        <v>41087</v>
      </c>
      <c r="AI235" s="298">
        <v>45635</v>
      </c>
      <c r="AJ235" s="296" t="s">
        <v>194</v>
      </c>
      <c r="AK235" s="299">
        <f>COUNTIF($A$3:A$917,A235)</f>
        <v>1</v>
      </c>
    </row>
    <row r="236" spans="1:37" x14ac:dyDescent="0.25">
      <c r="A236" s="296">
        <v>3101005212</v>
      </c>
      <c r="B236" s="296" t="s">
        <v>2295</v>
      </c>
      <c r="C236" s="296" t="s">
        <v>183</v>
      </c>
      <c r="D236" s="296" t="s">
        <v>183</v>
      </c>
      <c r="E236" s="296" t="s">
        <v>183</v>
      </c>
      <c r="F236" s="296" t="s">
        <v>2296</v>
      </c>
      <c r="G236" s="296" t="s">
        <v>2297</v>
      </c>
      <c r="H236" s="296" t="s">
        <v>2298</v>
      </c>
      <c r="I236" s="296" t="s">
        <v>2274</v>
      </c>
      <c r="J236" s="296" t="s">
        <v>2299</v>
      </c>
      <c r="K236" s="296" t="s">
        <v>183</v>
      </c>
      <c r="L236" s="296" t="s">
        <v>183</v>
      </c>
      <c r="M236" s="296" t="s">
        <v>183</v>
      </c>
      <c r="N236" s="296" t="s">
        <v>2045</v>
      </c>
      <c r="O236" s="296" t="s">
        <v>183</v>
      </c>
      <c r="P236" s="296" t="s">
        <v>183</v>
      </c>
      <c r="Q236" s="296" t="s">
        <v>183</v>
      </c>
      <c r="R236" s="296" t="s">
        <v>183</v>
      </c>
      <c r="S236" s="296" t="s">
        <v>183</v>
      </c>
      <c r="T236" s="296" t="s">
        <v>183</v>
      </c>
      <c r="U236" s="296" t="s">
        <v>183</v>
      </c>
      <c r="V236" s="296" t="s">
        <v>183</v>
      </c>
      <c r="W236" s="296" t="s">
        <v>183</v>
      </c>
      <c r="X236" s="296" t="s">
        <v>183</v>
      </c>
      <c r="Y236" s="296" t="s">
        <v>183</v>
      </c>
      <c r="Z236" s="296" t="s">
        <v>183</v>
      </c>
      <c r="AA236" s="296" t="s">
        <v>183</v>
      </c>
      <c r="AB236" s="296" t="s">
        <v>183</v>
      </c>
      <c r="AC236" s="296" t="s">
        <v>183</v>
      </c>
      <c r="AD236" s="296" t="s">
        <v>2300</v>
      </c>
      <c r="AE236" s="296" t="s">
        <v>192</v>
      </c>
      <c r="AF236" s="296" t="s">
        <v>193</v>
      </c>
      <c r="AG236" s="296">
        <v>0</v>
      </c>
      <c r="AH236" s="298">
        <v>37272</v>
      </c>
      <c r="AJ236" s="296" t="s">
        <v>194</v>
      </c>
      <c r="AK236" s="299">
        <f>COUNTIF($A$3:A$917,A236)</f>
        <v>1</v>
      </c>
    </row>
    <row r="237" spans="1:37" x14ac:dyDescent="0.25">
      <c r="A237" s="296">
        <v>3101420995</v>
      </c>
      <c r="B237" s="296" t="s">
        <v>2301</v>
      </c>
      <c r="C237" s="296" t="s">
        <v>183</v>
      </c>
      <c r="D237" s="296" t="s">
        <v>183</v>
      </c>
      <c r="E237" s="296" t="s">
        <v>183</v>
      </c>
      <c r="F237" s="296" t="s">
        <v>2302</v>
      </c>
      <c r="G237" s="296" t="s">
        <v>2303</v>
      </c>
      <c r="H237" s="296" t="s">
        <v>2304</v>
      </c>
      <c r="I237" s="296" t="s">
        <v>2274</v>
      </c>
      <c r="J237" s="296" t="s">
        <v>2305</v>
      </c>
      <c r="K237" s="296" t="s">
        <v>183</v>
      </c>
      <c r="L237" s="296" t="s">
        <v>183</v>
      </c>
      <c r="M237" s="296" t="s">
        <v>183</v>
      </c>
      <c r="N237" s="296" t="s">
        <v>2306</v>
      </c>
      <c r="O237" s="296" t="s">
        <v>183</v>
      </c>
      <c r="P237" s="296" t="s">
        <v>183</v>
      </c>
      <c r="Q237" s="296" t="s">
        <v>183</v>
      </c>
      <c r="R237" s="296" t="s">
        <v>183</v>
      </c>
      <c r="S237" s="296" t="s">
        <v>183</v>
      </c>
      <c r="T237" s="296" t="s">
        <v>183</v>
      </c>
      <c r="U237" s="296" t="s">
        <v>183</v>
      </c>
      <c r="V237" s="296" t="s">
        <v>183</v>
      </c>
      <c r="W237" s="296" t="s">
        <v>183</v>
      </c>
      <c r="X237" s="296" t="s">
        <v>183</v>
      </c>
      <c r="Y237" s="296" t="s">
        <v>183</v>
      </c>
      <c r="Z237" s="296" t="s">
        <v>183</v>
      </c>
      <c r="AA237" s="296" t="s">
        <v>183</v>
      </c>
      <c r="AB237" s="296" t="s">
        <v>183</v>
      </c>
      <c r="AC237" s="296" t="s">
        <v>183</v>
      </c>
      <c r="AD237" s="296" t="s">
        <v>2307</v>
      </c>
      <c r="AE237" s="296" t="s">
        <v>192</v>
      </c>
      <c r="AF237" s="296" t="s">
        <v>193</v>
      </c>
      <c r="AG237" s="296">
        <v>0</v>
      </c>
      <c r="AH237" s="298">
        <v>41478</v>
      </c>
      <c r="AJ237" s="296" t="s">
        <v>194</v>
      </c>
      <c r="AK237" s="299">
        <f>COUNTIF($A$3:A$917,A237)</f>
        <v>1</v>
      </c>
    </row>
    <row r="238" spans="1:37" x14ac:dyDescent="0.25">
      <c r="A238" s="296">
        <v>3102012933</v>
      </c>
      <c r="B238" s="296" t="s">
        <v>2308</v>
      </c>
      <c r="C238" s="296" t="s">
        <v>183</v>
      </c>
      <c r="D238" s="296" t="s">
        <v>183</v>
      </c>
      <c r="E238" s="296" t="s">
        <v>183</v>
      </c>
      <c r="F238" s="296" t="s">
        <v>183</v>
      </c>
      <c r="G238" s="296" t="s">
        <v>2309</v>
      </c>
      <c r="H238" s="296" t="s">
        <v>2310</v>
      </c>
      <c r="I238" s="296" t="s">
        <v>2274</v>
      </c>
      <c r="J238" s="296" t="s">
        <v>2288</v>
      </c>
      <c r="K238" s="296" t="s">
        <v>183</v>
      </c>
      <c r="L238" s="296" t="s">
        <v>183</v>
      </c>
      <c r="M238" s="296" t="s">
        <v>183</v>
      </c>
      <c r="N238" s="296" t="s">
        <v>2311</v>
      </c>
      <c r="O238" s="296" t="s">
        <v>183</v>
      </c>
      <c r="P238" s="296" t="s">
        <v>183</v>
      </c>
      <c r="Q238" s="296" t="s">
        <v>183</v>
      </c>
      <c r="R238" s="296" t="s">
        <v>183</v>
      </c>
      <c r="S238" s="296" t="s">
        <v>183</v>
      </c>
      <c r="T238" s="296" t="s">
        <v>183</v>
      </c>
      <c r="U238" s="296" t="s">
        <v>183</v>
      </c>
      <c r="V238" s="296" t="s">
        <v>183</v>
      </c>
      <c r="W238" s="296" t="s">
        <v>183</v>
      </c>
      <c r="X238" s="296" t="s">
        <v>183</v>
      </c>
      <c r="Y238" s="296" t="s">
        <v>183</v>
      </c>
      <c r="Z238" s="296" t="s">
        <v>183</v>
      </c>
      <c r="AA238" s="296" t="s">
        <v>183</v>
      </c>
      <c r="AB238" s="296" t="s">
        <v>183</v>
      </c>
      <c r="AC238" s="296" t="s">
        <v>183</v>
      </c>
      <c r="AD238" s="296" t="s">
        <v>2312</v>
      </c>
      <c r="AE238" s="296" t="s">
        <v>192</v>
      </c>
      <c r="AF238" s="296" t="s">
        <v>193</v>
      </c>
      <c r="AG238" s="296">
        <v>164378</v>
      </c>
      <c r="AH238" s="298">
        <v>42880</v>
      </c>
      <c r="AJ238" s="296" t="s">
        <v>194</v>
      </c>
      <c r="AK238" s="299">
        <f>COUNTIF($A$3:A$917,A238)</f>
        <v>1</v>
      </c>
    </row>
    <row r="239" spans="1:37" x14ac:dyDescent="0.25">
      <c r="A239" s="296">
        <v>3101179438</v>
      </c>
      <c r="B239" s="296" t="s">
        <v>2313</v>
      </c>
      <c r="C239" s="296" t="s">
        <v>183</v>
      </c>
      <c r="D239" s="296" t="s">
        <v>183</v>
      </c>
      <c r="E239" s="296" t="s">
        <v>183</v>
      </c>
      <c r="F239" s="296" t="s">
        <v>2314</v>
      </c>
      <c r="G239" s="296" t="s">
        <v>183</v>
      </c>
      <c r="H239" s="296" t="s">
        <v>2315</v>
      </c>
      <c r="I239" s="296" t="s">
        <v>2274</v>
      </c>
      <c r="J239" s="296" t="s">
        <v>2316</v>
      </c>
      <c r="K239" s="296" t="s">
        <v>2317</v>
      </c>
      <c r="L239" s="296" t="s">
        <v>2318</v>
      </c>
      <c r="M239" s="296" t="s">
        <v>179</v>
      </c>
      <c r="N239" s="296" t="s">
        <v>2314</v>
      </c>
      <c r="O239" s="296" t="s">
        <v>2319</v>
      </c>
      <c r="P239" s="296" t="s">
        <v>2320</v>
      </c>
      <c r="Q239" s="296" t="s">
        <v>183</v>
      </c>
      <c r="R239" s="296" t="s">
        <v>2321</v>
      </c>
      <c r="S239" s="296" t="s">
        <v>185</v>
      </c>
      <c r="T239" s="296" t="s">
        <v>185</v>
      </c>
      <c r="U239" s="296" t="s">
        <v>186</v>
      </c>
      <c r="V239" s="296" t="s">
        <v>187</v>
      </c>
      <c r="W239" s="296" t="s">
        <v>188</v>
      </c>
      <c r="X239" s="296" t="s">
        <v>404</v>
      </c>
      <c r="Y239" s="296" t="s">
        <v>183</v>
      </c>
      <c r="Z239" s="296" t="s">
        <v>183</v>
      </c>
      <c r="AA239" s="296" t="s">
        <v>183</v>
      </c>
      <c r="AB239" s="296" t="s">
        <v>183</v>
      </c>
      <c r="AC239" s="296" t="s">
        <v>2322</v>
      </c>
      <c r="AD239" s="296" t="s">
        <v>2323</v>
      </c>
      <c r="AE239" s="296" t="s">
        <v>192</v>
      </c>
      <c r="AF239" s="296" t="s">
        <v>193</v>
      </c>
      <c r="AG239" s="296">
        <v>223540</v>
      </c>
      <c r="AH239" s="298">
        <v>43241</v>
      </c>
      <c r="AJ239" s="296" t="s">
        <v>194</v>
      </c>
      <c r="AK239" s="299">
        <f>COUNTIF($A$3:A$917,A239)</f>
        <v>1</v>
      </c>
    </row>
    <row r="240" spans="1:37" x14ac:dyDescent="0.25">
      <c r="A240" s="296">
        <v>3101257821</v>
      </c>
      <c r="B240" s="296" t="s">
        <v>2324</v>
      </c>
      <c r="C240" s="296" t="s">
        <v>183</v>
      </c>
      <c r="D240" s="296" t="s">
        <v>183</v>
      </c>
      <c r="E240" s="296" t="s">
        <v>183</v>
      </c>
      <c r="F240" s="296" t="s">
        <v>278</v>
      </c>
      <c r="G240" s="296" t="s">
        <v>2325</v>
      </c>
      <c r="H240" s="296" t="s">
        <v>2326</v>
      </c>
      <c r="I240" s="296" t="s">
        <v>2274</v>
      </c>
      <c r="J240" s="296" t="s">
        <v>2327</v>
      </c>
      <c r="K240" s="296" t="s">
        <v>183</v>
      </c>
      <c r="L240" s="296" t="s">
        <v>183</v>
      </c>
      <c r="M240" s="296" t="s">
        <v>183</v>
      </c>
      <c r="N240" s="296" t="s">
        <v>1353</v>
      </c>
      <c r="O240" s="296" t="s">
        <v>183</v>
      </c>
      <c r="P240" s="296" t="s">
        <v>183</v>
      </c>
      <c r="Q240" s="296" t="s">
        <v>183</v>
      </c>
      <c r="R240" s="296" t="s">
        <v>183</v>
      </c>
      <c r="S240" s="296" t="s">
        <v>183</v>
      </c>
      <c r="T240" s="296" t="s">
        <v>183</v>
      </c>
      <c r="U240" s="296" t="s">
        <v>183</v>
      </c>
      <c r="V240" s="296" t="s">
        <v>183</v>
      </c>
      <c r="W240" s="296" t="s">
        <v>183</v>
      </c>
      <c r="X240" s="296" t="s">
        <v>183</v>
      </c>
      <c r="Y240" s="296" t="s">
        <v>183</v>
      </c>
      <c r="Z240" s="296" t="s">
        <v>183</v>
      </c>
      <c r="AA240" s="296" t="s">
        <v>183</v>
      </c>
      <c r="AB240" s="296" t="s">
        <v>183</v>
      </c>
      <c r="AC240" s="296" t="s">
        <v>183</v>
      </c>
      <c r="AD240" s="296" t="s">
        <v>2328</v>
      </c>
      <c r="AE240" s="296" t="s">
        <v>192</v>
      </c>
      <c r="AF240" s="296" t="s">
        <v>193</v>
      </c>
      <c r="AG240" s="296">
        <v>0</v>
      </c>
      <c r="AH240" s="298">
        <v>40996</v>
      </c>
      <c r="AJ240" s="296" t="s">
        <v>194</v>
      </c>
      <c r="AK240" s="299">
        <f>COUNTIF($A$3:A$917,A240)</f>
        <v>1</v>
      </c>
    </row>
    <row r="241" spans="1:37" x14ac:dyDescent="0.25">
      <c r="A241" s="296">
        <v>3101295868</v>
      </c>
      <c r="B241" s="296" t="s">
        <v>2329</v>
      </c>
      <c r="C241" s="296" t="s">
        <v>183</v>
      </c>
      <c r="D241" s="296" t="s">
        <v>183</v>
      </c>
      <c r="E241" s="296" t="s">
        <v>183</v>
      </c>
      <c r="F241" s="296" t="s">
        <v>2330</v>
      </c>
      <c r="G241" s="296" t="s">
        <v>2331</v>
      </c>
      <c r="H241" s="296" t="s">
        <v>2332</v>
      </c>
      <c r="I241" s="296" t="s">
        <v>2274</v>
      </c>
      <c r="J241" s="296" t="s">
        <v>2333</v>
      </c>
      <c r="K241" s="296" t="s">
        <v>183</v>
      </c>
      <c r="L241" s="296" t="s">
        <v>183</v>
      </c>
      <c r="M241" s="296" t="s">
        <v>183</v>
      </c>
      <c r="N241" s="296" t="s">
        <v>2334</v>
      </c>
      <c r="O241" s="296" t="s">
        <v>183</v>
      </c>
      <c r="P241" s="296" t="s">
        <v>183</v>
      </c>
      <c r="Q241" s="296" t="s">
        <v>183</v>
      </c>
      <c r="R241" s="296" t="s">
        <v>183</v>
      </c>
      <c r="S241" s="296" t="s">
        <v>183</v>
      </c>
      <c r="T241" s="296" t="s">
        <v>183</v>
      </c>
      <c r="U241" s="296" t="s">
        <v>183</v>
      </c>
      <c r="V241" s="296" t="s">
        <v>183</v>
      </c>
      <c r="W241" s="296" t="s">
        <v>183</v>
      </c>
      <c r="X241" s="296" t="s">
        <v>183</v>
      </c>
      <c r="Y241" s="296" t="s">
        <v>183</v>
      </c>
      <c r="Z241" s="296" t="s">
        <v>183</v>
      </c>
      <c r="AA241" s="296" t="s">
        <v>183</v>
      </c>
      <c r="AB241" s="296" t="s">
        <v>183</v>
      </c>
      <c r="AC241" s="296" t="s">
        <v>183</v>
      </c>
      <c r="AD241" s="296" t="s">
        <v>2335</v>
      </c>
      <c r="AE241" s="296" t="s">
        <v>192</v>
      </c>
      <c r="AF241" s="296" t="s">
        <v>193</v>
      </c>
      <c r="AG241" s="296">
        <v>671437</v>
      </c>
      <c r="AH241" s="298">
        <v>38622</v>
      </c>
      <c r="AJ241" s="296" t="s">
        <v>194</v>
      </c>
      <c r="AK241" s="299">
        <f>COUNTIF($A$3:A$917,A241)</f>
        <v>1</v>
      </c>
    </row>
    <row r="242" spans="1:37" x14ac:dyDescent="0.25">
      <c r="A242" s="296">
        <v>504260822</v>
      </c>
      <c r="B242" s="296" t="s">
        <v>2336</v>
      </c>
      <c r="C242" s="296" t="s">
        <v>183</v>
      </c>
      <c r="D242" s="296" t="s">
        <v>183</v>
      </c>
      <c r="E242" s="296" t="s">
        <v>183</v>
      </c>
      <c r="F242" s="296" t="s">
        <v>2337</v>
      </c>
      <c r="G242" s="296" t="s">
        <v>2337</v>
      </c>
      <c r="H242" s="296" t="s">
        <v>2338</v>
      </c>
      <c r="I242" s="296" t="s">
        <v>2274</v>
      </c>
      <c r="J242" s="296" t="s">
        <v>2339</v>
      </c>
      <c r="K242" s="296" t="s">
        <v>183</v>
      </c>
      <c r="L242" s="296" t="s">
        <v>183</v>
      </c>
      <c r="M242" s="296" t="s">
        <v>183</v>
      </c>
      <c r="N242" s="296" t="s">
        <v>1271</v>
      </c>
      <c r="O242" s="296" t="s">
        <v>183</v>
      </c>
      <c r="P242" s="296" t="s">
        <v>183</v>
      </c>
      <c r="Q242" s="296" t="s">
        <v>183</v>
      </c>
      <c r="R242" s="296" t="s">
        <v>183</v>
      </c>
      <c r="S242" s="296" t="s">
        <v>183</v>
      </c>
      <c r="T242" s="296" t="s">
        <v>183</v>
      </c>
      <c r="U242" s="296" t="s">
        <v>183</v>
      </c>
      <c r="V242" s="296" t="s">
        <v>183</v>
      </c>
      <c r="W242" s="296" t="s">
        <v>183</v>
      </c>
      <c r="X242" s="296" t="s">
        <v>183</v>
      </c>
      <c r="Y242" s="296" t="s">
        <v>183</v>
      </c>
      <c r="Z242" s="296" t="s">
        <v>183</v>
      </c>
      <c r="AA242" s="296" t="s">
        <v>183</v>
      </c>
      <c r="AB242" s="296" t="s">
        <v>183</v>
      </c>
      <c r="AC242" s="296" t="s">
        <v>183</v>
      </c>
      <c r="AD242" s="296" t="s">
        <v>2340</v>
      </c>
      <c r="AE242" s="296" t="s">
        <v>192</v>
      </c>
      <c r="AF242" s="296" t="s">
        <v>193</v>
      </c>
      <c r="AG242" s="296">
        <v>0</v>
      </c>
      <c r="AH242" s="298">
        <v>44123</v>
      </c>
      <c r="AJ242" s="296" t="s">
        <v>194</v>
      </c>
      <c r="AK242" s="299">
        <f>COUNTIF($A$3:A$917,A242)</f>
        <v>1</v>
      </c>
    </row>
    <row r="243" spans="1:37" x14ac:dyDescent="0.25">
      <c r="A243" s="296">
        <v>3101039749</v>
      </c>
      <c r="B243" s="296" t="s">
        <v>2341</v>
      </c>
      <c r="C243" s="296" t="s">
        <v>183</v>
      </c>
      <c r="D243" s="296" t="s">
        <v>183</v>
      </c>
      <c r="E243" s="296" t="s">
        <v>183</v>
      </c>
      <c r="F243" s="296" t="s">
        <v>2342</v>
      </c>
      <c r="G243" s="296" t="s">
        <v>2343</v>
      </c>
      <c r="H243" s="296" t="s">
        <v>2344</v>
      </c>
      <c r="I243" s="296" t="s">
        <v>2274</v>
      </c>
      <c r="J243" s="296" t="s">
        <v>2345</v>
      </c>
      <c r="K243" s="296" t="s">
        <v>183</v>
      </c>
      <c r="L243" s="296" t="s">
        <v>183</v>
      </c>
      <c r="M243" s="296" t="s">
        <v>183</v>
      </c>
      <c r="N243" s="296" t="s">
        <v>2045</v>
      </c>
      <c r="O243" s="296" t="s">
        <v>183</v>
      </c>
      <c r="P243" s="296" t="s">
        <v>183</v>
      </c>
      <c r="Q243" s="296" t="s">
        <v>183</v>
      </c>
      <c r="R243" s="296" t="s">
        <v>183</v>
      </c>
      <c r="S243" s="296" t="s">
        <v>183</v>
      </c>
      <c r="T243" s="296" t="s">
        <v>183</v>
      </c>
      <c r="U243" s="296" t="s">
        <v>183</v>
      </c>
      <c r="V243" s="296" t="s">
        <v>183</v>
      </c>
      <c r="W243" s="296" t="s">
        <v>183</v>
      </c>
      <c r="X243" s="296" t="s">
        <v>183</v>
      </c>
      <c r="Y243" s="296" t="s">
        <v>183</v>
      </c>
      <c r="Z243" s="296" t="s">
        <v>183</v>
      </c>
      <c r="AA243" s="296" t="s">
        <v>183</v>
      </c>
      <c r="AB243" s="296" t="s">
        <v>183</v>
      </c>
      <c r="AC243" s="296" t="s">
        <v>183</v>
      </c>
      <c r="AD243" s="296" t="s">
        <v>2346</v>
      </c>
      <c r="AE243" s="296" t="s">
        <v>192</v>
      </c>
      <c r="AF243" s="296" t="s">
        <v>193</v>
      </c>
      <c r="AG243" s="296">
        <v>0</v>
      </c>
      <c r="AH243" s="298">
        <v>43655</v>
      </c>
      <c r="AJ243" s="296" t="s">
        <v>194</v>
      </c>
      <c r="AK243" s="299">
        <f>COUNTIF($A$3:A$917,A243)</f>
        <v>1</v>
      </c>
    </row>
    <row r="244" spans="1:37" x14ac:dyDescent="0.25">
      <c r="A244" s="296">
        <v>3102769846</v>
      </c>
      <c r="B244" s="296" t="s">
        <v>2347</v>
      </c>
      <c r="C244" s="296" t="s">
        <v>183</v>
      </c>
      <c r="D244" s="296" t="s">
        <v>183</v>
      </c>
      <c r="E244" s="296" t="s">
        <v>183</v>
      </c>
      <c r="F244" s="296" t="s">
        <v>2348</v>
      </c>
      <c r="G244" s="296" t="s">
        <v>2348</v>
      </c>
      <c r="H244" s="296" t="s">
        <v>2349</v>
      </c>
      <c r="I244" s="296" t="s">
        <v>2350</v>
      </c>
      <c r="J244" s="296" t="s">
        <v>2351</v>
      </c>
      <c r="K244" s="296" t="s">
        <v>2352</v>
      </c>
      <c r="L244" s="296" t="s">
        <v>2353</v>
      </c>
      <c r="M244" s="296" t="s">
        <v>179</v>
      </c>
      <c r="N244" s="296" t="s">
        <v>2354</v>
      </c>
      <c r="O244" s="296" t="s">
        <v>183</v>
      </c>
      <c r="P244" s="296" t="s">
        <v>2355</v>
      </c>
      <c r="Q244" s="296" t="s">
        <v>183</v>
      </c>
      <c r="R244" s="296" t="s">
        <v>2356</v>
      </c>
      <c r="S244" s="296" t="s">
        <v>185</v>
      </c>
      <c r="T244" s="296" t="s">
        <v>185</v>
      </c>
      <c r="U244" s="296" t="s">
        <v>186</v>
      </c>
      <c r="V244" s="296" t="s">
        <v>187</v>
      </c>
      <c r="W244" s="296" t="s">
        <v>188</v>
      </c>
      <c r="X244" s="296" t="s">
        <v>308</v>
      </c>
      <c r="Y244" s="296" t="s">
        <v>183</v>
      </c>
      <c r="Z244" s="296" t="s">
        <v>183</v>
      </c>
      <c r="AA244" s="296" t="s">
        <v>183</v>
      </c>
      <c r="AB244" s="296" t="s">
        <v>183</v>
      </c>
      <c r="AC244" s="296" t="s">
        <v>2357</v>
      </c>
      <c r="AD244" s="296" t="s">
        <v>2358</v>
      </c>
      <c r="AE244" s="296" t="s">
        <v>192</v>
      </c>
      <c r="AF244" s="296" t="s">
        <v>193</v>
      </c>
      <c r="AG244" s="296">
        <v>0</v>
      </c>
      <c r="AH244" s="298">
        <v>44602</v>
      </c>
      <c r="AJ244" s="296" t="s">
        <v>194</v>
      </c>
      <c r="AK244" s="299">
        <f>COUNTIF($A$3:A$917,A244)</f>
        <v>2</v>
      </c>
    </row>
    <row r="245" spans="1:37" x14ac:dyDescent="0.25">
      <c r="A245" s="296">
        <v>206880436</v>
      </c>
      <c r="B245" s="296" t="s">
        <v>2359</v>
      </c>
      <c r="C245" s="296" t="s">
        <v>183</v>
      </c>
      <c r="D245" s="296" t="s">
        <v>183</v>
      </c>
      <c r="E245" s="296" t="s">
        <v>183</v>
      </c>
      <c r="F245" s="296" t="s">
        <v>2360</v>
      </c>
      <c r="G245" s="296" t="s">
        <v>2361</v>
      </c>
      <c r="H245" s="296" t="s">
        <v>2362</v>
      </c>
      <c r="I245" s="296" t="s">
        <v>2363</v>
      </c>
      <c r="J245" s="296" t="s">
        <v>2364</v>
      </c>
      <c r="K245" s="296" t="s">
        <v>2365</v>
      </c>
      <c r="L245" s="296" t="s">
        <v>2359</v>
      </c>
      <c r="M245" s="296" t="s">
        <v>179</v>
      </c>
      <c r="N245" s="296" t="s">
        <v>2360</v>
      </c>
      <c r="O245" s="296" t="s">
        <v>2361</v>
      </c>
      <c r="P245" s="296" t="s">
        <v>2362</v>
      </c>
      <c r="Q245" s="296" t="s">
        <v>183</v>
      </c>
      <c r="R245" s="296" t="s">
        <v>2366</v>
      </c>
      <c r="S245" s="296" t="s">
        <v>185</v>
      </c>
      <c r="T245" s="296" t="s">
        <v>185</v>
      </c>
      <c r="U245" s="296" t="s">
        <v>186</v>
      </c>
      <c r="V245" s="296" t="s">
        <v>187</v>
      </c>
      <c r="W245" s="296" t="s">
        <v>188</v>
      </c>
      <c r="X245" s="296" t="s">
        <v>308</v>
      </c>
      <c r="Y245" s="296" t="s">
        <v>183</v>
      </c>
      <c r="Z245" s="296" t="s">
        <v>183</v>
      </c>
      <c r="AA245" s="296" t="s">
        <v>183</v>
      </c>
      <c r="AB245" s="296" t="s">
        <v>183</v>
      </c>
      <c r="AC245" s="296" t="s">
        <v>183</v>
      </c>
      <c r="AD245" s="296" t="s">
        <v>2367</v>
      </c>
      <c r="AE245" s="296" t="s">
        <v>192</v>
      </c>
      <c r="AF245" s="296" t="s">
        <v>193</v>
      </c>
      <c r="AG245" s="296">
        <v>14586</v>
      </c>
      <c r="AH245" s="298">
        <v>44081</v>
      </c>
      <c r="AJ245" s="296" t="s">
        <v>194</v>
      </c>
      <c r="AK245" s="299">
        <f>COUNTIF($A$3:A$917,A245)</f>
        <v>1</v>
      </c>
    </row>
    <row r="246" spans="1:37" x14ac:dyDescent="0.25">
      <c r="A246" s="296">
        <v>207480048</v>
      </c>
      <c r="B246" s="296" t="s">
        <v>2368</v>
      </c>
      <c r="C246" s="296" t="s">
        <v>183</v>
      </c>
      <c r="D246" s="296" t="s">
        <v>183</v>
      </c>
      <c r="E246" s="296" t="s">
        <v>183</v>
      </c>
      <c r="F246" s="296" t="s">
        <v>2369</v>
      </c>
      <c r="G246" s="296" t="s">
        <v>2369</v>
      </c>
      <c r="H246" s="296" t="s">
        <v>2370</v>
      </c>
      <c r="I246" s="296" t="s">
        <v>2363</v>
      </c>
      <c r="J246" s="296" t="s">
        <v>2371</v>
      </c>
      <c r="K246" s="296" t="s">
        <v>2372</v>
      </c>
      <c r="L246" s="296" t="s">
        <v>2373</v>
      </c>
      <c r="M246" s="296" t="s">
        <v>179</v>
      </c>
      <c r="N246" s="296" t="s">
        <v>2374</v>
      </c>
      <c r="O246" s="296" t="s">
        <v>183</v>
      </c>
      <c r="P246" s="296" t="s">
        <v>2375</v>
      </c>
      <c r="Q246" s="296" t="s">
        <v>183</v>
      </c>
      <c r="R246" s="296" t="s">
        <v>2376</v>
      </c>
      <c r="S246" s="296" t="s">
        <v>185</v>
      </c>
      <c r="T246" s="296" t="s">
        <v>185</v>
      </c>
      <c r="U246" s="296" t="s">
        <v>186</v>
      </c>
      <c r="V246" s="296" t="s">
        <v>187</v>
      </c>
      <c r="W246" s="296" t="s">
        <v>188</v>
      </c>
      <c r="X246" s="296" t="s">
        <v>189</v>
      </c>
      <c r="Y246" s="296" t="s">
        <v>183</v>
      </c>
      <c r="Z246" s="296" t="s">
        <v>183</v>
      </c>
      <c r="AA246" s="296" t="s">
        <v>183</v>
      </c>
      <c r="AB246" s="296" t="s">
        <v>183</v>
      </c>
      <c r="AC246" s="296" t="s">
        <v>2377</v>
      </c>
      <c r="AD246" s="296" t="s">
        <v>2378</v>
      </c>
      <c r="AE246" s="296" t="s">
        <v>192</v>
      </c>
      <c r="AF246" s="296" t="s">
        <v>193</v>
      </c>
      <c r="AG246" s="296">
        <v>0</v>
      </c>
      <c r="AH246" s="298">
        <v>43293</v>
      </c>
      <c r="AJ246" s="296" t="s">
        <v>194</v>
      </c>
      <c r="AK246" s="299">
        <f>COUNTIF($A$3:A$917,A246)</f>
        <v>1</v>
      </c>
    </row>
    <row r="247" spans="1:37" x14ac:dyDescent="0.25">
      <c r="A247" s="296">
        <v>114560169</v>
      </c>
      <c r="B247" s="296" t="s">
        <v>2379</v>
      </c>
      <c r="C247" s="296" t="s">
        <v>183</v>
      </c>
      <c r="D247" s="296" t="s">
        <v>183</v>
      </c>
      <c r="E247" s="296" t="s">
        <v>183</v>
      </c>
      <c r="F247" s="296" t="s">
        <v>2380</v>
      </c>
      <c r="G247" s="296" t="s">
        <v>2381</v>
      </c>
      <c r="H247" s="296" t="s">
        <v>2382</v>
      </c>
      <c r="I247" s="296" t="s">
        <v>2383</v>
      </c>
      <c r="J247" s="296" t="s">
        <v>2384</v>
      </c>
      <c r="K247" s="296" t="s">
        <v>2385</v>
      </c>
      <c r="L247" s="296" t="s">
        <v>2386</v>
      </c>
      <c r="M247" s="296" t="s">
        <v>179</v>
      </c>
      <c r="N247" s="296" t="s">
        <v>2387</v>
      </c>
      <c r="O247" s="296" t="s">
        <v>2388</v>
      </c>
      <c r="P247" s="296" t="s">
        <v>2389</v>
      </c>
      <c r="Q247" s="296" t="s">
        <v>183</v>
      </c>
      <c r="R247" s="296" t="s">
        <v>2390</v>
      </c>
      <c r="S247" s="296" t="s">
        <v>185</v>
      </c>
      <c r="T247" s="296" t="s">
        <v>185</v>
      </c>
      <c r="U247" s="296" t="s">
        <v>186</v>
      </c>
      <c r="V247" s="296" t="s">
        <v>187</v>
      </c>
      <c r="W247" s="296" t="s">
        <v>188</v>
      </c>
      <c r="X247" s="296" t="s">
        <v>189</v>
      </c>
      <c r="Y247" s="296" t="s">
        <v>183</v>
      </c>
      <c r="Z247" s="296" t="s">
        <v>183</v>
      </c>
      <c r="AA247" s="296" t="s">
        <v>183</v>
      </c>
      <c r="AB247" s="296" t="s">
        <v>183</v>
      </c>
      <c r="AC247" s="296" t="s">
        <v>2391</v>
      </c>
      <c r="AD247" s="296" t="s">
        <v>2392</v>
      </c>
      <c r="AE247" s="296" t="s">
        <v>192</v>
      </c>
      <c r="AF247" s="296" t="s">
        <v>193</v>
      </c>
      <c r="AG247" s="296">
        <v>28059.5</v>
      </c>
      <c r="AH247" s="298">
        <v>42550</v>
      </c>
      <c r="AJ247" s="296" t="s">
        <v>194</v>
      </c>
      <c r="AK247" s="299">
        <f>COUNTIF($A$3:A$917,A247)</f>
        <v>1</v>
      </c>
    </row>
    <row r="248" spans="1:37" x14ac:dyDescent="0.25">
      <c r="A248" s="296">
        <v>602880041</v>
      </c>
      <c r="B248" s="296" t="s">
        <v>2393</v>
      </c>
      <c r="C248" s="296" t="s">
        <v>183</v>
      </c>
      <c r="D248" s="296" t="s">
        <v>183</v>
      </c>
      <c r="E248" s="296" t="s">
        <v>183</v>
      </c>
      <c r="F248" s="296" t="s">
        <v>2394</v>
      </c>
      <c r="G248" s="296" t="s">
        <v>2395</v>
      </c>
      <c r="H248" s="296" t="s">
        <v>2396</v>
      </c>
      <c r="I248" s="296" t="s">
        <v>2397</v>
      </c>
      <c r="J248" s="296" t="s">
        <v>2398</v>
      </c>
      <c r="K248" s="296" t="s">
        <v>2399</v>
      </c>
      <c r="L248" s="296" t="s">
        <v>2400</v>
      </c>
      <c r="M248" s="296" t="s">
        <v>179</v>
      </c>
      <c r="N248" s="296" t="s">
        <v>2401</v>
      </c>
      <c r="O248" s="296" t="s">
        <v>183</v>
      </c>
      <c r="P248" s="296" t="s">
        <v>2402</v>
      </c>
      <c r="Q248" s="296" t="s">
        <v>183</v>
      </c>
      <c r="R248" s="296" t="s">
        <v>2403</v>
      </c>
      <c r="S248" s="296" t="s">
        <v>1041</v>
      </c>
      <c r="T248" s="296" t="s">
        <v>185</v>
      </c>
      <c r="U248" s="296" t="s">
        <v>186</v>
      </c>
      <c r="V248" s="296" t="s">
        <v>187</v>
      </c>
      <c r="W248" s="296" t="s">
        <v>188</v>
      </c>
      <c r="X248" s="296" t="s">
        <v>189</v>
      </c>
      <c r="Y248" s="296" t="s">
        <v>183</v>
      </c>
      <c r="Z248" s="296" t="s">
        <v>183</v>
      </c>
      <c r="AA248" s="296" t="s">
        <v>183</v>
      </c>
      <c r="AB248" s="296" t="s">
        <v>183</v>
      </c>
      <c r="AC248" s="296" t="s">
        <v>2404</v>
      </c>
      <c r="AD248" s="296" t="s">
        <v>2405</v>
      </c>
      <c r="AE248" s="296" t="s">
        <v>192</v>
      </c>
      <c r="AF248" s="296" t="s">
        <v>193</v>
      </c>
      <c r="AG248" s="296">
        <v>0</v>
      </c>
      <c r="AH248" s="298">
        <v>41373</v>
      </c>
      <c r="AJ248" s="296" t="s">
        <v>194</v>
      </c>
      <c r="AK248" s="299">
        <f>COUNTIF($A$3:A$917,A248)</f>
        <v>1</v>
      </c>
    </row>
    <row r="249" spans="1:37" x14ac:dyDescent="0.25">
      <c r="A249" s="296">
        <v>303810483</v>
      </c>
      <c r="B249" s="296" t="s">
        <v>2406</v>
      </c>
      <c r="C249" s="296" t="s">
        <v>183</v>
      </c>
      <c r="D249" s="296" t="s">
        <v>183</v>
      </c>
      <c r="E249" s="296" t="s">
        <v>183</v>
      </c>
      <c r="F249" s="296" t="s">
        <v>2407</v>
      </c>
      <c r="G249" s="296" t="s">
        <v>2407</v>
      </c>
      <c r="H249" s="296" t="s">
        <v>2408</v>
      </c>
      <c r="I249" s="296" t="s">
        <v>2409</v>
      </c>
      <c r="J249" s="296" t="s">
        <v>2410</v>
      </c>
      <c r="K249" s="296" t="s">
        <v>2411</v>
      </c>
      <c r="L249" s="296" t="s">
        <v>2412</v>
      </c>
      <c r="M249" s="296" t="s">
        <v>179</v>
      </c>
      <c r="N249" s="296" t="s">
        <v>2413</v>
      </c>
      <c r="O249" s="296" t="s">
        <v>183</v>
      </c>
      <c r="P249" s="296" t="s">
        <v>2414</v>
      </c>
      <c r="Q249" s="296" t="s">
        <v>183</v>
      </c>
      <c r="R249" s="296" t="s">
        <v>2415</v>
      </c>
      <c r="S249" s="296" t="s">
        <v>194</v>
      </c>
      <c r="T249" s="296" t="s">
        <v>185</v>
      </c>
      <c r="U249" s="296" t="s">
        <v>186</v>
      </c>
      <c r="V249" s="296" t="s">
        <v>187</v>
      </c>
      <c r="W249" s="296" t="s">
        <v>188</v>
      </c>
      <c r="X249" s="296" t="s">
        <v>189</v>
      </c>
      <c r="Y249" s="296" t="s">
        <v>183</v>
      </c>
      <c r="Z249" s="296" t="s">
        <v>183</v>
      </c>
      <c r="AA249" s="296" t="s">
        <v>183</v>
      </c>
      <c r="AB249" s="296" t="s">
        <v>183</v>
      </c>
      <c r="AC249" s="296" t="s">
        <v>2416</v>
      </c>
      <c r="AD249" s="296" t="s">
        <v>2417</v>
      </c>
      <c r="AE249" s="296" t="s">
        <v>192</v>
      </c>
      <c r="AF249" s="296" t="s">
        <v>193</v>
      </c>
      <c r="AG249" s="296">
        <v>47035</v>
      </c>
      <c r="AH249" s="298">
        <v>43284</v>
      </c>
      <c r="AJ249" s="296" t="s">
        <v>194</v>
      </c>
      <c r="AK249" s="299">
        <f>COUNTIF($A$3:A$917,A249)</f>
        <v>1</v>
      </c>
    </row>
    <row r="250" spans="1:37" x14ac:dyDescent="0.25">
      <c r="A250" s="296">
        <v>3102881198</v>
      </c>
      <c r="B250" s="296" t="s">
        <v>2418</v>
      </c>
      <c r="C250" s="296" t="s">
        <v>183</v>
      </c>
      <c r="D250" s="296" t="s">
        <v>183</v>
      </c>
      <c r="E250" s="296" t="s">
        <v>183</v>
      </c>
      <c r="F250" s="296" t="s">
        <v>2419</v>
      </c>
      <c r="G250" s="296" t="s">
        <v>183</v>
      </c>
      <c r="H250" s="296" t="s">
        <v>2420</v>
      </c>
      <c r="I250" s="296" t="s">
        <v>2421</v>
      </c>
      <c r="J250" s="296" t="s">
        <v>2422</v>
      </c>
      <c r="K250" s="296" t="s">
        <v>183</v>
      </c>
      <c r="L250" s="296" t="s">
        <v>183</v>
      </c>
      <c r="M250" s="296" t="s">
        <v>183</v>
      </c>
      <c r="N250" s="296" t="s">
        <v>2423</v>
      </c>
      <c r="O250" s="296" t="s">
        <v>183</v>
      </c>
      <c r="P250" s="296" t="s">
        <v>183</v>
      </c>
      <c r="Q250" s="296" t="s">
        <v>183</v>
      </c>
      <c r="R250" s="296" t="s">
        <v>183</v>
      </c>
      <c r="S250" s="296" t="s">
        <v>183</v>
      </c>
      <c r="T250" s="296" t="s">
        <v>183</v>
      </c>
      <c r="U250" s="296" t="s">
        <v>183</v>
      </c>
      <c r="V250" s="296" t="s">
        <v>183</v>
      </c>
      <c r="W250" s="296" t="s">
        <v>183</v>
      </c>
      <c r="X250" s="296" t="s">
        <v>183</v>
      </c>
      <c r="Y250" s="296" t="s">
        <v>183</v>
      </c>
      <c r="Z250" s="296" t="s">
        <v>183</v>
      </c>
      <c r="AA250" s="296" t="s">
        <v>183</v>
      </c>
      <c r="AB250" s="296" t="s">
        <v>183</v>
      </c>
      <c r="AC250" s="296" t="s">
        <v>183</v>
      </c>
      <c r="AD250" s="296" t="s">
        <v>2424</v>
      </c>
      <c r="AE250" s="296" t="s">
        <v>192</v>
      </c>
      <c r="AF250" s="296" t="s">
        <v>193</v>
      </c>
      <c r="AG250" s="296">
        <v>0</v>
      </c>
      <c r="AH250" s="298">
        <v>45504</v>
      </c>
      <c r="AJ250" s="296" t="s">
        <v>194</v>
      </c>
      <c r="AK250" s="299">
        <f>COUNTIF($A$3:A$917,A250)</f>
        <v>1</v>
      </c>
    </row>
    <row r="251" spans="1:37" x14ac:dyDescent="0.25">
      <c r="A251" s="296">
        <v>3101178681</v>
      </c>
      <c r="B251" s="296" t="s">
        <v>2425</v>
      </c>
      <c r="C251" s="296" t="s">
        <v>2426</v>
      </c>
      <c r="D251" s="296" t="s">
        <v>2427</v>
      </c>
      <c r="E251" s="296" t="s">
        <v>172</v>
      </c>
      <c r="F251" s="296" t="s">
        <v>2428</v>
      </c>
      <c r="G251" s="296" t="s">
        <v>2429</v>
      </c>
      <c r="H251" s="296" t="s">
        <v>2430</v>
      </c>
      <c r="I251" s="296" t="s">
        <v>2431</v>
      </c>
      <c r="J251" s="296" t="s">
        <v>2432</v>
      </c>
      <c r="K251" s="296" t="s">
        <v>2433</v>
      </c>
      <c r="L251" s="296" t="s">
        <v>2425</v>
      </c>
      <c r="M251" s="296" t="s">
        <v>179</v>
      </c>
      <c r="N251" s="296" t="s">
        <v>2428</v>
      </c>
      <c r="O251" s="296" t="s">
        <v>183</v>
      </c>
      <c r="P251" s="296" t="s">
        <v>2430</v>
      </c>
      <c r="Q251" s="296" t="s">
        <v>183</v>
      </c>
      <c r="R251" s="296" t="s">
        <v>2434</v>
      </c>
      <c r="S251" s="296" t="s">
        <v>185</v>
      </c>
      <c r="T251" s="296" t="s">
        <v>185</v>
      </c>
      <c r="U251" s="296" t="s">
        <v>186</v>
      </c>
      <c r="V251" s="296" t="s">
        <v>187</v>
      </c>
      <c r="W251" s="296" t="s">
        <v>188</v>
      </c>
      <c r="X251" s="296" t="s">
        <v>189</v>
      </c>
      <c r="Y251" s="296" t="s">
        <v>183</v>
      </c>
      <c r="Z251" s="296" t="s">
        <v>183</v>
      </c>
      <c r="AA251" s="296" t="s">
        <v>183</v>
      </c>
      <c r="AB251" s="296" t="s">
        <v>183</v>
      </c>
      <c r="AC251" s="296" t="s">
        <v>2435</v>
      </c>
      <c r="AD251" s="296" t="s">
        <v>2436</v>
      </c>
      <c r="AE251" s="296" t="s">
        <v>192</v>
      </c>
      <c r="AF251" s="296" t="s">
        <v>193</v>
      </c>
      <c r="AG251" s="296">
        <v>0</v>
      </c>
      <c r="AH251" s="298">
        <v>44991</v>
      </c>
      <c r="AJ251" s="296" t="s">
        <v>194</v>
      </c>
      <c r="AK251" s="299">
        <f>COUNTIF($A$3:A$917,A251)</f>
        <v>1</v>
      </c>
    </row>
    <row r="252" spans="1:37" x14ac:dyDescent="0.25">
      <c r="A252" s="296">
        <v>3101658564</v>
      </c>
      <c r="B252" s="296" t="s">
        <v>2437</v>
      </c>
      <c r="C252" s="296" t="s">
        <v>183</v>
      </c>
      <c r="D252" s="296" t="s">
        <v>183</v>
      </c>
      <c r="E252" s="296" t="s">
        <v>183</v>
      </c>
      <c r="F252" s="296" t="s">
        <v>2438</v>
      </c>
      <c r="G252" s="296" t="s">
        <v>1099</v>
      </c>
      <c r="H252" s="296" t="s">
        <v>2439</v>
      </c>
      <c r="I252" s="296" t="s">
        <v>2431</v>
      </c>
      <c r="J252" s="296" t="s">
        <v>2440</v>
      </c>
      <c r="K252" s="296" t="s">
        <v>2441</v>
      </c>
      <c r="L252" s="296" t="s">
        <v>2437</v>
      </c>
      <c r="M252" s="296" t="s">
        <v>179</v>
      </c>
      <c r="N252" s="296" t="s">
        <v>2438</v>
      </c>
      <c r="O252" s="296" t="s">
        <v>1099</v>
      </c>
      <c r="P252" s="296" t="s">
        <v>2439</v>
      </c>
      <c r="Q252" s="296" t="s">
        <v>183</v>
      </c>
      <c r="R252" s="296" t="s">
        <v>2442</v>
      </c>
      <c r="S252" s="296" t="s">
        <v>185</v>
      </c>
      <c r="T252" s="296" t="s">
        <v>185</v>
      </c>
      <c r="U252" s="296" t="s">
        <v>186</v>
      </c>
      <c r="V252" s="296" t="s">
        <v>187</v>
      </c>
      <c r="W252" s="296" t="s">
        <v>188</v>
      </c>
      <c r="X252" s="296" t="s">
        <v>573</v>
      </c>
      <c r="Y252" s="296" t="s">
        <v>183</v>
      </c>
      <c r="Z252" s="296" t="s">
        <v>183</v>
      </c>
      <c r="AA252" s="296" t="s">
        <v>183</v>
      </c>
      <c r="AB252" s="296" t="s">
        <v>183</v>
      </c>
      <c r="AC252" s="296" t="s">
        <v>2443</v>
      </c>
      <c r="AD252" s="296" t="s">
        <v>2444</v>
      </c>
      <c r="AE252" s="296" t="s">
        <v>192</v>
      </c>
      <c r="AF252" s="296" t="s">
        <v>193</v>
      </c>
      <c r="AG252" s="296">
        <v>35940</v>
      </c>
      <c r="AH252" s="298">
        <v>42712</v>
      </c>
      <c r="AJ252" s="296" t="s">
        <v>194</v>
      </c>
      <c r="AK252" s="299">
        <f>COUNTIF($A$3:A$917,A252)</f>
        <v>1</v>
      </c>
    </row>
    <row r="253" spans="1:37" x14ac:dyDescent="0.25">
      <c r="A253" s="296">
        <v>501560529</v>
      </c>
      <c r="B253" s="296" t="s">
        <v>2445</v>
      </c>
      <c r="C253" s="296" t="s">
        <v>183</v>
      </c>
      <c r="D253" s="296" t="s">
        <v>183</v>
      </c>
      <c r="E253" s="296" t="s">
        <v>183</v>
      </c>
      <c r="F253" s="296" t="s">
        <v>2446</v>
      </c>
      <c r="G253" s="296" t="s">
        <v>2447</v>
      </c>
      <c r="H253" s="296" t="s">
        <v>2448</v>
      </c>
      <c r="I253" s="296" t="s">
        <v>2431</v>
      </c>
      <c r="J253" s="296" t="s">
        <v>2449</v>
      </c>
      <c r="K253" s="296" t="s">
        <v>2450</v>
      </c>
      <c r="L253" s="296" t="s">
        <v>2451</v>
      </c>
      <c r="M253" s="296" t="s">
        <v>179</v>
      </c>
      <c r="N253" s="296" t="s">
        <v>2452</v>
      </c>
      <c r="O253" s="296" t="s">
        <v>2453</v>
      </c>
      <c r="P253" s="296" t="s">
        <v>2454</v>
      </c>
      <c r="Q253" s="296" t="s">
        <v>183</v>
      </c>
      <c r="R253" s="296" t="s">
        <v>2455</v>
      </c>
      <c r="S253" s="296" t="s">
        <v>185</v>
      </c>
      <c r="T253" s="296" t="s">
        <v>185</v>
      </c>
      <c r="U253" s="296" t="s">
        <v>186</v>
      </c>
      <c r="V253" s="296" t="s">
        <v>187</v>
      </c>
      <c r="W253" s="296" t="s">
        <v>188</v>
      </c>
      <c r="X253" s="296" t="s">
        <v>573</v>
      </c>
      <c r="Y253" s="296" t="s">
        <v>183</v>
      </c>
      <c r="Z253" s="296" t="s">
        <v>183</v>
      </c>
      <c r="AA253" s="296" t="s">
        <v>183</v>
      </c>
      <c r="AB253" s="296" t="s">
        <v>183</v>
      </c>
      <c r="AC253" s="296" t="s">
        <v>2456</v>
      </c>
      <c r="AD253" s="296" t="s">
        <v>2457</v>
      </c>
      <c r="AE253" s="296" t="s">
        <v>192</v>
      </c>
      <c r="AF253" s="296" t="s">
        <v>193</v>
      </c>
      <c r="AG253" s="296">
        <v>28576</v>
      </c>
      <c r="AH253" s="298">
        <v>36921</v>
      </c>
      <c r="AJ253" s="296" t="s">
        <v>194</v>
      </c>
      <c r="AK253" s="299">
        <f>COUNTIF($A$3:A$917,A253)</f>
        <v>1</v>
      </c>
    </row>
    <row r="254" spans="1:37" x14ac:dyDescent="0.25">
      <c r="A254" s="296">
        <v>3101221592</v>
      </c>
      <c r="B254" s="296" t="s">
        <v>2458</v>
      </c>
      <c r="C254" s="296" t="s">
        <v>183</v>
      </c>
      <c r="D254" s="296" t="s">
        <v>183</v>
      </c>
      <c r="E254" s="296" t="s">
        <v>183</v>
      </c>
      <c r="F254" s="296" t="s">
        <v>2459</v>
      </c>
      <c r="G254" s="296" t="s">
        <v>2460</v>
      </c>
      <c r="H254" s="296" t="s">
        <v>2461</v>
      </c>
      <c r="I254" s="296" t="s">
        <v>2431</v>
      </c>
      <c r="J254" s="296" t="s">
        <v>2462</v>
      </c>
      <c r="K254" s="296" t="s">
        <v>2463</v>
      </c>
      <c r="L254" s="296" t="s">
        <v>2464</v>
      </c>
      <c r="M254" s="296" t="s">
        <v>179</v>
      </c>
      <c r="N254" s="296" t="s">
        <v>2465</v>
      </c>
      <c r="O254" s="296" t="s">
        <v>2460</v>
      </c>
      <c r="P254" s="296" t="s">
        <v>2466</v>
      </c>
      <c r="Q254" s="296" t="s">
        <v>183</v>
      </c>
      <c r="R254" s="296" t="s">
        <v>2467</v>
      </c>
      <c r="S254" s="296" t="s">
        <v>185</v>
      </c>
      <c r="T254" s="296" t="s">
        <v>185</v>
      </c>
      <c r="U254" s="296" t="s">
        <v>186</v>
      </c>
      <c r="V254" s="296" t="s">
        <v>187</v>
      </c>
      <c r="W254" s="296" t="s">
        <v>188</v>
      </c>
      <c r="X254" s="296" t="s">
        <v>573</v>
      </c>
      <c r="Y254" s="296" t="s">
        <v>183</v>
      </c>
      <c r="Z254" s="296" t="s">
        <v>183</v>
      </c>
      <c r="AA254" s="296" t="s">
        <v>183</v>
      </c>
      <c r="AB254" s="296" t="s">
        <v>183</v>
      </c>
      <c r="AC254" s="296" t="s">
        <v>2468</v>
      </c>
      <c r="AD254" s="296" t="s">
        <v>2469</v>
      </c>
      <c r="AE254" s="296" t="s">
        <v>192</v>
      </c>
      <c r="AF254" s="296" t="s">
        <v>193</v>
      </c>
      <c r="AG254" s="296">
        <v>65100.5</v>
      </c>
      <c r="AH254" s="298">
        <v>39206</v>
      </c>
      <c r="AJ254" s="296" t="s">
        <v>194</v>
      </c>
      <c r="AK254" s="299">
        <f>COUNTIF($A$3:A$917,A254)</f>
        <v>1</v>
      </c>
    </row>
    <row r="255" spans="1:37" x14ac:dyDescent="0.25">
      <c r="A255" s="296">
        <v>603360652</v>
      </c>
      <c r="B255" s="296" t="s">
        <v>2470</v>
      </c>
      <c r="C255" s="296" t="s">
        <v>183</v>
      </c>
      <c r="D255" s="296" t="s">
        <v>183</v>
      </c>
      <c r="E255" s="296" t="s">
        <v>183</v>
      </c>
      <c r="F255" s="296" t="s">
        <v>2471</v>
      </c>
      <c r="G255" s="296" t="s">
        <v>183</v>
      </c>
      <c r="H255" s="296" t="s">
        <v>2472</v>
      </c>
      <c r="I255" s="296" t="s">
        <v>2473</v>
      </c>
      <c r="J255" s="296" t="s">
        <v>2474</v>
      </c>
      <c r="K255" s="296" t="s">
        <v>2475</v>
      </c>
      <c r="L255" s="296" t="s">
        <v>2476</v>
      </c>
      <c r="M255" s="296" t="s">
        <v>179</v>
      </c>
      <c r="N255" s="296" t="s">
        <v>2477</v>
      </c>
      <c r="O255" s="296" t="s">
        <v>2477</v>
      </c>
      <c r="P255" s="296" t="s">
        <v>183</v>
      </c>
      <c r="Q255" s="296" t="s">
        <v>183</v>
      </c>
      <c r="R255" s="296" t="s">
        <v>2478</v>
      </c>
      <c r="S255" s="296" t="s">
        <v>185</v>
      </c>
      <c r="T255" s="296" t="s">
        <v>185</v>
      </c>
      <c r="U255" s="296" t="s">
        <v>186</v>
      </c>
      <c r="V255" s="296" t="s">
        <v>187</v>
      </c>
      <c r="W255" s="296" t="s">
        <v>188</v>
      </c>
      <c r="X255" s="296" t="s">
        <v>404</v>
      </c>
      <c r="Y255" s="296" t="s">
        <v>183</v>
      </c>
      <c r="Z255" s="296" t="s">
        <v>183</v>
      </c>
      <c r="AA255" s="296" t="s">
        <v>183</v>
      </c>
      <c r="AB255" s="296" t="s">
        <v>183</v>
      </c>
      <c r="AC255" s="296" t="s">
        <v>2479</v>
      </c>
      <c r="AD255" s="296" t="s">
        <v>2480</v>
      </c>
      <c r="AE255" s="296" t="s">
        <v>192</v>
      </c>
      <c r="AF255" s="296" t="s">
        <v>193</v>
      </c>
      <c r="AG255" s="296">
        <v>0</v>
      </c>
      <c r="AH255" s="298">
        <v>45161</v>
      </c>
      <c r="AJ255" s="296" t="s">
        <v>194</v>
      </c>
      <c r="AK255" s="299">
        <f>COUNTIF($A$3:A$917,A255)</f>
        <v>1</v>
      </c>
    </row>
    <row r="256" spans="1:37" x14ac:dyDescent="0.25">
      <c r="A256" s="296">
        <v>501600013</v>
      </c>
      <c r="B256" s="296" t="s">
        <v>2481</v>
      </c>
      <c r="C256" s="296" t="s">
        <v>183</v>
      </c>
      <c r="D256" s="296" t="s">
        <v>183</v>
      </c>
      <c r="E256" s="296" t="s">
        <v>183</v>
      </c>
      <c r="F256" s="296" t="s">
        <v>2482</v>
      </c>
      <c r="G256" s="296" t="s">
        <v>2483</v>
      </c>
      <c r="H256" s="296" t="s">
        <v>2484</v>
      </c>
      <c r="I256" s="296" t="s">
        <v>2473</v>
      </c>
      <c r="J256" s="296" t="s">
        <v>2485</v>
      </c>
      <c r="K256" s="296" t="s">
        <v>2486</v>
      </c>
      <c r="L256" s="296" t="s">
        <v>2481</v>
      </c>
      <c r="M256" s="296" t="s">
        <v>179</v>
      </c>
      <c r="N256" s="296" t="s">
        <v>2482</v>
      </c>
      <c r="O256" s="296" t="s">
        <v>2483</v>
      </c>
      <c r="P256" s="296" t="s">
        <v>2484</v>
      </c>
      <c r="Q256" s="296" t="s">
        <v>183</v>
      </c>
      <c r="R256" s="296" t="s">
        <v>2487</v>
      </c>
      <c r="S256" s="296" t="s">
        <v>185</v>
      </c>
      <c r="T256" s="296" t="s">
        <v>185</v>
      </c>
      <c r="U256" s="296" t="s">
        <v>186</v>
      </c>
      <c r="V256" s="296" t="s">
        <v>187</v>
      </c>
      <c r="W256" s="296" t="s">
        <v>188</v>
      </c>
      <c r="X256" s="296" t="s">
        <v>189</v>
      </c>
      <c r="Y256" s="296" t="s">
        <v>183</v>
      </c>
      <c r="Z256" s="296" t="s">
        <v>183</v>
      </c>
      <c r="AA256" s="296" t="s">
        <v>183</v>
      </c>
      <c r="AB256" s="296" t="s">
        <v>183</v>
      </c>
      <c r="AC256" s="296" t="s">
        <v>2488</v>
      </c>
      <c r="AD256" s="296" t="s">
        <v>2489</v>
      </c>
      <c r="AE256" s="296" t="s">
        <v>192</v>
      </c>
      <c r="AF256" s="296" t="s">
        <v>193</v>
      </c>
      <c r="AG256" s="296">
        <v>14898</v>
      </c>
      <c r="AH256" s="298">
        <v>36577</v>
      </c>
      <c r="AJ256" s="296" t="s">
        <v>194</v>
      </c>
      <c r="AK256" s="299">
        <f>COUNTIF($A$3:A$917,A256)</f>
        <v>1</v>
      </c>
    </row>
    <row r="257" spans="1:37" x14ac:dyDescent="0.25">
      <c r="A257" s="296">
        <v>3002680397</v>
      </c>
      <c r="B257" s="296" t="s">
        <v>2490</v>
      </c>
      <c r="C257" s="296" t="s">
        <v>2491</v>
      </c>
      <c r="D257" s="296" t="s">
        <v>2492</v>
      </c>
      <c r="E257" s="296" t="s">
        <v>172</v>
      </c>
      <c r="F257" s="296" t="s">
        <v>2493</v>
      </c>
      <c r="G257" s="296" t="s">
        <v>183</v>
      </c>
      <c r="H257" s="296" t="s">
        <v>2430</v>
      </c>
      <c r="I257" s="296" t="s">
        <v>2494</v>
      </c>
      <c r="J257" s="296" t="s">
        <v>2494</v>
      </c>
      <c r="K257" s="296" t="s">
        <v>2495</v>
      </c>
      <c r="L257" s="296" t="s">
        <v>2490</v>
      </c>
      <c r="M257" s="296" t="s">
        <v>179</v>
      </c>
      <c r="N257" s="296" t="s">
        <v>2493</v>
      </c>
      <c r="O257" s="296" t="s">
        <v>2496</v>
      </c>
      <c r="P257" s="296" t="s">
        <v>2497</v>
      </c>
      <c r="Q257" s="296" t="s">
        <v>183</v>
      </c>
      <c r="R257" s="296" t="s">
        <v>2498</v>
      </c>
      <c r="S257" s="296" t="s">
        <v>185</v>
      </c>
      <c r="T257" s="296" t="s">
        <v>185</v>
      </c>
      <c r="U257" s="296" t="s">
        <v>186</v>
      </c>
      <c r="V257" s="296" t="s">
        <v>187</v>
      </c>
      <c r="W257" s="296" t="s">
        <v>188</v>
      </c>
      <c r="X257" s="296" t="s">
        <v>308</v>
      </c>
      <c r="Y257" s="296" t="s">
        <v>183</v>
      </c>
      <c r="Z257" s="296" t="s">
        <v>183</v>
      </c>
      <c r="AA257" s="296" t="s">
        <v>183</v>
      </c>
      <c r="AB257" s="296" t="s">
        <v>183</v>
      </c>
      <c r="AC257" s="296" t="s">
        <v>2499</v>
      </c>
      <c r="AD257" s="296" t="s">
        <v>2500</v>
      </c>
      <c r="AE257" s="296" t="s">
        <v>192</v>
      </c>
      <c r="AF257" s="296" t="s">
        <v>193</v>
      </c>
      <c r="AG257" s="296">
        <v>7780</v>
      </c>
      <c r="AH257" s="298">
        <v>44123</v>
      </c>
      <c r="AJ257" s="296" t="s">
        <v>194</v>
      </c>
      <c r="AK257" s="299">
        <f>COUNTIF($A$3:A$917,A257)</f>
        <v>1</v>
      </c>
    </row>
    <row r="258" spans="1:37" x14ac:dyDescent="0.25">
      <c r="A258" s="296">
        <v>800990737</v>
      </c>
      <c r="B258" s="296" t="s">
        <v>1842</v>
      </c>
      <c r="C258" s="296" t="s">
        <v>183</v>
      </c>
      <c r="D258" s="296" t="s">
        <v>183</v>
      </c>
      <c r="E258" s="296" t="s">
        <v>183</v>
      </c>
      <c r="F258" s="296" t="s">
        <v>1843</v>
      </c>
      <c r="G258" s="296" t="s">
        <v>1843</v>
      </c>
      <c r="H258" s="296" t="s">
        <v>1844</v>
      </c>
      <c r="I258" s="296" t="s">
        <v>2501</v>
      </c>
      <c r="J258" s="296" t="s">
        <v>2502</v>
      </c>
      <c r="K258" s="296" t="s">
        <v>1184</v>
      </c>
      <c r="L258" s="296" t="s">
        <v>1185</v>
      </c>
      <c r="M258" s="296" t="s">
        <v>179</v>
      </c>
      <c r="N258" s="296" t="s">
        <v>1186</v>
      </c>
      <c r="O258" s="296" t="s">
        <v>1186</v>
      </c>
      <c r="P258" s="296" t="s">
        <v>1187</v>
      </c>
      <c r="Q258" s="296" t="s">
        <v>183</v>
      </c>
      <c r="R258" s="296" t="s">
        <v>1188</v>
      </c>
      <c r="S258" s="296" t="s">
        <v>185</v>
      </c>
      <c r="T258" s="296" t="s">
        <v>185</v>
      </c>
      <c r="U258" s="296" t="s">
        <v>186</v>
      </c>
      <c r="V258" s="296" t="s">
        <v>187</v>
      </c>
      <c r="W258" s="296" t="s">
        <v>188</v>
      </c>
      <c r="X258" s="296" t="s">
        <v>404</v>
      </c>
      <c r="Y258" s="296" t="s">
        <v>183</v>
      </c>
      <c r="Z258" s="296" t="s">
        <v>183</v>
      </c>
      <c r="AA258" s="296" t="s">
        <v>183</v>
      </c>
      <c r="AB258" s="296" t="s">
        <v>183</v>
      </c>
      <c r="AC258" s="296" t="s">
        <v>1189</v>
      </c>
      <c r="AD258" s="296" t="s">
        <v>2503</v>
      </c>
      <c r="AE258" s="296" t="s">
        <v>192</v>
      </c>
      <c r="AF258" s="296" t="s">
        <v>193</v>
      </c>
      <c r="AG258" s="296">
        <v>0</v>
      </c>
      <c r="AH258" s="298">
        <v>45793</v>
      </c>
      <c r="AJ258" s="296" t="s">
        <v>194</v>
      </c>
      <c r="AK258" s="299">
        <f>COUNTIF($A$3:A$917,A258)</f>
        <v>4</v>
      </c>
    </row>
    <row r="259" spans="1:37" x14ac:dyDescent="0.25">
      <c r="A259" s="296">
        <v>3101284439</v>
      </c>
      <c r="B259" s="296" t="s">
        <v>2504</v>
      </c>
      <c r="C259" s="296" t="s">
        <v>183</v>
      </c>
      <c r="D259" s="296" t="s">
        <v>183</v>
      </c>
      <c r="E259" s="296" t="s">
        <v>183</v>
      </c>
      <c r="F259" s="296" t="s">
        <v>465</v>
      </c>
      <c r="G259" s="296" t="s">
        <v>2505</v>
      </c>
      <c r="H259" s="296" t="s">
        <v>2506</v>
      </c>
      <c r="I259" s="296" t="s">
        <v>2501</v>
      </c>
      <c r="J259" s="296" t="s">
        <v>2507</v>
      </c>
      <c r="K259" s="296" t="s">
        <v>2508</v>
      </c>
      <c r="L259" s="296" t="s">
        <v>2504</v>
      </c>
      <c r="M259" s="296" t="s">
        <v>179</v>
      </c>
      <c r="N259" s="296" t="s">
        <v>465</v>
      </c>
      <c r="O259" s="296" t="s">
        <v>2505</v>
      </c>
      <c r="P259" s="296" t="s">
        <v>2506</v>
      </c>
      <c r="Q259" s="296" t="s">
        <v>183</v>
      </c>
      <c r="R259" s="296" t="s">
        <v>2509</v>
      </c>
      <c r="S259" s="296" t="s">
        <v>185</v>
      </c>
      <c r="T259" s="296" t="s">
        <v>185</v>
      </c>
      <c r="U259" s="296" t="s">
        <v>186</v>
      </c>
      <c r="V259" s="296" t="s">
        <v>187</v>
      </c>
      <c r="W259" s="296" t="s">
        <v>188</v>
      </c>
      <c r="X259" s="296" t="s">
        <v>189</v>
      </c>
      <c r="Y259" s="296" t="s">
        <v>183</v>
      </c>
      <c r="Z259" s="296" t="s">
        <v>183</v>
      </c>
      <c r="AA259" s="296" t="s">
        <v>183</v>
      </c>
      <c r="AB259" s="296" t="s">
        <v>183</v>
      </c>
      <c r="AC259" s="296" t="s">
        <v>2510</v>
      </c>
      <c r="AD259" s="296" t="s">
        <v>2511</v>
      </c>
      <c r="AE259" s="296" t="s">
        <v>192</v>
      </c>
      <c r="AF259" s="296" t="s">
        <v>193</v>
      </c>
      <c r="AG259" s="296">
        <v>0</v>
      </c>
      <c r="AH259" s="298">
        <v>43251</v>
      </c>
      <c r="AJ259" s="296" t="s">
        <v>194</v>
      </c>
      <c r="AK259" s="299">
        <f>COUNTIF($A$3:A$917,A259)</f>
        <v>2</v>
      </c>
    </row>
    <row r="260" spans="1:37" x14ac:dyDescent="0.25">
      <c r="A260" s="296">
        <v>3101284439</v>
      </c>
      <c r="B260" s="296" t="s">
        <v>2504</v>
      </c>
      <c r="C260" s="296" t="s">
        <v>183</v>
      </c>
      <c r="D260" s="296" t="s">
        <v>183</v>
      </c>
      <c r="E260" s="296" t="s">
        <v>183</v>
      </c>
      <c r="F260" s="296" t="s">
        <v>465</v>
      </c>
      <c r="G260" s="296" t="s">
        <v>2505</v>
      </c>
      <c r="H260" s="296" t="s">
        <v>2506</v>
      </c>
      <c r="I260" s="296" t="s">
        <v>2501</v>
      </c>
      <c r="J260" s="296" t="s">
        <v>2512</v>
      </c>
      <c r="K260" s="296" t="s">
        <v>2513</v>
      </c>
      <c r="L260" s="296" t="s">
        <v>2514</v>
      </c>
      <c r="M260" s="296" t="s">
        <v>179</v>
      </c>
      <c r="N260" s="296" t="s">
        <v>278</v>
      </c>
      <c r="O260" s="296" t="s">
        <v>278</v>
      </c>
      <c r="P260" s="296" t="s">
        <v>183</v>
      </c>
      <c r="Q260" s="296" t="s">
        <v>183</v>
      </c>
      <c r="R260" s="296" t="s">
        <v>2515</v>
      </c>
      <c r="S260" s="296" t="s">
        <v>185</v>
      </c>
      <c r="T260" s="296" t="s">
        <v>185</v>
      </c>
      <c r="U260" s="296" t="s">
        <v>186</v>
      </c>
      <c r="V260" s="296" t="s">
        <v>187</v>
      </c>
      <c r="W260" s="296" t="s">
        <v>188</v>
      </c>
      <c r="X260" s="296" t="s">
        <v>189</v>
      </c>
      <c r="Y260" s="296" t="s">
        <v>183</v>
      </c>
      <c r="Z260" s="296" t="s">
        <v>183</v>
      </c>
      <c r="AA260" s="296" t="s">
        <v>183</v>
      </c>
      <c r="AB260" s="296" t="s">
        <v>183</v>
      </c>
      <c r="AC260" s="296" t="s">
        <v>2516</v>
      </c>
      <c r="AD260" s="296" t="s">
        <v>2517</v>
      </c>
      <c r="AE260" s="296" t="s">
        <v>192</v>
      </c>
      <c r="AF260" s="296" t="s">
        <v>193</v>
      </c>
      <c r="AG260" s="296">
        <v>0</v>
      </c>
      <c r="AH260" s="298">
        <v>44258</v>
      </c>
      <c r="AJ260" s="296" t="s">
        <v>194</v>
      </c>
      <c r="AK260" s="299">
        <f>COUNTIF($A$3:A$917,A260)</f>
        <v>2</v>
      </c>
    </row>
    <row r="261" spans="1:37" x14ac:dyDescent="0.25">
      <c r="A261" s="296">
        <v>3101136462</v>
      </c>
      <c r="B261" s="296" t="s">
        <v>2518</v>
      </c>
      <c r="C261" s="296" t="s">
        <v>2519</v>
      </c>
      <c r="D261" s="296" t="s">
        <v>2520</v>
      </c>
      <c r="E261" s="296" t="s">
        <v>172</v>
      </c>
      <c r="F261" s="296" t="s">
        <v>2521</v>
      </c>
      <c r="G261" s="296" t="s">
        <v>278</v>
      </c>
      <c r="H261" s="296" t="s">
        <v>2522</v>
      </c>
      <c r="I261" s="296" t="s">
        <v>2501</v>
      </c>
      <c r="J261" s="296" t="s">
        <v>2523</v>
      </c>
      <c r="K261" s="296" t="s">
        <v>862</v>
      </c>
      <c r="L261" s="296" t="s">
        <v>863</v>
      </c>
      <c r="M261" s="296" t="s">
        <v>179</v>
      </c>
      <c r="N261" s="296" t="s">
        <v>465</v>
      </c>
      <c r="O261" s="296" t="s">
        <v>864</v>
      </c>
      <c r="P261" s="296" t="s">
        <v>865</v>
      </c>
      <c r="Q261" s="296" t="s">
        <v>183</v>
      </c>
      <c r="R261" s="296" t="s">
        <v>2524</v>
      </c>
      <c r="S261" s="296" t="s">
        <v>185</v>
      </c>
      <c r="T261" s="296" t="s">
        <v>185</v>
      </c>
      <c r="U261" s="296" t="s">
        <v>186</v>
      </c>
      <c r="V261" s="296" t="s">
        <v>187</v>
      </c>
      <c r="W261" s="296" t="s">
        <v>188</v>
      </c>
      <c r="X261" s="296" t="s">
        <v>189</v>
      </c>
      <c r="Y261" s="296" t="s">
        <v>183</v>
      </c>
      <c r="Z261" s="296" t="s">
        <v>183</v>
      </c>
      <c r="AA261" s="296" t="s">
        <v>183</v>
      </c>
      <c r="AB261" s="296" t="s">
        <v>183</v>
      </c>
      <c r="AC261" s="296" t="s">
        <v>2525</v>
      </c>
      <c r="AD261" s="296" t="s">
        <v>2526</v>
      </c>
      <c r="AE261" s="296" t="s">
        <v>192</v>
      </c>
      <c r="AF261" s="296" t="s">
        <v>193</v>
      </c>
      <c r="AG261" s="296">
        <v>1014541.4166666667</v>
      </c>
      <c r="AH261" s="298">
        <v>38999</v>
      </c>
      <c r="AJ261" s="296" t="s">
        <v>194</v>
      </c>
      <c r="AK261" s="299">
        <f>COUNTIF($A$3:A$917,A261)</f>
        <v>4</v>
      </c>
    </row>
    <row r="262" spans="1:37" x14ac:dyDescent="0.25">
      <c r="A262" s="296">
        <v>3101136462</v>
      </c>
      <c r="B262" s="296" t="s">
        <v>2518</v>
      </c>
      <c r="C262" s="296" t="s">
        <v>2519</v>
      </c>
      <c r="D262" s="296" t="s">
        <v>2520</v>
      </c>
      <c r="E262" s="296" t="s">
        <v>172</v>
      </c>
      <c r="F262" s="296" t="s">
        <v>2521</v>
      </c>
      <c r="G262" s="296" t="s">
        <v>278</v>
      </c>
      <c r="H262" s="296" t="s">
        <v>2522</v>
      </c>
      <c r="I262" s="296" t="s">
        <v>2501</v>
      </c>
      <c r="J262" s="296" t="s">
        <v>2527</v>
      </c>
      <c r="K262" s="296" t="s">
        <v>2528</v>
      </c>
      <c r="L262" s="296" t="s">
        <v>2529</v>
      </c>
      <c r="M262" s="296" t="s">
        <v>179</v>
      </c>
      <c r="N262" s="296" t="s">
        <v>2530</v>
      </c>
      <c r="O262" s="296" t="s">
        <v>2531</v>
      </c>
      <c r="P262" s="296" t="s">
        <v>2532</v>
      </c>
      <c r="Q262" s="296" t="s">
        <v>183</v>
      </c>
      <c r="R262" s="296" t="s">
        <v>2533</v>
      </c>
      <c r="S262" s="296" t="s">
        <v>185</v>
      </c>
      <c r="T262" s="296" t="s">
        <v>185</v>
      </c>
      <c r="U262" s="296" t="s">
        <v>186</v>
      </c>
      <c r="V262" s="296" t="s">
        <v>187</v>
      </c>
      <c r="W262" s="296" t="s">
        <v>188</v>
      </c>
      <c r="X262" s="296" t="s">
        <v>256</v>
      </c>
      <c r="Y262" s="296" t="s">
        <v>183</v>
      </c>
      <c r="Z262" s="296" t="s">
        <v>183</v>
      </c>
      <c r="AA262" s="296" t="s">
        <v>183</v>
      </c>
      <c r="AB262" s="296" t="s">
        <v>183</v>
      </c>
      <c r="AC262" s="296" t="s">
        <v>2534</v>
      </c>
      <c r="AD262" s="296" t="s">
        <v>2535</v>
      </c>
      <c r="AE262" s="296" t="s">
        <v>192</v>
      </c>
      <c r="AF262" s="296" t="s">
        <v>193</v>
      </c>
      <c r="AG262" s="296">
        <v>0</v>
      </c>
      <c r="AH262" s="298">
        <v>38999</v>
      </c>
      <c r="AJ262" s="296" t="s">
        <v>194</v>
      </c>
      <c r="AK262" s="299">
        <f>COUNTIF($A$3:A$917,A262)</f>
        <v>4</v>
      </c>
    </row>
    <row r="263" spans="1:37" x14ac:dyDescent="0.25">
      <c r="A263" s="296">
        <v>3101136462</v>
      </c>
      <c r="B263" s="296" t="s">
        <v>2518</v>
      </c>
      <c r="C263" s="296" t="s">
        <v>2519</v>
      </c>
      <c r="D263" s="296" t="s">
        <v>2520</v>
      </c>
      <c r="E263" s="296" t="s">
        <v>172</v>
      </c>
      <c r="F263" s="296" t="s">
        <v>2521</v>
      </c>
      <c r="G263" s="296" t="s">
        <v>278</v>
      </c>
      <c r="H263" s="296" t="s">
        <v>2522</v>
      </c>
      <c r="I263" s="296" t="s">
        <v>2501</v>
      </c>
      <c r="J263" s="296" t="s">
        <v>2536</v>
      </c>
      <c r="K263" s="296" t="s">
        <v>2537</v>
      </c>
      <c r="L263" s="296" t="s">
        <v>2538</v>
      </c>
      <c r="M263" s="296" t="s">
        <v>179</v>
      </c>
      <c r="N263" s="296" t="s">
        <v>2539</v>
      </c>
      <c r="O263" s="296" t="s">
        <v>2540</v>
      </c>
      <c r="P263" s="296" t="s">
        <v>2541</v>
      </c>
      <c r="Q263" s="296" t="s">
        <v>183</v>
      </c>
      <c r="R263" s="296" t="s">
        <v>2542</v>
      </c>
      <c r="S263" s="296" t="s">
        <v>185</v>
      </c>
      <c r="T263" s="296" t="s">
        <v>185</v>
      </c>
      <c r="U263" s="296" t="s">
        <v>186</v>
      </c>
      <c r="V263" s="296" t="s">
        <v>187</v>
      </c>
      <c r="W263" s="296" t="s">
        <v>188</v>
      </c>
      <c r="X263" s="296" t="s">
        <v>189</v>
      </c>
      <c r="Y263" s="296" t="s">
        <v>183</v>
      </c>
      <c r="Z263" s="296" t="s">
        <v>183</v>
      </c>
      <c r="AA263" s="296" t="s">
        <v>183</v>
      </c>
      <c r="AB263" s="296" t="s">
        <v>183</v>
      </c>
      <c r="AC263" s="296" t="s">
        <v>2543</v>
      </c>
      <c r="AD263" s="296" t="s">
        <v>2544</v>
      </c>
      <c r="AE263" s="296" t="s">
        <v>192</v>
      </c>
      <c r="AF263" s="296" t="s">
        <v>193</v>
      </c>
      <c r="AG263" s="296">
        <v>0</v>
      </c>
      <c r="AH263" s="298">
        <v>38999</v>
      </c>
      <c r="AJ263" s="296" t="s">
        <v>194</v>
      </c>
      <c r="AK263" s="299">
        <f>COUNTIF($A$3:A$917,A263)</f>
        <v>4</v>
      </c>
    </row>
    <row r="264" spans="1:37" x14ac:dyDescent="0.25">
      <c r="A264" s="296">
        <v>502390248</v>
      </c>
      <c r="B264" s="296" t="s">
        <v>2545</v>
      </c>
      <c r="C264" s="296" t="s">
        <v>183</v>
      </c>
      <c r="D264" s="296" t="s">
        <v>183</v>
      </c>
      <c r="E264" s="296" t="s">
        <v>183</v>
      </c>
      <c r="F264" s="296" t="s">
        <v>2546</v>
      </c>
      <c r="G264" s="296" t="s">
        <v>2547</v>
      </c>
      <c r="H264" s="296" t="s">
        <v>2548</v>
      </c>
      <c r="I264" s="296" t="s">
        <v>2501</v>
      </c>
      <c r="J264" s="296" t="s">
        <v>2549</v>
      </c>
      <c r="K264" s="296" t="s">
        <v>1085</v>
      </c>
      <c r="L264" s="296" t="s">
        <v>1086</v>
      </c>
      <c r="M264" s="296" t="s">
        <v>179</v>
      </c>
      <c r="N264" s="296" t="s">
        <v>1087</v>
      </c>
      <c r="O264" s="296" t="s">
        <v>1088</v>
      </c>
      <c r="P264" s="296" t="s">
        <v>1089</v>
      </c>
      <c r="Q264" s="296" t="s">
        <v>183</v>
      </c>
      <c r="R264" s="296" t="s">
        <v>1090</v>
      </c>
      <c r="S264" s="296" t="s">
        <v>185</v>
      </c>
      <c r="T264" s="296" t="s">
        <v>185</v>
      </c>
      <c r="U264" s="296" t="s">
        <v>186</v>
      </c>
      <c r="V264" s="296" t="s">
        <v>187</v>
      </c>
      <c r="W264" s="296" t="s">
        <v>188</v>
      </c>
      <c r="X264" s="296" t="s">
        <v>189</v>
      </c>
      <c r="Y264" s="296" t="s">
        <v>183</v>
      </c>
      <c r="Z264" s="296" t="s">
        <v>183</v>
      </c>
      <c r="AA264" s="296" t="s">
        <v>183</v>
      </c>
      <c r="AB264" s="296" t="s">
        <v>183</v>
      </c>
      <c r="AC264" s="296" t="s">
        <v>1091</v>
      </c>
      <c r="AD264" s="296" t="s">
        <v>2550</v>
      </c>
      <c r="AE264" s="296" t="s">
        <v>192</v>
      </c>
      <c r="AF264" s="296" t="s">
        <v>193</v>
      </c>
      <c r="AG264" s="296">
        <v>0</v>
      </c>
      <c r="AH264" s="298">
        <v>43418</v>
      </c>
      <c r="AJ264" s="296" t="s">
        <v>194</v>
      </c>
      <c r="AK264" s="299">
        <f>COUNTIF($A$3:A$917,A264)</f>
        <v>2</v>
      </c>
    </row>
    <row r="265" spans="1:37" x14ac:dyDescent="0.25">
      <c r="A265" s="296">
        <v>502520646</v>
      </c>
      <c r="B265" s="296" t="s">
        <v>2551</v>
      </c>
      <c r="C265" s="296" t="s">
        <v>183</v>
      </c>
      <c r="D265" s="296" t="s">
        <v>183</v>
      </c>
      <c r="E265" s="296" t="s">
        <v>183</v>
      </c>
      <c r="F265" s="296" t="s">
        <v>2552</v>
      </c>
      <c r="G265" s="296" t="s">
        <v>183</v>
      </c>
      <c r="H265" s="296" t="s">
        <v>2553</v>
      </c>
      <c r="I265" s="296" t="s">
        <v>2501</v>
      </c>
      <c r="J265" s="296" t="s">
        <v>2554</v>
      </c>
      <c r="K265" s="296" t="s">
        <v>2555</v>
      </c>
      <c r="L265" s="296" t="s">
        <v>2556</v>
      </c>
      <c r="M265" s="296" t="s">
        <v>179</v>
      </c>
      <c r="N265" s="296" t="s">
        <v>2557</v>
      </c>
      <c r="O265" s="296" t="s">
        <v>2557</v>
      </c>
      <c r="P265" s="296" t="s">
        <v>2558</v>
      </c>
      <c r="Q265" s="296" t="s">
        <v>183</v>
      </c>
      <c r="R265" s="296" t="s">
        <v>2559</v>
      </c>
      <c r="S265" s="296" t="s">
        <v>185</v>
      </c>
      <c r="T265" s="296" t="s">
        <v>185</v>
      </c>
      <c r="U265" s="296" t="s">
        <v>186</v>
      </c>
      <c r="V265" s="296" t="s">
        <v>187</v>
      </c>
      <c r="W265" s="296" t="s">
        <v>188</v>
      </c>
      <c r="X265" s="296" t="s">
        <v>188</v>
      </c>
      <c r="Y265" s="296" t="s">
        <v>183</v>
      </c>
      <c r="Z265" s="296" t="s">
        <v>183</v>
      </c>
      <c r="AA265" s="296" t="s">
        <v>183</v>
      </c>
      <c r="AB265" s="296" t="s">
        <v>183</v>
      </c>
      <c r="AC265" s="296" t="s">
        <v>2560</v>
      </c>
      <c r="AD265" s="296" t="s">
        <v>2561</v>
      </c>
      <c r="AE265" s="296" t="s">
        <v>192</v>
      </c>
      <c r="AF265" s="296" t="s">
        <v>193</v>
      </c>
      <c r="AG265" s="296">
        <v>14750</v>
      </c>
      <c r="AH265" s="298">
        <v>43515</v>
      </c>
      <c r="AJ265" s="296" t="s">
        <v>194</v>
      </c>
      <c r="AK265" s="299">
        <f>COUNTIF($A$3:A$917,A265)</f>
        <v>1</v>
      </c>
    </row>
    <row r="266" spans="1:37" x14ac:dyDescent="0.25">
      <c r="A266" s="296">
        <v>503500273</v>
      </c>
      <c r="B266" s="296" t="s">
        <v>2562</v>
      </c>
      <c r="C266" s="296" t="s">
        <v>183</v>
      </c>
      <c r="D266" s="296" t="s">
        <v>183</v>
      </c>
      <c r="E266" s="296" t="s">
        <v>183</v>
      </c>
      <c r="F266" s="296" t="s">
        <v>2563</v>
      </c>
      <c r="G266" s="296" t="s">
        <v>2563</v>
      </c>
      <c r="H266" s="296" t="s">
        <v>2564</v>
      </c>
      <c r="I266" s="296" t="s">
        <v>2501</v>
      </c>
      <c r="J266" s="296" t="s">
        <v>2565</v>
      </c>
      <c r="K266" s="296" t="s">
        <v>2566</v>
      </c>
      <c r="L266" s="296" t="s">
        <v>2562</v>
      </c>
      <c r="M266" s="296" t="s">
        <v>179</v>
      </c>
      <c r="N266" s="296" t="s">
        <v>2563</v>
      </c>
      <c r="O266" s="296" t="s">
        <v>2563</v>
      </c>
      <c r="P266" s="296" t="s">
        <v>2564</v>
      </c>
      <c r="Q266" s="296" t="s">
        <v>183</v>
      </c>
      <c r="R266" s="296" t="s">
        <v>2567</v>
      </c>
      <c r="S266" s="296" t="s">
        <v>185</v>
      </c>
      <c r="T266" s="296" t="s">
        <v>185</v>
      </c>
      <c r="U266" s="296" t="s">
        <v>186</v>
      </c>
      <c r="V266" s="296" t="s">
        <v>187</v>
      </c>
      <c r="W266" s="296" t="s">
        <v>188</v>
      </c>
      <c r="X266" s="296" t="s">
        <v>404</v>
      </c>
      <c r="Y266" s="296" t="s">
        <v>183</v>
      </c>
      <c r="Z266" s="296" t="s">
        <v>183</v>
      </c>
      <c r="AA266" s="296" t="s">
        <v>183</v>
      </c>
      <c r="AB266" s="296" t="s">
        <v>183</v>
      </c>
      <c r="AC266" s="296" t="s">
        <v>2568</v>
      </c>
      <c r="AD266" s="296" t="s">
        <v>2569</v>
      </c>
      <c r="AE266" s="296" t="s">
        <v>192</v>
      </c>
      <c r="AF266" s="296" t="s">
        <v>193</v>
      </c>
      <c r="AG266" s="296">
        <v>0</v>
      </c>
      <c r="AH266" s="298">
        <v>45028</v>
      </c>
      <c r="AJ266" s="296" t="s">
        <v>194</v>
      </c>
      <c r="AK266" s="299">
        <f>COUNTIF($A$3:A$917,A266)</f>
        <v>2</v>
      </c>
    </row>
    <row r="267" spans="1:37" x14ac:dyDescent="0.25">
      <c r="A267" s="296">
        <v>3101713585</v>
      </c>
      <c r="B267" s="296" t="s">
        <v>2570</v>
      </c>
      <c r="C267" s="296" t="s">
        <v>2571</v>
      </c>
      <c r="D267" s="296" t="s">
        <v>2572</v>
      </c>
      <c r="E267" s="296" t="s">
        <v>172</v>
      </c>
      <c r="F267" s="296" t="s">
        <v>2573</v>
      </c>
      <c r="G267" s="296" t="s">
        <v>183</v>
      </c>
      <c r="H267" s="296" t="s">
        <v>2574</v>
      </c>
      <c r="I267" s="296" t="s">
        <v>2501</v>
      </c>
      <c r="J267" s="296" t="s">
        <v>2575</v>
      </c>
      <c r="K267" s="296" t="s">
        <v>1085</v>
      </c>
      <c r="L267" s="296" t="s">
        <v>1086</v>
      </c>
      <c r="M267" s="296" t="s">
        <v>179</v>
      </c>
      <c r="N267" s="296" t="s">
        <v>1087</v>
      </c>
      <c r="O267" s="296" t="s">
        <v>1088</v>
      </c>
      <c r="P267" s="296" t="s">
        <v>1089</v>
      </c>
      <c r="Q267" s="296" t="s">
        <v>183</v>
      </c>
      <c r="R267" s="296" t="s">
        <v>1090</v>
      </c>
      <c r="S267" s="296" t="s">
        <v>185</v>
      </c>
      <c r="T267" s="296" t="s">
        <v>185</v>
      </c>
      <c r="U267" s="296" t="s">
        <v>186</v>
      </c>
      <c r="V267" s="296" t="s">
        <v>187</v>
      </c>
      <c r="W267" s="296" t="s">
        <v>188</v>
      </c>
      <c r="X267" s="296" t="s">
        <v>189</v>
      </c>
      <c r="Y267" s="296" t="s">
        <v>183</v>
      </c>
      <c r="Z267" s="296" t="s">
        <v>183</v>
      </c>
      <c r="AA267" s="296" t="s">
        <v>183</v>
      </c>
      <c r="AB267" s="296" t="s">
        <v>183</v>
      </c>
      <c r="AC267" s="296" t="s">
        <v>1091</v>
      </c>
      <c r="AD267" s="296" t="s">
        <v>2576</v>
      </c>
      <c r="AE267" s="296" t="s">
        <v>192</v>
      </c>
      <c r="AF267" s="296" t="s">
        <v>193</v>
      </c>
      <c r="AG267" s="296">
        <v>0</v>
      </c>
      <c r="AH267" s="298">
        <v>45069</v>
      </c>
      <c r="AJ267" s="296" t="s">
        <v>194</v>
      </c>
      <c r="AK267" s="299">
        <f>COUNTIF($A$3:A$917,A267)</f>
        <v>1</v>
      </c>
    </row>
    <row r="268" spans="1:37" x14ac:dyDescent="0.25">
      <c r="A268" s="296">
        <v>107620807</v>
      </c>
      <c r="B268" s="296" t="s">
        <v>2577</v>
      </c>
      <c r="C268" s="296" t="s">
        <v>183</v>
      </c>
      <c r="D268" s="296" t="s">
        <v>183</v>
      </c>
      <c r="E268" s="296" t="s">
        <v>183</v>
      </c>
      <c r="F268" s="296" t="s">
        <v>2578</v>
      </c>
      <c r="G268" s="296" t="s">
        <v>183</v>
      </c>
      <c r="H268" s="296" t="s">
        <v>2579</v>
      </c>
      <c r="I268" s="296" t="s">
        <v>2580</v>
      </c>
      <c r="J268" s="296" t="s">
        <v>2581</v>
      </c>
      <c r="K268" s="296" t="s">
        <v>2582</v>
      </c>
      <c r="L268" s="296" t="s">
        <v>2583</v>
      </c>
      <c r="M268" s="296" t="s">
        <v>179</v>
      </c>
      <c r="N268" s="296" t="s">
        <v>2584</v>
      </c>
      <c r="O268" s="296" t="s">
        <v>2584</v>
      </c>
      <c r="P268" s="296" t="s">
        <v>2585</v>
      </c>
      <c r="Q268" s="296" t="s">
        <v>183</v>
      </c>
      <c r="R268" s="296" t="s">
        <v>2586</v>
      </c>
      <c r="S268" s="296" t="s">
        <v>185</v>
      </c>
      <c r="T268" s="296" t="s">
        <v>185</v>
      </c>
      <c r="U268" s="296" t="s">
        <v>186</v>
      </c>
      <c r="V268" s="296" t="s">
        <v>187</v>
      </c>
      <c r="W268" s="296" t="s">
        <v>188</v>
      </c>
      <c r="X268" s="296" t="s">
        <v>189</v>
      </c>
      <c r="Y268" s="296" t="s">
        <v>183</v>
      </c>
      <c r="Z268" s="296" t="s">
        <v>183</v>
      </c>
      <c r="AA268" s="296" t="s">
        <v>183</v>
      </c>
      <c r="AB268" s="296" t="s">
        <v>183</v>
      </c>
      <c r="AC268" s="296" t="s">
        <v>2587</v>
      </c>
      <c r="AD268" s="296" t="s">
        <v>2588</v>
      </c>
      <c r="AE268" s="296" t="s">
        <v>192</v>
      </c>
      <c r="AF268" s="296" t="s">
        <v>193</v>
      </c>
      <c r="AG268" s="296">
        <v>0</v>
      </c>
      <c r="AH268" s="298">
        <v>43539</v>
      </c>
      <c r="AJ268" s="296" t="s">
        <v>194</v>
      </c>
      <c r="AK268" s="299">
        <f>COUNTIF($A$3:A$917,A268)</f>
        <v>2</v>
      </c>
    </row>
    <row r="269" spans="1:37" x14ac:dyDescent="0.25">
      <c r="A269" s="296">
        <v>501010510</v>
      </c>
      <c r="B269" s="296" t="s">
        <v>2589</v>
      </c>
      <c r="C269" s="296" t="s">
        <v>183</v>
      </c>
      <c r="D269" s="296" t="s">
        <v>183</v>
      </c>
      <c r="E269" s="296" t="s">
        <v>183</v>
      </c>
      <c r="F269" s="296" t="s">
        <v>2590</v>
      </c>
      <c r="G269" s="296" t="s">
        <v>2591</v>
      </c>
      <c r="H269" s="296" t="s">
        <v>2592</v>
      </c>
      <c r="I269" s="296" t="s">
        <v>2580</v>
      </c>
      <c r="J269" s="296" t="s">
        <v>2593</v>
      </c>
      <c r="K269" s="296" t="s">
        <v>2594</v>
      </c>
      <c r="L269" s="296" t="s">
        <v>2589</v>
      </c>
      <c r="M269" s="296" t="s">
        <v>179</v>
      </c>
      <c r="N269" s="296" t="s">
        <v>2590</v>
      </c>
      <c r="O269" s="296" t="s">
        <v>2591</v>
      </c>
      <c r="P269" s="296" t="s">
        <v>2592</v>
      </c>
      <c r="Q269" s="296" t="s">
        <v>183</v>
      </c>
      <c r="R269" s="296" t="s">
        <v>2595</v>
      </c>
      <c r="S269" s="296" t="s">
        <v>185</v>
      </c>
      <c r="T269" s="296" t="s">
        <v>185</v>
      </c>
      <c r="U269" s="296" t="s">
        <v>186</v>
      </c>
      <c r="V269" s="296" t="s">
        <v>187</v>
      </c>
      <c r="W269" s="296" t="s">
        <v>188</v>
      </c>
      <c r="X269" s="296" t="s">
        <v>189</v>
      </c>
      <c r="Y269" s="296" t="s">
        <v>183</v>
      </c>
      <c r="Z269" s="296" t="s">
        <v>183</v>
      </c>
      <c r="AA269" s="296" t="s">
        <v>183</v>
      </c>
      <c r="AB269" s="296" t="s">
        <v>183</v>
      </c>
      <c r="AC269" s="296" t="s">
        <v>2596</v>
      </c>
      <c r="AD269" s="296" t="s">
        <v>2597</v>
      </c>
      <c r="AE269" s="296" t="s">
        <v>192</v>
      </c>
      <c r="AF269" s="296" t="s">
        <v>193</v>
      </c>
      <c r="AG269" s="296">
        <v>0</v>
      </c>
      <c r="AH269" s="298">
        <v>36706</v>
      </c>
      <c r="AJ269" s="296" t="s">
        <v>194</v>
      </c>
      <c r="AK269" s="299">
        <f>COUNTIF($A$3:A$917,A269)</f>
        <v>1</v>
      </c>
    </row>
    <row r="270" spans="1:37" x14ac:dyDescent="0.25">
      <c r="A270" s="296">
        <v>501710873</v>
      </c>
      <c r="B270" s="296" t="s">
        <v>2598</v>
      </c>
      <c r="C270" s="296" t="s">
        <v>183</v>
      </c>
      <c r="D270" s="296" t="s">
        <v>183</v>
      </c>
      <c r="E270" s="296" t="s">
        <v>183</v>
      </c>
      <c r="F270" s="296" t="s">
        <v>2599</v>
      </c>
      <c r="G270" s="296" t="s">
        <v>2599</v>
      </c>
      <c r="H270" s="296" t="s">
        <v>2600</v>
      </c>
      <c r="I270" s="296" t="s">
        <v>2601</v>
      </c>
      <c r="J270" s="296" t="s">
        <v>2602</v>
      </c>
      <c r="K270" s="296" t="s">
        <v>2603</v>
      </c>
      <c r="L270" s="296" t="s">
        <v>2604</v>
      </c>
      <c r="M270" s="296" t="s">
        <v>179</v>
      </c>
      <c r="N270" s="296" t="s">
        <v>2605</v>
      </c>
      <c r="O270" s="296" t="s">
        <v>2605</v>
      </c>
      <c r="P270" s="296" t="s">
        <v>2606</v>
      </c>
      <c r="Q270" s="296" t="s">
        <v>183</v>
      </c>
      <c r="R270" s="296" t="s">
        <v>2607</v>
      </c>
      <c r="S270" s="296" t="s">
        <v>185</v>
      </c>
      <c r="T270" s="296" t="s">
        <v>185</v>
      </c>
      <c r="U270" s="296" t="s">
        <v>186</v>
      </c>
      <c r="V270" s="296" t="s">
        <v>187</v>
      </c>
      <c r="W270" s="296" t="s">
        <v>188</v>
      </c>
      <c r="X270" s="296" t="s">
        <v>189</v>
      </c>
      <c r="Y270" s="296" t="s">
        <v>183</v>
      </c>
      <c r="Z270" s="296" t="s">
        <v>183</v>
      </c>
      <c r="AA270" s="296" t="s">
        <v>183</v>
      </c>
      <c r="AB270" s="296" t="s">
        <v>183</v>
      </c>
      <c r="AC270" s="296" t="s">
        <v>2608</v>
      </c>
      <c r="AD270" s="296" t="s">
        <v>2609</v>
      </c>
      <c r="AE270" s="296" t="s">
        <v>192</v>
      </c>
      <c r="AF270" s="296" t="s">
        <v>193</v>
      </c>
      <c r="AG270" s="296">
        <v>0</v>
      </c>
      <c r="AH270" s="298">
        <v>45985</v>
      </c>
      <c r="AJ270" s="296" t="s">
        <v>194</v>
      </c>
      <c r="AK270" s="299">
        <f>COUNTIF($A$3:A$917,A270)</f>
        <v>1</v>
      </c>
    </row>
    <row r="271" spans="1:37" x14ac:dyDescent="0.25">
      <c r="A271" s="296">
        <v>3101597065</v>
      </c>
      <c r="B271" s="296" t="s">
        <v>2610</v>
      </c>
      <c r="C271" s="296" t="s">
        <v>2611</v>
      </c>
      <c r="D271" s="296" t="s">
        <v>2612</v>
      </c>
      <c r="E271" s="296" t="s">
        <v>172</v>
      </c>
      <c r="F271" s="296" t="s">
        <v>2084</v>
      </c>
      <c r="G271" s="296" t="s">
        <v>2084</v>
      </c>
      <c r="H271" s="296" t="s">
        <v>2613</v>
      </c>
      <c r="I271" s="296" t="s">
        <v>2614</v>
      </c>
      <c r="J271" s="296" t="s">
        <v>2615</v>
      </c>
      <c r="K271" s="296" t="s">
        <v>2616</v>
      </c>
      <c r="L271" s="296" t="s">
        <v>2610</v>
      </c>
      <c r="M271" s="296" t="s">
        <v>179</v>
      </c>
      <c r="N271" s="296" t="s">
        <v>2084</v>
      </c>
      <c r="O271" s="296" t="s">
        <v>2617</v>
      </c>
      <c r="P271" s="296" t="s">
        <v>2618</v>
      </c>
      <c r="Q271" s="296" t="s">
        <v>183</v>
      </c>
      <c r="R271" s="296" t="s">
        <v>2619</v>
      </c>
      <c r="S271" s="296" t="s">
        <v>185</v>
      </c>
      <c r="T271" s="296" t="s">
        <v>185</v>
      </c>
      <c r="U271" s="296" t="s">
        <v>186</v>
      </c>
      <c r="V271" s="296" t="s">
        <v>187</v>
      </c>
      <c r="W271" s="296" t="s">
        <v>188</v>
      </c>
      <c r="X271" s="296" t="s">
        <v>189</v>
      </c>
      <c r="Y271" s="296" t="s">
        <v>183</v>
      </c>
      <c r="Z271" s="296" t="s">
        <v>183</v>
      </c>
      <c r="AA271" s="296" t="s">
        <v>183</v>
      </c>
      <c r="AB271" s="296" t="s">
        <v>183</v>
      </c>
      <c r="AC271" s="296" t="s">
        <v>2620</v>
      </c>
      <c r="AD271" s="296" t="s">
        <v>2621</v>
      </c>
      <c r="AE271" s="296" t="s">
        <v>192</v>
      </c>
      <c r="AF271" s="296" t="s">
        <v>193</v>
      </c>
      <c r="AG271" s="296">
        <v>0</v>
      </c>
      <c r="AH271" s="298">
        <v>42325</v>
      </c>
      <c r="AJ271" s="296" t="s">
        <v>194</v>
      </c>
      <c r="AK271" s="299">
        <f>COUNTIF($A$3:A$917,A271)</f>
        <v>1</v>
      </c>
    </row>
    <row r="272" spans="1:37" x14ac:dyDescent="0.25">
      <c r="A272" s="296">
        <v>3101200613</v>
      </c>
      <c r="B272" s="296" t="s">
        <v>2622</v>
      </c>
      <c r="C272" s="296" t="s">
        <v>2623</v>
      </c>
      <c r="D272" s="296" t="s">
        <v>2624</v>
      </c>
      <c r="E272" s="296" t="s">
        <v>172</v>
      </c>
      <c r="F272" s="296" t="s">
        <v>2625</v>
      </c>
      <c r="G272" s="296" t="s">
        <v>278</v>
      </c>
      <c r="H272" s="296" t="s">
        <v>2626</v>
      </c>
      <c r="I272" s="296" t="s">
        <v>2614</v>
      </c>
      <c r="J272" s="296" t="s">
        <v>2627</v>
      </c>
      <c r="K272" s="296" t="s">
        <v>2628</v>
      </c>
      <c r="L272" s="296" t="s">
        <v>2622</v>
      </c>
      <c r="M272" s="296" t="s">
        <v>179</v>
      </c>
      <c r="N272" s="296" t="s">
        <v>2625</v>
      </c>
      <c r="O272" s="296" t="s">
        <v>2625</v>
      </c>
      <c r="P272" s="296" t="s">
        <v>2626</v>
      </c>
      <c r="Q272" s="296" t="s">
        <v>183</v>
      </c>
      <c r="R272" s="296" t="s">
        <v>2629</v>
      </c>
      <c r="S272" s="296" t="s">
        <v>185</v>
      </c>
      <c r="T272" s="296" t="s">
        <v>185</v>
      </c>
      <c r="U272" s="296" t="s">
        <v>186</v>
      </c>
      <c r="V272" s="296" t="s">
        <v>187</v>
      </c>
      <c r="W272" s="296" t="s">
        <v>188</v>
      </c>
      <c r="X272" s="296" t="s">
        <v>189</v>
      </c>
      <c r="Y272" s="296" t="s">
        <v>183</v>
      </c>
      <c r="Z272" s="296" t="s">
        <v>183</v>
      </c>
      <c r="AA272" s="296" t="s">
        <v>183</v>
      </c>
      <c r="AB272" s="296" t="s">
        <v>183</v>
      </c>
      <c r="AC272" s="296" t="s">
        <v>2630</v>
      </c>
      <c r="AD272" s="296" t="s">
        <v>2631</v>
      </c>
      <c r="AE272" s="296" t="s">
        <v>192</v>
      </c>
      <c r="AF272" s="296" t="s">
        <v>193</v>
      </c>
      <c r="AG272" s="296">
        <v>0</v>
      </c>
      <c r="AH272" s="298">
        <v>45218</v>
      </c>
      <c r="AJ272" s="296" t="s">
        <v>194</v>
      </c>
      <c r="AK272" s="299">
        <f>COUNTIF($A$3:A$917,A272)</f>
        <v>1</v>
      </c>
    </row>
    <row r="273" spans="1:37" x14ac:dyDescent="0.25">
      <c r="A273" s="296">
        <v>3101764724</v>
      </c>
      <c r="B273" s="296" t="s">
        <v>2632</v>
      </c>
      <c r="C273" s="296" t="s">
        <v>183</v>
      </c>
      <c r="D273" s="296" t="s">
        <v>183</v>
      </c>
      <c r="E273" s="296" t="s">
        <v>183</v>
      </c>
      <c r="F273" s="296" t="s">
        <v>2633</v>
      </c>
      <c r="G273" s="296" t="s">
        <v>2634</v>
      </c>
      <c r="H273" s="296" t="s">
        <v>2635</v>
      </c>
      <c r="I273" s="296" t="s">
        <v>2614</v>
      </c>
      <c r="J273" s="296" t="s">
        <v>2636</v>
      </c>
      <c r="K273" s="296" t="s">
        <v>2637</v>
      </c>
      <c r="L273" s="296" t="s">
        <v>2632</v>
      </c>
      <c r="M273" s="296" t="s">
        <v>179</v>
      </c>
      <c r="N273" s="296" t="s">
        <v>2633</v>
      </c>
      <c r="O273" s="296" t="s">
        <v>2634</v>
      </c>
      <c r="P273" s="296" t="s">
        <v>2635</v>
      </c>
      <c r="Q273" s="296" t="s">
        <v>183</v>
      </c>
      <c r="R273" s="296" t="s">
        <v>2638</v>
      </c>
      <c r="S273" s="296" t="s">
        <v>185</v>
      </c>
      <c r="T273" s="296" t="s">
        <v>185</v>
      </c>
      <c r="U273" s="296" t="s">
        <v>186</v>
      </c>
      <c r="V273" s="296" t="s">
        <v>187</v>
      </c>
      <c r="W273" s="296" t="s">
        <v>188</v>
      </c>
      <c r="X273" s="296" t="s">
        <v>256</v>
      </c>
      <c r="Y273" s="296" t="s">
        <v>183</v>
      </c>
      <c r="Z273" s="296" t="s">
        <v>183</v>
      </c>
      <c r="AA273" s="296" t="s">
        <v>183</v>
      </c>
      <c r="AB273" s="296" t="s">
        <v>183</v>
      </c>
      <c r="AC273" s="296" t="s">
        <v>2639</v>
      </c>
      <c r="AD273" s="296" t="s">
        <v>2640</v>
      </c>
      <c r="AE273" s="296" t="s">
        <v>192</v>
      </c>
      <c r="AF273" s="296" t="s">
        <v>193</v>
      </c>
      <c r="AG273" s="296">
        <v>75165</v>
      </c>
      <c r="AH273" s="298">
        <v>43508</v>
      </c>
      <c r="AJ273" s="296" t="s">
        <v>194</v>
      </c>
      <c r="AK273" s="299">
        <f>COUNTIF($A$3:A$917,A273)</f>
        <v>1</v>
      </c>
    </row>
    <row r="274" spans="1:37" x14ac:dyDescent="0.25">
      <c r="A274" s="296">
        <v>3101346218</v>
      </c>
      <c r="B274" s="296" t="s">
        <v>2641</v>
      </c>
      <c r="C274" s="296" t="s">
        <v>183</v>
      </c>
      <c r="D274" s="296" t="s">
        <v>183</v>
      </c>
      <c r="E274" s="296" t="s">
        <v>183</v>
      </c>
      <c r="F274" s="296" t="s">
        <v>2642</v>
      </c>
      <c r="G274" s="296" t="s">
        <v>2643</v>
      </c>
      <c r="H274" s="296" t="s">
        <v>2644</v>
      </c>
      <c r="I274" s="296" t="s">
        <v>2614</v>
      </c>
      <c r="J274" s="296" t="s">
        <v>2645</v>
      </c>
      <c r="K274" s="296" t="s">
        <v>2646</v>
      </c>
      <c r="L274" s="296" t="s">
        <v>2641</v>
      </c>
      <c r="M274" s="296" t="s">
        <v>179</v>
      </c>
      <c r="N274" s="296" t="s">
        <v>2642</v>
      </c>
      <c r="O274" s="296" t="s">
        <v>2643</v>
      </c>
      <c r="P274" s="296" t="s">
        <v>2644</v>
      </c>
      <c r="Q274" s="296" t="s">
        <v>183</v>
      </c>
      <c r="R274" s="296" t="s">
        <v>2647</v>
      </c>
      <c r="S274" s="296" t="s">
        <v>185</v>
      </c>
      <c r="T274" s="296" t="s">
        <v>185</v>
      </c>
      <c r="U274" s="296" t="s">
        <v>186</v>
      </c>
      <c r="V274" s="296" t="s">
        <v>187</v>
      </c>
      <c r="W274" s="296" t="s">
        <v>188</v>
      </c>
      <c r="X274" s="296" t="s">
        <v>189</v>
      </c>
      <c r="Y274" s="296" t="s">
        <v>183</v>
      </c>
      <c r="Z274" s="296" t="s">
        <v>183</v>
      </c>
      <c r="AA274" s="296" t="s">
        <v>183</v>
      </c>
      <c r="AB274" s="296" t="s">
        <v>183</v>
      </c>
      <c r="AC274" s="296" t="s">
        <v>2648</v>
      </c>
      <c r="AD274" s="296" t="s">
        <v>2649</v>
      </c>
      <c r="AE274" s="296" t="s">
        <v>192</v>
      </c>
      <c r="AF274" s="296" t="s">
        <v>193</v>
      </c>
      <c r="AG274" s="296">
        <v>0</v>
      </c>
      <c r="AH274" s="298">
        <v>36615</v>
      </c>
      <c r="AJ274" s="296" t="s">
        <v>194</v>
      </c>
      <c r="AK274" s="299">
        <f>COUNTIF($A$3:A$917,A274)</f>
        <v>1</v>
      </c>
    </row>
    <row r="275" spans="1:37" x14ac:dyDescent="0.25">
      <c r="A275" s="296">
        <v>503350283</v>
      </c>
      <c r="B275" s="296" t="s">
        <v>2650</v>
      </c>
      <c r="C275" s="296" t="s">
        <v>183</v>
      </c>
      <c r="D275" s="296" t="s">
        <v>183</v>
      </c>
      <c r="E275" s="296" t="s">
        <v>183</v>
      </c>
      <c r="F275" s="296" t="s">
        <v>2651</v>
      </c>
      <c r="G275" s="296" t="s">
        <v>2651</v>
      </c>
      <c r="H275" s="296" t="s">
        <v>2652</v>
      </c>
      <c r="I275" s="296" t="s">
        <v>2653</v>
      </c>
      <c r="J275" s="296" t="s">
        <v>2654</v>
      </c>
      <c r="K275" s="296" t="s">
        <v>2655</v>
      </c>
      <c r="L275" s="296" t="s">
        <v>2650</v>
      </c>
      <c r="M275" s="296" t="s">
        <v>179</v>
      </c>
      <c r="N275" s="296" t="s">
        <v>2651</v>
      </c>
      <c r="O275" s="296" t="s">
        <v>2651</v>
      </c>
      <c r="P275" s="296" t="s">
        <v>2652</v>
      </c>
      <c r="Q275" s="296" t="s">
        <v>183</v>
      </c>
      <c r="R275" s="296" t="s">
        <v>2656</v>
      </c>
      <c r="S275" s="296" t="s">
        <v>185</v>
      </c>
      <c r="T275" s="296" t="s">
        <v>185</v>
      </c>
      <c r="U275" s="296" t="s">
        <v>186</v>
      </c>
      <c r="V275" s="296" t="s">
        <v>187</v>
      </c>
      <c r="W275" s="296" t="s">
        <v>188</v>
      </c>
      <c r="X275" s="296" t="s">
        <v>256</v>
      </c>
      <c r="Y275" s="296" t="s">
        <v>183</v>
      </c>
      <c r="Z275" s="296" t="s">
        <v>183</v>
      </c>
      <c r="AA275" s="296" t="s">
        <v>183</v>
      </c>
      <c r="AB275" s="296" t="s">
        <v>183</v>
      </c>
      <c r="AC275" s="296" t="s">
        <v>2657</v>
      </c>
      <c r="AD275" s="296" t="s">
        <v>2658</v>
      </c>
      <c r="AE275" s="296" t="s">
        <v>192</v>
      </c>
      <c r="AF275" s="296" t="s">
        <v>193</v>
      </c>
      <c r="AG275" s="296">
        <v>0</v>
      </c>
      <c r="AH275" s="298">
        <v>45323</v>
      </c>
      <c r="AJ275" s="296" t="s">
        <v>194</v>
      </c>
      <c r="AK275" s="299">
        <f>COUNTIF($A$3:A$917,A275)</f>
        <v>1</v>
      </c>
    </row>
    <row r="276" spans="1:37" x14ac:dyDescent="0.25">
      <c r="A276" s="296">
        <v>602360287</v>
      </c>
      <c r="B276" s="296" t="s">
        <v>2659</v>
      </c>
      <c r="C276" s="296" t="s">
        <v>183</v>
      </c>
      <c r="D276" s="296" t="s">
        <v>183</v>
      </c>
      <c r="E276" s="296" t="s">
        <v>183</v>
      </c>
      <c r="F276" s="296" t="s">
        <v>2660</v>
      </c>
      <c r="G276" s="296" t="s">
        <v>2660</v>
      </c>
      <c r="H276" s="296" t="s">
        <v>2661</v>
      </c>
      <c r="I276" s="296" t="s">
        <v>2653</v>
      </c>
      <c r="J276" s="296" t="s">
        <v>2662</v>
      </c>
      <c r="K276" s="296" t="s">
        <v>2663</v>
      </c>
      <c r="L276" s="296" t="s">
        <v>2659</v>
      </c>
      <c r="M276" s="296" t="s">
        <v>179</v>
      </c>
      <c r="N276" s="296" t="s">
        <v>2660</v>
      </c>
      <c r="O276" s="296" t="s">
        <v>2660</v>
      </c>
      <c r="P276" s="296" t="s">
        <v>2661</v>
      </c>
      <c r="Q276" s="296" t="s">
        <v>183</v>
      </c>
      <c r="R276" s="296" t="s">
        <v>2664</v>
      </c>
      <c r="S276" s="296" t="s">
        <v>185</v>
      </c>
      <c r="T276" s="296" t="s">
        <v>185</v>
      </c>
      <c r="U276" s="296" t="s">
        <v>186</v>
      </c>
      <c r="V276" s="296" t="s">
        <v>187</v>
      </c>
      <c r="W276" s="296" t="s">
        <v>188</v>
      </c>
      <c r="X276" s="296" t="s">
        <v>246</v>
      </c>
      <c r="Y276" s="296" t="s">
        <v>183</v>
      </c>
      <c r="Z276" s="296" t="s">
        <v>183</v>
      </c>
      <c r="AA276" s="296" t="s">
        <v>183</v>
      </c>
      <c r="AB276" s="296" t="s">
        <v>183</v>
      </c>
      <c r="AC276" s="296" t="s">
        <v>2665</v>
      </c>
      <c r="AD276" s="296" t="s">
        <v>2666</v>
      </c>
      <c r="AE276" s="296" t="s">
        <v>192</v>
      </c>
      <c r="AF276" s="296" t="s">
        <v>193</v>
      </c>
      <c r="AG276" s="296">
        <v>0</v>
      </c>
      <c r="AH276" s="298">
        <v>44797</v>
      </c>
      <c r="AJ276" s="296" t="s">
        <v>194</v>
      </c>
      <c r="AK276" s="299">
        <f>COUNTIF($A$3:A$917,A276)</f>
        <v>2</v>
      </c>
    </row>
    <row r="277" spans="1:37" x14ac:dyDescent="0.25">
      <c r="A277" s="296">
        <v>603140285</v>
      </c>
      <c r="B277" s="296" t="s">
        <v>2667</v>
      </c>
      <c r="C277" s="296" t="s">
        <v>183</v>
      </c>
      <c r="D277" s="296" t="s">
        <v>183</v>
      </c>
      <c r="E277" s="296" t="s">
        <v>183</v>
      </c>
      <c r="F277" s="296" t="s">
        <v>2668</v>
      </c>
      <c r="G277" s="296" t="s">
        <v>2669</v>
      </c>
      <c r="H277" s="296" t="s">
        <v>2670</v>
      </c>
      <c r="I277" s="296" t="s">
        <v>2671</v>
      </c>
      <c r="J277" s="296" t="s">
        <v>2672</v>
      </c>
      <c r="K277" s="296" t="s">
        <v>355</v>
      </c>
      <c r="L277" s="296" t="s">
        <v>356</v>
      </c>
      <c r="M277" s="296" t="s">
        <v>179</v>
      </c>
      <c r="N277" s="296" t="s">
        <v>278</v>
      </c>
      <c r="O277" s="296" t="s">
        <v>278</v>
      </c>
      <c r="P277" s="296" t="s">
        <v>183</v>
      </c>
      <c r="Q277" s="296" t="s">
        <v>183</v>
      </c>
      <c r="R277" s="296" t="s">
        <v>2673</v>
      </c>
      <c r="S277" s="296" t="s">
        <v>185</v>
      </c>
      <c r="T277" s="296" t="s">
        <v>185</v>
      </c>
      <c r="U277" s="296" t="s">
        <v>186</v>
      </c>
      <c r="V277" s="296" t="s">
        <v>187</v>
      </c>
      <c r="W277" s="296" t="s">
        <v>188</v>
      </c>
      <c r="X277" s="296" t="s">
        <v>189</v>
      </c>
      <c r="Y277" s="296" t="s">
        <v>183</v>
      </c>
      <c r="Z277" s="296" t="s">
        <v>183</v>
      </c>
      <c r="AA277" s="296" t="s">
        <v>183</v>
      </c>
      <c r="AB277" s="296" t="s">
        <v>183</v>
      </c>
      <c r="AC277" s="296" t="s">
        <v>2674</v>
      </c>
      <c r="AD277" s="296" t="s">
        <v>2675</v>
      </c>
      <c r="AE277" s="296" t="s">
        <v>192</v>
      </c>
      <c r="AF277" s="296" t="s">
        <v>193</v>
      </c>
      <c r="AG277" s="296">
        <v>87797</v>
      </c>
      <c r="AH277" s="298">
        <v>43206</v>
      </c>
      <c r="AJ277" s="296" t="s">
        <v>194</v>
      </c>
      <c r="AK277" s="299">
        <f>COUNTIF($A$3:A$917,A277)</f>
        <v>1</v>
      </c>
    </row>
    <row r="278" spans="1:37" x14ac:dyDescent="0.25">
      <c r="A278" s="296">
        <v>503910326</v>
      </c>
      <c r="B278" s="296" t="s">
        <v>2676</v>
      </c>
      <c r="C278" s="296" t="s">
        <v>183</v>
      </c>
      <c r="D278" s="296" t="s">
        <v>183</v>
      </c>
      <c r="E278" s="296" t="s">
        <v>183</v>
      </c>
      <c r="F278" s="296" t="s">
        <v>2677</v>
      </c>
      <c r="G278" s="296" t="s">
        <v>183</v>
      </c>
      <c r="H278" s="296" t="s">
        <v>2678</v>
      </c>
      <c r="I278" s="296" t="s">
        <v>2671</v>
      </c>
      <c r="J278" s="296" t="s">
        <v>2679</v>
      </c>
      <c r="K278" s="296" t="s">
        <v>2680</v>
      </c>
      <c r="L278" s="296" t="s">
        <v>2681</v>
      </c>
      <c r="M278" s="296" t="s">
        <v>179</v>
      </c>
      <c r="N278" s="296" t="s">
        <v>2682</v>
      </c>
      <c r="O278" s="296" t="s">
        <v>183</v>
      </c>
      <c r="P278" s="296" t="s">
        <v>2678</v>
      </c>
      <c r="Q278" s="296" t="s">
        <v>183</v>
      </c>
      <c r="R278" s="296" t="s">
        <v>2683</v>
      </c>
      <c r="S278" s="296" t="s">
        <v>185</v>
      </c>
      <c r="T278" s="296" t="s">
        <v>185</v>
      </c>
      <c r="U278" s="296" t="s">
        <v>186</v>
      </c>
      <c r="V278" s="296" t="s">
        <v>187</v>
      </c>
      <c r="W278" s="296" t="s">
        <v>188</v>
      </c>
      <c r="X278" s="296" t="s">
        <v>246</v>
      </c>
      <c r="Y278" s="296" t="s">
        <v>183</v>
      </c>
      <c r="Z278" s="296" t="s">
        <v>183</v>
      </c>
      <c r="AA278" s="296" t="s">
        <v>183</v>
      </c>
      <c r="AB278" s="296" t="s">
        <v>183</v>
      </c>
      <c r="AC278" s="296" t="s">
        <v>2684</v>
      </c>
      <c r="AD278" s="296" t="s">
        <v>2685</v>
      </c>
      <c r="AE278" s="296" t="s">
        <v>192</v>
      </c>
      <c r="AF278" s="296" t="s">
        <v>193</v>
      </c>
      <c r="AG278" s="296">
        <v>45355.5</v>
      </c>
      <c r="AH278" s="298">
        <v>42859</v>
      </c>
      <c r="AJ278" s="296" t="s">
        <v>194</v>
      </c>
      <c r="AK278" s="299">
        <f>COUNTIF($A$3:A$917,A278)</f>
        <v>1</v>
      </c>
    </row>
    <row r="279" spans="1:37" x14ac:dyDescent="0.25">
      <c r="A279" s="296">
        <v>603810178</v>
      </c>
      <c r="B279" s="296" t="s">
        <v>2686</v>
      </c>
      <c r="C279" s="296" t="s">
        <v>183</v>
      </c>
      <c r="D279" s="296" t="s">
        <v>183</v>
      </c>
      <c r="E279" s="296" t="s">
        <v>183</v>
      </c>
      <c r="F279" s="296" t="s">
        <v>2687</v>
      </c>
      <c r="G279" s="296" t="s">
        <v>183</v>
      </c>
      <c r="H279" s="296" t="s">
        <v>2688</v>
      </c>
      <c r="I279" s="296" t="s">
        <v>2671</v>
      </c>
      <c r="J279" s="296" t="s">
        <v>2689</v>
      </c>
      <c r="K279" s="296" t="s">
        <v>2690</v>
      </c>
      <c r="L279" s="296" t="s">
        <v>2691</v>
      </c>
      <c r="M279" s="296" t="s">
        <v>179</v>
      </c>
      <c r="N279" s="296" t="s">
        <v>2692</v>
      </c>
      <c r="O279" s="296" t="s">
        <v>278</v>
      </c>
      <c r="P279" s="296" t="s">
        <v>2693</v>
      </c>
      <c r="Q279" s="296" t="s">
        <v>183</v>
      </c>
      <c r="R279" s="296" t="s">
        <v>2694</v>
      </c>
      <c r="S279" s="296" t="s">
        <v>185</v>
      </c>
      <c r="T279" s="296" t="s">
        <v>185</v>
      </c>
      <c r="U279" s="296" t="s">
        <v>186</v>
      </c>
      <c r="V279" s="296" t="s">
        <v>187</v>
      </c>
      <c r="W279" s="296" t="s">
        <v>188</v>
      </c>
      <c r="X279" s="296" t="s">
        <v>256</v>
      </c>
      <c r="Y279" s="296" t="s">
        <v>183</v>
      </c>
      <c r="Z279" s="296" t="s">
        <v>183</v>
      </c>
      <c r="AA279" s="296" t="s">
        <v>183</v>
      </c>
      <c r="AB279" s="296" t="s">
        <v>183</v>
      </c>
      <c r="AC279" s="296" t="s">
        <v>2695</v>
      </c>
      <c r="AD279" s="296" t="s">
        <v>2696</v>
      </c>
      <c r="AE279" s="296" t="s">
        <v>192</v>
      </c>
      <c r="AF279" s="296" t="s">
        <v>193</v>
      </c>
      <c r="AG279" s="296">
        <v>0</v>
      </c>
      <c r="AH279" s="298">
        <v>44631</v>
      </c>
      <c r="AJ279" s="296" t="s">
        <v>194</v>
      </c>
      <c r="AK279" s="299">
        <f>COUNTIF($A$3:A$917,A279)</f>
        <v>1</v>
      </c>
    </row>
    <row r="280" spans="1:37" x14ac:dyDescent="0.25">
      <c r="A280" s="296">
        <v>501970750</v>
      </c>
      <c r="B280" s="296" t="s">
        <v>2697</v>
      </c>
      <c r="C280" s="296" t="s">
        <v>183</v>
      </c>
      <c r="D280" s="296" t="s">
        <v>183</v>
      </c>
      <c r="E280" s="296" t="s">
        <v>183</v>
      </c>
      <c r="F280" s="296" t="s">
        <v>2698</v>
      </c>
      <c r="G280" s="296" t="s">
        <v>2698</v>
      </c>
      <c r="H280" s="296" t="s">
        <v>2699</v>
      </c>
      <c r="I280" s="296" t="s">
        <v>2700</v>
      </c>
      <c r="J280" s="296" t="s">
        <v>2701</v>
      </c>
      <c r="K280" s="296" t="s">
        <v>2702</v>
      </c>
      <c r="L280" s="296" t="s">
        <v>2703</v>
      </c>
      <c r="M280" s="296" t="s">
        <v>179</v>
      </c>
      <c r="N280" s="296" t="s">
        <v>2704</v>
      </c>
      <c r="O280" s="296" t="s">
        <v>2705</v>
      </c>
      <c r="P280" s="296" t="s">
        <v>2706</v>
      </c>
      <c r="Q280" s="296" t="s">
        <v>183</v>
      </c>
      <c r="R280" s="296" t="s">
        <v>2707</v>
      </c>
      <c r="S280" s="296" t="s">
        <v>185</v>
      </c>
      <c r="T280" s="296" t="s">
        <v>185</v>
      </c>
      <c r="U280" s="296" t="s">
        <v>186</v>
      </c>
      <c r="V280" s="296" t="s">
        <v>187</v>
      </c>
      <c r="W280" s="296" t="s">
        <v>188</v>
      </c>
      <c r="X280" s="296" t="s">
        <v>256</v>
      </c>
      <c r="Y280" s="296" t="s">
        <v>183</v>
      </c>
      <c r="Z280" s="296" t="s">
        <v>183</v>
      </c>
      <c r="AA280" s="296" t="s">
        <v>183</v>
      </c>
      <c r="AB280" s="296" t="s">
        <v>183</v>
      </c>
      <c r="AC280" s="296" t="s">
        <v>2708</v>
      </c>
      <c r="AD280" s="296" t="s">
        <v>2709</v>
      </c>
      <c r="AE280" s="296" t="s">
        <v>192</v>
      </c>
      <c r="AF280" s="296" t="s">
        <v>193</v>
      </c>
      <c r="AG280" s="296">
        <v>0</v>
      </c>
      <c r="AH280" s="298">
        <v>42673</v>
      </c>
      <c r="AJ280" s="296" t="s">
        <v>194</v>
      </c>
      <c r="AK280" s="299">
        <f>COUNTIF($A$3:A$917,A280)</f>
        <v>2</v>
      </c>
    </row>
    <row r="281" spans="1:37" x14ac:dyDescent="0.25">
      <c r="A281" s="296">
        <v>3101011086</v>
      </c>
      <c r="B281" s="296" t="s">
        <v>2710</v>
      </c>
      <c r="C281" s="296" t="s">
        <v>183</v>
      </c>
      <c r="D281" s="296" t="s">
        <v>183</v>
      </c>
      <c r="E281" s="296" t="s">
        <v>183</v>
      </c>
      <c r="F281" s="296" t="s">
        <v>2302</v>
      </c>
      <c r="G281" s="296" t="s">
        <v>183</v>
      </c>
      <c r="H281" s="296" t="s">
        <v>2304</v>
      </c>
      <c r="I281" s="296" t="s">
        <v>2700</v>
      </c>
      <c r="J281" s="296" t="s">
        <v>2711</v>
      </c>
      <c r="K281" s="296" t="s">
        <v>2712</v>
      </c>
      <c r="L281" s="296" t="s">
        <v>2713</v>
      </c>
      <c r="M281" s="296" t="s">
        <v>179</v>
      </c>
      <c r="N281" s="296" t="s">
        <v>2714</v>
      </c>
      <c r="O281" s="296" t="s">
        <v>2714</v>
      </c>
      <c r="P281" s="296" t="s">
        <v>2715</v>
      </c>
      <c r="Q281" s="296" t="s">
        <v>183</v>
      </c>
      <c r="R281" s="296" t="s">
        <v>2716</v>
      </c>
      <c r="S281" s="296" t="s">
        <v>185</v>
      </c>
      <c r="T281" s="296" t="s">
        <v>185</v>
      </c>
      <c r="U281" s="296" t="s">
        <v>186</v>
      </c>
      <c r="V281" s="296" t="s">
        <v>187</v>
      </c>
      <c r="W281" s="296" t="s">
        <v>188</v>
      </c>
      <c r="X281" s="296" t="s">
        <v>189</v>
      </c>
      <c r="Y281" s="296" t="s">
        <v>183</v>
      </c>
      <c r="Z281" s="296" t="s">
        <v>183</v>
      </c>
      <c r="AA281" s="296" t="s">
        <v>183</v>
      </c>
      <c r="AB281" s="296" t="s">
        <v>183</v>
      </c>
      <c r="AC281" s="296" t="s">
        <v>2717</v>
      </c>
      <c r="AD281" s="296" t="s">
        <v>2718</v>
      </c>
      <c r="AE281" s="296" t="s">
        <v>192</v>
      </c>
      <c r="AF281" s="296" t="s">
        <v>193</v>
      </c>
      <c r="AG281" s="296">
        <v>0</v>
      </c>
      <c r="AH281" s="298">
        <v>44608</v>
      </c>
      <c r="AJ281" s="296" t="s">
        <v>194</v>
      </c>
      <c r="AK281" s="299">
        <f>COUNTIF($A$3:A$917,A281)</f>
        <v>1</v>
      </c>
    </row>
    <row r="282" spans="1:37" x14ac:dyDescent="0.25">
      <c r="A282" s="296">
        <v>106770612</v>
      </c>
      <c r="B282" s="296" t="s">
        <v>2719</v>
      </c>
      <c r="C282" s="296" t="s">
        <v>183</v>
      </c>
      <c r="D282" s="296" t="s">
        <v>183</v>
      </c>
      <c r="E282" s="296" t="s">
        <v>183</v>
      </c>
      <c r="F282" s="296" t="s">
        <v>2720</v>
      </c>
      <c r="G282" s="296" t="s">
        <v>278</v>
      </c>
      <c r="H282" s="296" t="s">
        <v>2721</v>
      </c>
      <c r="I282" s="296" t="s">
        <v>2700</v>
      </c>
      <c r="J282" s="296" t="s">
        <v>2722</v>
      </c>
      <c r="K282" s="296" t="s">
        <v>355</v>
      </c>
      <c r="L282" s="296" t="s">
        <v>356</v>
      </c>
      <c r="M282" s="296" t="s">
        <v>179</v>
      </c>
      <c r="N282" s="296" t="s">
        <v>278</v>
      </c>
      <c r="O282" s="296" t="s">
        <v>278</v>
      </c>
      <c r="P282" s="296" t="s">
        <v>183</v>
      </c>
      <c r="Q282" s="296" t="s">
        <v>183</v>
      </c>
      <c r="R282" s="296" t="s">
        <v>357</v>
      </c>
      <c r="S282" s="296" t="s">
        <v>185</v>
      </c>
      <c r="T282" s="296" t="s">
        <v>185</v>
      </c>
      <c r="U282" s="296" t="s">
        <v>186</v>
      </c>
      <c r="V282" s="296" t="s">
        <v>187</v>
      </c>
      <c r="W282" s="296" t="s">
        <v>188</v>
      </c>
      <c r="X282" s="296" t="s">
        <v>189</v>
      </c>
      <c r="Y282" s="296" t="s">
        <v>183</v>
      </c>
      <c r="Z282" s="296" t="s">
        <v>183</v>
      </c>
      <c r="AA282" s="296" t="s">
        <v>183</v>
      </c>
      <c r="AB282" s="296" t="s">
        <v>183</v>
      </c>
      <c r="AC282" s="296" t="s">
        <v>358</v>
      </c>
      <c r="AD282" s="296" t="s">
        <v>2723</v>
      </c>
      <c r="AE282" s="296" t="s">
        <v>192</v>
      </c>
      <c r="AF282" s="296" t="s">
        <v>193</v>
      </c>
      <c r="AG282" s="296">
        <v>0</v>
      </c>
      <c r="AH282" s="298">
        <v>40910</v>
      </c>
      <c r="AJ282" s="296" t="s">
        <v>194</v>
      </c>
      <c r="AK282" s="299">
        <f>COUNTIF($A$3:A$917,A282)</f>
        <v>2</v>
      </c>
    </row>
    <row r="283" spans="1:37" x14ac:dyDescent="0.25">
      <c r="A283" s="296">
        <v>502310194</v>
      </c>
      <c r="B283" s="296" t="s">
        <v>2724</v>
      </c>
      <c r="C283" s="296" t="s">
        <v>183</v>
      </c>
      <c r="D283" s="296" t="s">
        <v>183</v>
      </c>
      <c r="E283" s="296" t="s">
        <v>183</v>
      </c>
      <c r="F283" s="296" t="s">
        <v>2725</v>
      </c>
      <c r="G283" s="296" t="s">
        <v>2725</v>
      </c>
      <c r="H283" s="296" t="s">
        <v>2726</v>
      </c>
      <c r="I283" s="296" t="s">
        <v>2700</v>
      </c>
      <c r="J283" s="296" t="s">
        <v>2727</v>
      </c>
      <c r="K283" s="296" t="s">
        <v>2728</v>
      </c>
      <c r="L283" s="296" t="s">
        <v>2724</v>
      </c>
      <c r="M283" s="296" t="s">
        <v>179</v>
      </c>
      <c r="N283" s="296" t="s">
        <v>2725</v>
      </c>
      <c r="O283" s="296" t="s">
        <v>2725</v>
      </c>
      <c r="P283" s="296" t="s">
        <v>2726</v>
      </c>
      <c r="Q283" s="296" t="s">
        <v>183</v>
      </c>
      <c r="R283" s="296" t="s">
        <v>2729</v>
      </c>
      <c r="S283" s="296" t="s">
        <v>185</v>
      </c>
      <c r="T283" s="296" t="s">
        <v>185</v>
      </c>
      <c r="U283" s="296" t="s">
        <v>186</v>
      </c>
      <c r="V283" s="296" t="s">
        <v>187</v>
      </c>
      <c r="W283" s="296" t="s">
        <v>188</v>
      </c>
      <c r="X283" s="296" t="s">
        <v>189</v>
      </c>
      <c r="Y283" s="296" t="s">
        <v>183</v>
      </c>
      <c r="Z283" s="296" t="s">
        <v>183</v>
      </c>
      <c r="AA283" s="296" t="s">
        <v>183</v>
      </c>
      <c r="AB283" s="296" t="s">
        <v>183</v>
      </c>
      <c r="AC283" s="296" t="s">
        <v>2730</v>
      </c>
      <c r="AD283" s="296" t="s">
        <v>2731</v>
      </c>
      <c r="AE283" s="296" t="s">
        <v>192</v>
      </c>
      <c r="AF283" s="296" t="s">
        <v>193</v>
      </c>
      <c r="AG283" s="296">
        <v>0</v>
      </c>
      <c r="AH283" s="298">
        <v>45446</v>
      </c>
      <c r="AJ283" s="296" t="s">
        <v>194</v>
      </c>
      <c r="AK283" s="299">
        <f>COUNTIF($A$3:A$917,A283)</f>
        <v>2</v>
      </c>
    </row>
    <row r="284" spans="1:37" x14ac:dyDescent="0.25">
      <c r="A284" s="296">
        <v>305140371</v>
      </c>
      <c r="B284" s="296" t="s">
        <v>2732</v>
      </c>
      <c r="C284" s="296" t="s">
        <v>183</v>
      </c>
      <c r="D284" s="296" t="s">
        <v>183</v>
      </c>
      <c r="E284" s="296" t="s">
        <v>183</v>
      </c>
      <c r="F284" s="296" t="s">
        <v>2733</v>
      </c>
      <c r="G284" s="296" t="s">
        <v>2733</v>
      </c>
      <c r="H284" s="296" t="s">
        <v>2734</v>
      </c>
      <c r="I284" s="296" t="s">
        <v>2700</v>
      </c>
      <c r="J284" s="296" t="s">
        <v>2735</v>
      </c>
      <c r="K284" s="296" t="s">
        <v>637</v>
      </c>
      <c r="L284" s="296" t="s">
        <v>638</v>
      </c>
      <c r="M284" s="296" t="s">
        <v>179</v>
      </c>
      <c r="N284" s="296" t="s">
        <v>639</v>
      </c>
      <c r="O284" s="296" t="s">
        <v>639</v>
      </c>
      <c r="P284" s="296" t="s">
        <v>640</v>
      </c>
      <c r="Q284" s="296" t="s">
        <v>183</v>
      </c>
      <c r="R284" s="296" t="s">
        <v>641</v>
      </c>
      <c r="S284" s="296" t="s">
        <v>185</v>
      </c>
      <c r="T284" s="296" t="s">
        <v>185</v>
      </c>
      <c r="U284" s="296" t="s">
        <v>186</v>
      </c>
      <c r="V284" s="296" t="s">
        <v>187</v>
      </c>
      <c r="W284" s="296" t="s">
        <v>188</v>
      </c>
      <c r="X284" s="296" t="s">
        <v>189</v>
      </c>
      <c r="Y284" s="296" t="s">
        <v>183</v>
      </c>
      <c r="Z284" s="296" t="s">
        <v>183</v>
      </c>
      <c r="AA284" s="296" t="s">
        <v>183</v>
      </c>
      <c r="AB284" s="296" t="s">
        <v>183</v>
      </c>
      <c r="AC284" s="296" t="s">
        <v>642</v>
      </c>
      <c r="AD284" s="296" t="s">
        <v>2736</v>
      </c>
      <c r="AE284" s="296" t="s">
        <v>192</v>
      </c>
      <c r="AF284" s="296" t="s">
        <v>193</v>
      </c>
      <c r="AG284" s="296">
        <v>0</v>
      </c>
      <c r="AH284" s="298">
        <v>45966</v>
      </c>
      <c r="AJ284" s="296" t="s">
        <v>194</v>
      </c>
      <c r="AK284" s="299">
        <f>COUNTIF($A$3:A$917,A284)</f>
        <v>2</v>
      </c>
    </row>
    <row r="285" spans="1:37" x14ac:dyDescent="0.25">
      <c r="A285" s="296">
        <v>3101313672</v>
      </c>
      <c r="B285" s="296" t="s">
        <v>2737</v>
      </c>
      <c r="C285" s="296" t="s">
        <v>2738</v>
      </c>
      <c r="D285" s="296" t="s">
        <v>2739</v>
      </c>
      <c r="E285" s="296" t="s">
        <v>172</v>
      </c>
      <c r="F285" s="296" t="s">
        <v>1558</v>
      </c>
      <c r="G285" s="296" t="s">
        <v>278</v>
      </c>
      <c r="H285" s="296" t="s">
        <v>2740</v>
      </c>
      <c r="I285" s="296" t="s">
        <v>2741</v>
      </c>
      <c r="J285" s="296" t="s">
        <v>2742</v>
      </c>
      <c r="K285" s="296" t="s">
        <v>2743</v>
      </c>
      <c r="L285" s="296" t="s">
        <v>2744</v>
      </c>
      <c r="M285" s="296" t="s">
        <v>179</v>
      </c>
      <c r="N285" s="296" t="s">
        <v>1558</v>
      </c>
      <c r="O285" s="296" t="s">
        <v>2745</v>
      </c>
      <c r="P285" s="296" t="s">
        <v>2746</v>
      </c>
      <c r="Q285" s="296" t="s">
        <v>183</v>
      </c>
      <c r="R285" s="296" t="s">
        <v>2747</v>
      </c>
      <c r="S285" s="296" t="s">
        <v>185</v>
      </c>
      <c r="T285" s="296" t="s">
        <v>185</v>
      </c>
      <c r="U285" s="296" t="s">
        <v>186</v>
      </c>
      <c r="V285" s="296" t="s">
        <v>187</v>
      </c>
      <c r="W285" s="296" t="s">
        <v>188</v>
      </c>
      <c r="X285" s="296" t="s">
        <v>256</v>
      </c>
      <c r="Y285" s="296" t="s">
        <v>183</v>
      </c>
      <c r="Z285" s="296" t="s">
        <v>183</v>
      </c>
      <c r="AA285" s="296" t="s">
        <v>183</v>
      </c>
      <c r="AB285" s="296" t="s">
        <v>183</v>
      </c>
      <c r="AC285" s="296" t="s">
        <v>2748</v>
      </c>
      <c r="AD285" s="296" t="s">
        <v>2749</v>
      </c>
      <c r="AE285" s="296" t="s">
        <v>192</v>
      </c>
      <c r="AF285" s="296" t="s">
        <v>193</v>
      </c>
      <c r="AG285" s="296">
        <v>0</v>
      </c>
      <c r="AH285" s="298">
        <v>45608</v>
      </c>
      <c r="AJ285" s="296" t="s">
        <v>194</v>
      </c>
      <c r="AK285" s="299">
        <f>COUNTIF($A$3:A$917,A285)</f>
        <v>2</v>
      </c>
    </row>
    <row r="286" spans="1:37" x14ac:dyDescent="0.25">
      <c r="A286" s="296">
        <v>3101313672</v>
      </c>
      <c r="B286" s="296" t="s">
        <v>2737</v>
      </c>
      <c r="C286" s="296" t="s">
        <v>2738</v>
      </c>
      <c r="D286" s="296" t="s">
        <v>2739</v>
      </c>
      <c r="E286" s="296" t="s">
        <v>172</v>
      </c>
      <c r="F286" s="296" t="s">
        <v>1558</v>
      </c>
      <c r="G286" s="296" t="s">
        <v>278</v>
      </c>
      <c r="H286" s="296" t="s">
        <v>2740</v>
      </c>
      <c r="I286" s="296" t="s">
        <v>2741</v>
      </c>
      <c r="J286" s="296" t="s">
        <v>2750</v>
      </c>
      <c r="K286" s="296" t="s">
        <v>2743</v>
      </c>
      <c r="L286" s="296" t="s">
        <v>2744</v>
      </c>
      <c r="M286" s="296" t="s">
        <v>179</v>
      </c>
      <c r="N286" s="296" t="s">
        <v>1558</v>
      </c>
      <c r="O286" s="296" t="s">
        <v>2745</v>
      </c>
      <c r="P286" s="296" t="s">
        <v>2746</v>
      </c>
      <c r="Q286" s="296" t="s">
        <v>183</v>
      </c>
      <c r="R286" s="296" t="s">
        <v>2751</v>
      </c>
      <c r="S286" s="296" t="s">
        <v>185</v>
      </c>
      <c r="T286" s="296" t="s">
        <v>185</v>
      </c>
      <c r="U286" s="296" t="s">
        <v>186</v>
      </c>
      <c r="V286" s="296" t="s">
        <v>187</v>
      </c>
      <c r="W286" s="296" t="s">
        <v>188</v>
      </c>
      <c r="X286" s="296" t="s">
        <v>256</v>
      </c>
      <c r="Y286" s="296" t="s">
        <v>183</v>
      </c>
      <c r="Z286" s="296" t="s">
        <v>183</v>
      </c>
      <c r="AA286" s="296" t="s">
        <v>183</v>
      </c>
      <c r="AB286" s="296" t="s">
        <v>183</v>
      </c>
      <c r="AC286" s="296" t="s">
        <v>183</v>
      </c>
      <c r="AD286" s="296" t="s">
        <v>2752</v>
      </c>
      <c r="AE286" s="296" t="s">
        <v>192</v>
      </c>
      <c r="AF286" s="296" t="s">
        <v>193</v>
      </c>
      <c r="AG286" s="296">
        <v>0</v>
      </c>
      <c r="AH286" s="298">
        <v>45623</v>
      </c>
      <c r="AJ286" s="296" t="s">
        <v>194</v>
      </c>
      <c r="AK286" s="299">
        <f>COUNTIF($A$3:A$917,A286)</f>
        <v>2</v>
      </c>
    </row>
    <row r="287" spans="1:37" x14ac:dyDescent="0.25">
      <c r="A287" s="296">
        <v>3102867594</v>
      </c>
      <c r="B287" s="296" t="s">
        <v>2753</v>
      </c>
      <c r="C287" s="296" t="s">
        <v>2754</v>
      </c>
      <c r="D287" s="296" t="s">
        <v>2755</v>
      </c>
      <c r="E287" s="296" t="s">
        <v>1723</v>
      </c>
      <c r="F287" s="296" t="s">
        <v>2756</v>
      </c>
      <c r="G287" s="296" t="s">
        <v>278</v>
      </c>
      <c r="H287" s="296" t="s">
        <v>2757</v>
      </c>
      <c r="I287" s="296" t="s">
        <v>2741</v>
      </c>
      <c r="J287" s="296" t="s">
        <v>2758</v>
      </c>
      <c r="K287" s="296" t="s">
        <v>2759</v>
      </c>
      <c r="L287" s="296" t="s">
        <v>2760</v>
      </c>
      <c r="M287" s="296" t="s">
        <v>179</v>
      </c>
      <c r="N287" s="296" t="s">
        <v>2756</v>
      </c>
      <c r="O287" s="296" t="s">
        <v>183</v>
      </c>
      <c r="P287" s="296" t="s">
        <v>2757</v>
      </c>
      <c r="Q287" s="296" t="s">
        <v>183</v>
      </c>
      <c r="R287" s="296" t="s">
        <v>2761</v>
      </c>
      <c r="S287" s="296" t="s">
        <v>185</v>
      </c>
      <c r="T287" s="296" t="s">
        <v>185</v>
      </c>
      <c r="U287" s="296" t="s">
        <v>186</v>
      </c>
      <c r="V287" s="296" t="s">
        <v>187</v>
      </c>
      <c r="W287" s="296" t="s">
        <v>188</v>
      </c>
      <c r="X287" s="296" t="s">
        <v>404</v>
      </c>
      <c r="Y287" s="296" t="s">
        <v>183</v>
      </c>
      <c r="Z287" s="296" t="s">
        <v>183</v>
      </c>
      <c r="AA287" s="296" t="s">
        <v>183</v>
      </c>
      <c r="AB287" s="296" t="s">
        <v>183</v>
      </c>
      <c r="AC287" s="296" t="s">
        <v>2762</v>
      </c>
      <c r="AD287" s="296" t="s">
        <v>2763</v>
      </c>
      <c r="AE287" s="296" t="s">
        <v>192</v>
      </c>
      <c r="AF287" s="296" t="s">
        <v>193</v>
      </c>
      <c r="AG287" s="296">
        <v>0</v>
      </c>
      <c r="AH287" s="298">
        <v>45190</v>
      </c>
      <c r="AJ287" s="296" t="s">
        <v>194</v>
      </c>
      <c r="AK287" s="299">
        <f>COUNTIF($A$3:A$917,A287)</f>
        <v>2</v>
      </c>
    </row>
    <row r="288" spans="1:37" x14ac:dyDescent="0.25">
      <c r="A288" s="296">
        <v>3102747738</v>
      </c>
      <c r="B288" s="296" t="s">
        <v>2764</v>
      </c>
      <c r="C288" s="296" t="s">
        <v>183</v>
      </c>
      <c r="D288" s="296" t="s">
        <v>183</v>
      </c>
      <c r="E288" s="296" t="s">
        <v>183</v>
      </c>
      <c r="F288" s="296" t="s">
        <v>2765</v>
      </c>
      <c r="G288" s="296" t="s">
        <v>2765</v>
      </c>
      <c r="H288" s="296" t="s">
        <v>703</v>
      </c>
      <c r="I288" s="296" t="s">
        <v>2741</v>
      </c>
      <c r="J288" s="296" t="s">
        <v>2766</v>
      </c>
      <c r="K288" s="296" t="s">
        <v>700</v>
      </c>
      <c r="L288" s="296" t="s">
        <v>701</v>
      </c>
      <c r="M288" s="296" t="s">
        <v>179</v>
      </c>
      <c r="N288" s="296" t="s">
        <v>702</v>
      </c>
      <c r="O288" s="296" t="s">
        <v>702</v>
      </c>
      <c r="P288" s="296" t="s">
        <v>703</v>
      </c>
      <c r="Q288" s="296" t="s">
        <v>183</v>
      </c>
      <c r="R288" s="296" t="s">
        <v>704</v>
      </c>
      <c r="S288" s="296" t="s">
        <v>185</v>
      </c>
      <c r="T288" s="296" t="s">
        <v>185</v>
      </c>
      <c r="U288" s="296" t="s">
        <v>186</v>
      </c>
      <c r="V288" s="296" t="s">
        <v>187</v>
      </c>
      <c r="W288" s="296" t="s">
        <v>188</v>
      </c>
      <c r="X288" s="296" t="s">
        <v>189</v>
      </c>
      <c r="Y288" s="296" t="s">
        <v>183</v>
      </c>
      <c r="Z288" s="296" t="s">
        <v>183</v>
      </c>
      <c r="AA288" s="296" t="s">
        <v>183</v>
      </c>
      <c r="AB288" s="296" t="s">
        <v>183</v>
      </c>
      <c r="AC288" s="296" t="s">
        <v>705</v>
      </c>
      <c r="AD288" s="296" t="s">
        <v>2767</v>
      </c>
      <c r="AE288" s="296" t="s">
        <v>192</v>
      </c>
      <c r="AF288" s="296" t="s">
        <v>193</v>
      </c>
      <c r="AG288" s="296">
        <v>0</v>
      </c>
      <c r="AH288" s="298">
        <v>44433</v>
      </c>
      <c r="AJ288" s="296" t="s">
        <v>194</v>
      </c>
      <c r="AK288" s="299">
        <f>COUNTIF($A$3:A$917,A288)</f>
        <v>1</v>
      </c>
    </row>
    <row r="289" spans="1:37" x14ac:dyDescent="0.25">
      <c r="A289" s="296">
        <v>502310666</v>
      </c>
      <c r="B289" s="296" t="s">
        <v>2768</v>
      </c>
      <c r="C289" s="296" t="s">
        <v>183</v>
      </c>
      <c r="D289" s="296" t="s">
        <v>183</v>
      </c>
      <c r="E289" s="296" t="s">
        <v>183</v>
      </c>
      <c r="F289" s="296" t="s">
        <v>2769</v>
      </c>
      <c r="G289" s="296" t="s">
        <v>2769</v>
      </c>
      <c r="H289" s="296" t="s">
        <v>2770</v>
      </c>
      <c r="I289" s="296" t="s">
        <v>2741</v>
      </c>
      <c r="J289" s="296" t="s">
        <v>2771</v>
      </c>
      <c r="K289" s="296" t="s">
        <v>2772</v>
      </c>
      <c r="L289" s="296" t="s">
        <v>2768</v>
      </c>
      <c r="M289" s="296" t="s">
        <v>179</v>
      </c>
      <c r="N289" s="296" t="s">
        <v>2769</v>
      </c>
      <c r="O289" s="296" t="s">
        <v>2769</v>
      </c>
      <c r="P289" s="296" t="s">
        <v>2770</v>
      </c>
      <c r="Q289" s="296" t="s">
        <v>183</v>
      </c>
      <c r="R289" s="296" t="s">
        <v>2773</v>
      </c>
      <c r="S289" s="296" t="s">
        <v>185</v>
      </c>
      <c r="T289" s="296" t="s">
        <v>185</v>
      </c>
      <c r="U289" s="296" t="s">
        <v>186</v>
      </c>
      <c r="V289" s="296" t="s">
        <v>187</v>
      </c>
      <c r="W289" s="296" t="s">
        <v>188</v>
      </c>
      <c r="X289" s="296" t="s">
        <v>573</v>
      </c>
      <c r="Y289" s="296" t="s">
        <v>183</v>
      </c>
      <c r="Z289" s="296" t="s">
        <v>183</v>
      </c>
      <c r="AA289" s="296" t="s">
        <v>183</v>
      </c>
      <c r="AB289" s="296" t="s">
        <v>183</v>
      </c>
      <c r="AC289" s="296" t="s">
        <v>2774</v>
      </c>
      <c r="AD289" s="296" t="s">
        <v>2775</v>
      </c>
      <c r="AE289" s="296" t="s">
        <v>192</v>
      </c>
      <c r="AF289" s="296" t="s">
        <v>193</v>
      </c>
      <c r="AG289" s="296">
        <v>0</v>
      </c>
      <c r="AH289" s="298">
        <v>44732</v>
      </c>
      <c r="AJ289" s="296" t="s">
        <v>194</v>
      </c>
      <c r="AK289" s="299">
        <f>COUNTIF($A$3:A$917,A289)</f>
        <v>1</v>
      </c>
    </row>
    <row r="290" spans="1:37" x14ac:dyDescent="0.25">
      <c r="A290" s="296">
        <v>501750320</v>
      </c>
      <c r="B290" s="296" t="s">
        <v>2776</v>
      </c>
      <c r="C290" s="296" t="s">
        <v>183</v>
      </c>
      <c r="D290" s="296" t="s">
        <v>183</v>
      </c>
      <c r="E290" s="296" t="s">
        <v>183</v>
      </c>
      <c r="F290" s="296" t="s">
        <v>2777</v>
      </c>
      <c r="G290" s="296" t="s">
        <v>183</v>
      </c>
      <c r="H290" s="296" t="s">
        <v>2778</v>
      </c>
      <c r="I290" s="296" t="s">
        <v>2741</v>
      </c>
      <c r="J290" s="296" t="s">
        <v>2779</v>
      </c>
      <c r="K290" s="296" t="s">
        <v>2780</v>
      </c>
      <c r="L290" s="296" t="s">
        <v>2776</v>
      </c>
      <c r="M290" s="296" t="s">
        <v>179</v>
      </c>
      <c r="N290" s="296" t="s">
        <v>2777</v>
      </c>
      <c r="O290" s="296" t="s">
        <v>183</v>
      </c>
      <c r="P290" s="296" t="s">
        <v>2778</v>
      </c>
      <c r="Q290" s="296" t="s">
        <v>183</v>
      </c>
      <c r="R290" s="296" t="s">
        <v>2781</v>
      </c>
      <c r="S290" s="296" t="s">
        <v>185</v>
      </c>
      <c r="T290" s="296" t="s">
        <v>185</v>
      </c>
      <c r="U290" s="296" t="s">
        <v>186</v>
      </c>
      <c r="V290" s="296" t="s">
        <v>187</v>
      </c>
      <c r="W290" s="296" t="s">
        <v>188</v>
      </c>
      <c r="X290" s="296" t="s">
        <v>256</v>
      </c>
      <c r="Y290" s="296" t="s">
        <v>183</v>
      </c>
      <c r="Z290" s="296" t="s">
        <v>183</v>
      </c>
      <c r="AA290" s="296" t="s">
        <v>183</v>
      </c>
      <c r="AB290" s="296" t="s">
        <v>183</v>
      </c>
      <c r="AC290" s="296" t="s">
        <v>2782</v>
      </c>
      <c r="AD290" s="296" t="s">
        <v>2783</v>
      </c>
      <c r="AE290" s="296" t="s">
        <v>192</v>
      </c>
      <c r="AF290" s="296" t="s">
        <v>193</v>
      </c>
      <c r="AG290" s="296">
        <v>12841</v>
      </c>
      <c r="AH290" s="298">
        <v>43777</v>
      </c>
      <c r="AJ290" s="296" t="s">
        <v>194</v>
      </c>
      <c r="AK290" s="299">
        <f>COUNTIF($A$3:A$917,A290)</f>
        <v>1</v>
      </c>
    </row>
    <row r="291" spans="1:37" x14ac:dyDescent="0.25">
      <c r="A291" s="296">
        <v>3101795773</v>
      </c>
      <c r="B291" s="296" t="s">
        <v>2784</v>
      </c>
      <c r="C291" s="296" t="s">
        <v>2785</v>
      </c>
      <c r="D291" s="296" t="s">
        <v>2786</v>
      </c>
      <c r="E291" s="296" t="s">
        <v>172</v>
      </c>
      <c r="F291" s="296" t="s">
        <v>2787</v>
      </c>
      <c r="G291" s="296" t="s">
        <v>278</v>
      </c>
      <c r="H291" s="296" t="s">
        <v>183</v>
      </c>
      <c r="I291" s="296" t="s">
        <v>2741</v>
      </c>
      <c r="J291" s="296" t="s">
        <v>2788</v>
      </c>
      <c r="K291" s="296" t="s">
        <v>2789</v>
      </c>
      <c r="L291" s="296" t="s">
        <v>2790</v>
      </c>
      <c r="M291" s="296" t="s">
        <v>179</v>
      </c>
      <c r="N291" s="296" t="s">
        <v>2791</v>
      </c>
      <c r="O291" s="296" t="s">
        <v>278</v>
      </c>
      <c r="P291" s="296" t="s">
        <v>2792</v>
      </c>
      <c r="Q291" s="296" t="s">
        <v>183</v>
      </c>
      <c r="R291" s="296" t="s">
        <v>2793</v>
      </c>
      <c r="S291" s="296" t="s">
        <v>185</v>
      </c>
      <c r="T291" s="296" t="s">
        <v>185</v>
      </c>
      <c r="U291" s="296" t="s">
        <v>186</v>
      </c>
      <c r="V291" s="296" t="s">
        <v>187</v>
      </c>
      <c r="W291" s="296" t="s">
        <v>188</v>
      </c>
      <c r="X291" s="296" t="s">
        <v>189</v>
      </c>
      <c r="Y291" s="296" t="s">
        <v>183</v>
      </c>
      <c r="Z291" s="296" t="s">
        <v>183</v>
      </c>
      <c r="AA291" s="296" t="s">
        <v>183</v>
      </c>
      <c r="AB291" s="296" t="s">
        <v>183</v>
      </c>
      <c r="AC291" s="296" t="s">
        <v>2794</v>
      </c>
      <c r="AD291" s="296" t="s">
        <v>2795</v>
      </c>
      <c r="AE291" s="296" t="s">
        <v>192</v>
      </c>
      <c r="AF291" s="296" t="s">
        <v>193</v>
      </c>
      <c r="AG291" s="296">
        <v>0</v>
      </c>
      <c r="AH291" s="298">
        <v>44043</v>
      </c>
      <c r="AJ291" s="296" t="s">
        <v>194</v>
      </c>
      <c r="AK291" s="299">
        <f>COUNTIF($A$3:A$917,A291)</f>
        <v>2</v>
      </c>
    </row>
    <row r="292" spans="1:37" x14ac:dyDescent="0.25">
      <c r="A292" s="296">
        <v>3101138046</v>
      </c>
      <c r="B292" s="296" t="s">
        <v>2796</v>
      </c>
      <c r="C292" s="296" t="s">
        <v>183</v>
      </c>
      <c r="D292" s="296" t="s">
        <v>183</v>
      </c>
      <c r="E292" s="296" t="s">
        <v>183</v>
      </c>
      <c r="F292" s="296" t="s">
        <v>2797</v>
      </c>
      <c r="G292" s="296" t="s">
        <v>2798</v>
      </c>
      <c r="H292" s="296" t="s">
        <v>2799</v>
      </c>
      <c r="I292" s="296" t="s">
        <v>2741</v>
      </c>
      <c r="J292" s="296" t="s">
        <v>2800</v>
      </c>
      <c r="K292" s="296" t="s">
        <v>2801</v>
      </c>
      <c r="L292" s="296" t="s">
        <v>2796</v>
      </c>
      <c r="M292" s="296" t="s">
        <v>179</v>
      </c>
      <c r="N292" s="296" t="s">
        <v>2797</v>
      </c>
      <c r="O292" s="296" t="s">
        <v>2798</v>
      </c>
      <c r="P292" s="296" t="s">
        <v>2799</v>
      </c>
      <c r="Q292" s="296" t="s">
        <v>183</v>
      </c>
      <c r="R292" s="296" t="s">
        <v>2802</v>
      </c>
      <c r="S292" s="296" t="s">
        <v>185</v>
      </c>
      <c r="T292" s="296" t="s">
        <v>185</v>
      </c>
      <c r="U292" s="296" t="s">
        <v>186</v>
      </c>
      <c r="V292" s="296" t="s">
        <v>187</v>
      </c>
      <c r="W292" s="296" t="s">
        <v>188</v>
      </c>
      <c r="X292" s="296" t="s">
        <v>404</v>
      </c>
      <c r="Y292" s="296" t="s">
        <v>183</v>
      </c>
      <c r="Z292" s="296" t="s">
        <v>183</v>
      </c>
      <c r="AA292" s="296" t="s">
        <v>183</v>
      </c>
      <c r="AB292" s="296" t="s">
        <v>183</v>
      </c>
      <c r="AC292" s="296" t="s">
        <v>2803</v>
      </c>
      <c r="AD292" s="296" t="s">
        <v>2804</v>
      </c>
      <c r="AE292" s="296" t="s">
        <v>192</v>
      </c>
      <c r="AF292" s="296" t="s">
        <v>193</v>
      </c>
      <c r="AG292" s="296">
        <v>0</v>
      </c>
      <c r="AH292" s="298">
        <v>44658</v>
      </c>
      <c r="AJ292" s="296" t="s">
        <v>194</v>
      </c>
      <c r="AK292" s="299">
        <f>COUNTIF($A$3:A$917,A292)</f>
        <v>2</v>
      </c>
    </row>
    <row r="293" spans="1:37" x14ac:dyDescent="0.25">
      <c r="A293" s="296">
        <v>104210700</v>
      </c>
      <c r="B293" s="296" t="s">
        <v>2805</v>
      </c>
      <c r="C293" s="296" t="s">
        <v>183</v>
      </c>
      <c r="D293" s="296" t="s">
        <v>183</v>
      </c>
      <c r="E293" s="296" t="s">
        <v>183</v>
      </c>
      <c r="F293" s="296" t="s">
        <v>2806</v>
      </c>
      <c r="G293" s="296" t="s">
        <v>183</v>
      </c>
      <c r="H293" s="296" t="s">
        <v>2807</v>
      </c>
      <c r="I293" s="296" t="s">
        <v>2741</v>
      </c>
      <c r="J293" s="296" t="s">
        <v>2808</v>
      </c>
      <c r="K293" s="296" t="s">
        <v>2809</v>
      </c>
      <c r="L293" s="296" t="s">
        <v>2805</v>
      </c>
      <c r="M293" s="296" t="s">
        <v>179</v>
      </c>
      <c r="N293" s="296" t="s">
        <v>2806</v>
      </c>
      <c r="O293" s="296" t="s">
        <v>183</v>
      </c>
      <c r="P293" s="296" t="s">
        <v>2807</v>
      </c>
      <c r="Q293" s="296" t="s">
        <v>183</v>
      </c>
      <c r="R293" s="296" t="s">
        <v>2810</v>
      </c>
      <c r="S293" s="296" t="s">
        <v>185</v>
      </c>
      <c r="T293" s="296" t="s">
        <v>185</v>
      </c>
      <c r="U293" s="296" t="s">
        <v>186</v>
      </c>
      <c r="V293" s="296" t="s">
        <v>187</v>
      </c>
      <c r="W293" s="296" t="s">
        <v>188</v>
      </c>
      <c r="X293" s="296" t="s">
        <v>188</v>
      </c>
      <c r="Y293" s="296" t="s">
        <v>183</v>
      </c>
      <c r="Z293" s="296" t="s">
        <v>183</v>
      </c>
      <c r="AA293" s="296" t="s">
        <v>183</v>
      </c>
      <c r="AB293" s="296" t="s">
        <v>183</v>
      </c>
      <c r="AC293" s="296" t="s">
        <v>2811</v>
      </c>
      <c r="AD293" s="296" t="s">
        <v>2812</v>
      </c>
      <c r="AE293" s="296" t="s">
        <v>192</v>
      </c>
      <c r="AF293" s="296" t="s">
        <v>193</v>
      </c>
      <c r="AG293" s="296">
        <v>0</v>
      </c>
      <c r="AH293" s="298">
        <v>44879</v>
      </c>
      <c r="AJ293" s="296" t="s">
        <v>194</v>
      </c>
      <c r="AK293" s="299">
        <f>COUNTIF($A$3:A$917,A293)</f>
        <v>1</v>
      </c>
    </row>
    <row r="294" spans="1:37" x14ac:dyDescent="0.25">
      <c r="A294" s="296">
        <v>3102719670</v>
      </c>
      <c r="B294" s="296" t="s">
        <v>588</v>
      </c>
      <c r="C294" s="296" t="s">
        <v>183</v>
      </c>
      <c r="D294" s="296" t="s">
        <v>183</v>
      </c>
      <c r="E294" s="296" t="s">
        <v>183</v>
      </c>
      <c r="F294" s="296" t="s">
        <v>589</v>
      </c>
      <c r="G294" s="296" t="s">
        <v>183</v>
      </c>
      <c r="H294" s="296" t="s">
        <v>590</v>
      </c>
      <c r="I294" s="296" t="s">
        <v>2741</v>
      </c>
      <c r="J294" s="296" t="s">
        <v>591</v>
      </c>
      <c r="K294" s="296" t="s">
        <v>592</v>
      </c>
      <c r="L294" s="296" t="s">
        <v>593</v>
      </c>
      <c r="M294" s="296" t="s">
        <v>179</v>
      </c>
      <c r="N294" s="296" t="s">
        <v>589</v>
      </c>
      <c r="O294" s="296" t="s">
        <v>183</v>
      </c>
      <c r="P294" s="296" t="s">
        <v>590</v>
      </c>
      <c r="Q294" s="296" t="s">
        <v>183</v>
      </c>
      <c r="R294" s="296" t="s">
        <v>594</v>
      </c>
      <c r="S294" s="296" t="s">
        <v>185</v>
      </c>
      <c r="T294" s="296" t="s">
        <v>185</v>
      </c>
      <c r="U294" s="296" t="s">
        <v>186</v>
      </c>
      <c r="V294" s="296" t="s">
        <v>187</v>
      </c>
      <c r="W294" s="296" t="s">
        <v>188</v>
      </c>
      <c r="X294" s="296" t="s">
        <v>308</v>
      </c>
      <c r="Y294" s="296" t="s">
        <v>183</v>
      </c>
      <c r="Z294" s="296" t="s">
        <v>183</v>
      </c>
      <c r="AA294" s="296" t="s">
        <v>183</v>
      </c>
      <c r="AB294" s="296" t="s">
        <v>183</v>
      </c>
      <c r="AC294" s="296" t="s">
        <v>595</v>
      </c>
      <c r="AD294" s="296" t="s">
        <v>2813</v>
      </c>
      <c r="AE294" s="296" t="s">
        <v>192</v>
      </c>
      <c r="AF294" s="296" t="s">
        <v>193</v>
      </c>
      <c r="AG294" s="296">
        <v>0</v>
      </c>
      <c r="AH294" s="298">
        <v>45806</v>
      </c>
      <c r="AJ294" s="296" t="s">
        <v>194</v>
      </c>
      <c r="AK294" s="299">
        <f>COUNTIF($A$3:A$917,A294)</f>
        <v>2</v>
      </c>
    </row>
    <row r="295" spans="1:37" x14ac:dyDescent="0.25">
      <c r="A295" s="296">
        <v>204070740</v>
      </c>
      <c r="B295" s="296" t="s">
        <v>2814</v>
      </c>
      <c r="C295" s="296" t="s">
        <v>183</v>
      </c>
      <c r="D295" s="296" t="s">
        <v>183</v>
      </c>
      <c r="E295" s="296" t="s">
        <v>183</v>
      </c>
      <c r="F295" s="296" t="s">
        <v>2815</v>
      </c>
      <c r="G295" s="296" t="s">
        <v>2815</v>
      </c>
      <c r="H295" s="296" t="s">
        <v>2816</v>
      </c>
      <c r="I295" s="296" t="s">
        <v>2817</v>
      </c>
      <c r="J295" s="296" t="s">
        <v>2818</v>
      </c>
      <c r="K295" s="296" t="s">
        <v>2819</v>
      </c>
      <c r="L295" s="296" t="s">
        <v>2814</v>
      </c>
      <c r="M295" s="296" t="s">
        <v>179</v>
      </c>
      <c r="N295" s="296" t="s">
        <v>2815</v>
      </c>
      <c r="O295" s="296" t="s">
        <v>2815</v>
      </c>
      <c r="P295" s="296" t="s">
        <v>2816</v>
      </c>
      <c r="Q295" s="296" t="s">
        <v>183</v>
      </c>
      <c r="R295" s="296" t="s">
        <v>2820</v>
      </c>
      <c r="S295" s="296" t="s">
        <v>185</v>
      </c>
      <c r="T295" s="296" t="s">
        <v>185</v>
      </c>
      <c r="U295" s="296" t="s">
        <v>186</v>
      </c>
      <c r="V295" s="296" t="s">
        <v>187</v>
      </c>
      <c r="W295" s="296" t="s">
        <v>188</v>
      </c>
      <c r="X295" s="296" t="s">
        <v>256</v>
      </c>
      <c r="Y295" s="296" t="s">
        <v>183</v>
      </c>
      <c r="Z295" s="296" t="s">
        <v>183</v>
      </c>
      <c r="AA295" s="296" t="s">
        <v>183</v>
      </c>
      <c r="AB295" s="296" t="s">
        <v>183</v>
      </c>
      <c r="AC295" s="296" t="s">
        <v>2821</v>
      </c>
      <c r="AD295" s="296" t="s">
        <v>2822</v>
      </c>
      <c r="AE295" s="296" t="s">
        <v>192</v>
      </c>
      <c r="AF295" s="296" t="s">
        <v>193</v>
      </c>
      <c r="AG295" s="296">
        <v>19746</v>
      </c>
      <c r="AH295" s="298">
        <v>43753</v>
      </c>
      <c r="AJ295" s="296" t="s">
        <v>194</v>
      </c>
      <c r="AK295" s="299">
        <f>COUNTIF($A$3:A$917,A295)</f>
        <v>1</v>
      </c>
    </row>
    <row r="296" spans="1:37" x14ac:dyDescent="0.25">
      <c r="A296" s="296">
        <v>3101380805</v>
      </c>
      <c r="B296" s="296" t="s">
        <v>2823</v>
      </c>
      <c r="C296" s="296" t="s">
        <v>2824</v>
      </c>
      <c r="D296" s="296" t="s">
        <v>2825</v>
      </c>
      <c r="E296" s="296" t="s">
        <v>1057</v>
      </c>
      <c r="F296" s="296" t="s">
        <v>2306</v>
      </c>
      <c r="G296" s="296" t="s">
        <v>278</v>
      </c>
      <c r="H296" s="296" t="s">
        <v>183</v>
      </c>
      <c r="I296" s="296" t="s">
        <v>2817</v>
      </c>
      <c r="J296" s="296" t="s">
        <v>2826</v>
      </c>
      <c r="K296" s="296" t="s">
        <v>2827</v>
      </c>
      <c r="L296" s="296" t="s">
        <v>2823</v>
      </c>
      <c r="M296" s="296" t="s">
        <v>179</v>
      </c>
      <c r="N296" s="296" t="s">
        <v>2306</v>
      </c>
      <c r="O296" s="296" t="s">
        <v>2306</v>
      </c>
      <c r="P296" s="296" t="s">
        <v>2828</v>
      </c>
      <c r="Q296" s="296" t="s">
        <v>183</v>
      </c>
      <c r="R296" s="296" t="s">
        <v>2829</v>
      </c>
      <c r="S296" s="296" t="s">
        <v>185</v>
      </c>
      <c r="T296" s="296" t="s">
        <v>185</v>
      </c>
      <c r="U296" s="296" t="s">
        <v>186</v>
      </c>
      <c r="V296" s="296" t="s">
        <v>187</v>
      </c>
      <c r="W296" s="296" t="s">
        <v>188</v>
      </c>
      <c r="X296" s="296" t="s">
        <v>404</v>
      </c>
      <c r="Y296" s="296" t="s">
        <v>183</v>
      </c>
      <c r="Z296" s="296" t="s">
        <v>183</v>
      </c>
      <c r="AA296" s="296" t="s">
        <v>183</v>
      </c>
      <c r="AB296" s="296" t="s">
        <v>183</v>
      </c>
      <c r="AC296" s="296" t="s">
        <v>2830</v>
      </c>
      <c r="AD296" s="296" t="s">
        <v>2831</v>
      </c>
      <c r="AE296" s="296" t="s">
        <v>192</v>
      </c>
      <c r="AF296" s="296" t="s">
        <v>193</v>
      </c>
      <c r="AG296" s="296">
        <v>21711</v>
      </c>
      <c r="AH296" s="298">
        <v>40182</v>
      </c>
      <c r="AJ296" s="296" t="s">
        <v>194</v>
      </c>
      <c r="AK296" s="299">
        <f>COUNTIF($A$3:A$917,A296)</f>
        <v>1</v>
      </c>
    </row>
    <row r="297" spans="1:37" x14ac:dyDescent="0.25">
      <c r="A297" s="296">
        <v>3101495573</v>
      </c>
      <c r="B297" s="296" t="s">
        <v>2832</v>
      </c>
      <c r="C297" s="296" t="s">
        <v>2833</v>
      </c>
      <c r="D297" s="296" t="s">
        <v>2834</v>
      </c>
      <c r="E297" s="296" t="s">
        <v>172</v>
      </c>
      <c r="F297" s="296" t="s">
        <v>2835</v>
      </c>
      <c r="G297" s="296" t="s">
        <v>183</v>
      </c>
      <c r="H297" s="296" t="s">
        <v>2836</v>
      </c>
      <c r="I297" s="296" t="s">
        <v>2817</v>
      </c>
      <c r="J297" s="296" t="s">
        <v>2837</v>
      </c>
      <c r="K297" s="296" t="s">
        <v>2838</v>
      </c>
      <c r="L297" s="296" t="s">
        <v>2832</v>
      </c>
      <c r="M297" s="296" t="s">
        <v>179</v>
      </c>
      <c r="N297" s="296" t="s">
        <v>2835</v>
      </c>
      <c r="O297" s="296" t="s">
        <v>2839</v>
      </c>
      <c r="P297" s="296" t="s">
        <v>2836</v>
      </c>
      <c r="Q297" s="296" t="s">
        <v>183</v>
      </c>
      <c r="R297" s="296" t="s">
        <v>2840</v>
      </c>
      <c r="S297" s="296" t="s">
        <v>185</v>
      </c>
      <c r="T297" s="296" t="s">
        <v>185</v>
      </c>
      <c r="U297" s="296" t="s">
        <v>186</v>
      </c>
      <c r="V297" s="296" t="s">
        <v>187</v>
      </c>
      <c r="W297" s="296" t="s">
        <v>188</v>
      </c>
      <c r="X297" s="296" t="s">
        <v>256</v>
      </c>
      <c r="Y297" s="296" t="s">
        <v>183</v>
      </c>
      <c r="Z297" s="296" t="s">
        <v>183</v>
      </c>
      <c r="AA297" s="296" t="s">
        <v>183</v>
      </c>
      <c r="AB297" s="296" t="s">
        <v>183</v>
      </c>
      <c r="AC297" s="296" t="s">
        <v>2841</v>
      </c>
      <c r="AD297" s="296" t="s">
        <v>2842</v>
      </c>
      <c r="AE297" s="296" t="s">
        <v>192</v>
      </c>
      <c r="AF297" s="296" t="s">
        <v>193</v>
      </c>
      <c r="AG297" s="296">
        <v>43782</v>
      </c>
      <c r="AH297" s="298">
        <v>42830</v>
      </c>
      <c r="AJ297" s="296" t="s">
        <v>194</v>
      </c>
      <c r="AK297" s="299">
        <f>COUNTIF($A$3:A$917,A297)</f>
        <v>3</v>
      </c>
    </row>
    <row r="298" spans="1:37" x14ac:dyDescent="0.25">
      <c r="A298" s="296">
        <v>3101763532</v>
      </c>
      <c r="B298" s="296" t="s">
        <v>2843</v>
      </c>
      <c r="C298" s="296" t="s">
        <v>183</v>
      </c>
      <c r="D298" s="296" t="s">
        <v>183</v>
      </c>
      <c r="E298" s="296" t="s">
        <v>183</v>
      </c>
      <c r="F298" s="296" t="s">
        <v>2844</v>
      </c>
      <c r="G298" s="296" t="s">
        <v>183</v>
      </c>
      <c r="H298" s="296" t="s">
        <v>2845</v>
      </c>
      <c r="I298" s="296" t="s">
        <v>2846</v>
      </c>
      <c r="J298" s="296" t="s">
        <v>2847</v>
      </c>
      <c r="K298" s="296" t="s">
        <v>2848</v>
      </c>
      <c r="L298" s="296" t="s">
        <v>2843</v>
      </c>
      <c r="M298" s="296" t="s">
        <v>179</v>
      </c>
      <c r="N298" s="296" t="s">
        <v>2844</v>
      </c>
      <c r="O298" s="296" t="s">
        <v>183</v>
      </c>
      <c r="P298" s="296" t="s">
        <v>2845</v>
      </c>
      <c r="Q298" s="296" t="s">
        <v>183</v>
      </c>
      <c r="R298" s="296" t="s">
        <v>2849</v>
      </c>
      <c r="S298" s="296" t="s">
        <v>185</v>
      </c>
      <c r="T298" s="296" t="s">
        <v>185</v>
      </c>
      <c r="U298" s="296" t="s">
        <v>186</v>
      </c>
      <c r="V298" s="296" t="s">
        <v>187</v>
      </c>
      <c r="W298" s="296" t="s">
        <v>188</v>
      </c>
      <c r="X298" s="296" t="s">
        <v>246</v>
      </c>
      <c r="Y298" s="296" t="s">
        <v>183</v>
      </c>
      <c r="Z298" s="296" t="s">
        <v>183</v>
      </c>
      <c r="AA298" s="296" t="s">
        <v>183</v>
      </c>
      <c r="AB298" s="296" t="s">
        <v>183</v>
      </c>
      <c r="AC298" s="296" t="s">
        <v>2850</v>
      </c>
      <c r="AD298" s="296" t="s">
        <v>2851</v>
      </c>
      <c r="AE298" s="296" t="s">
        <v>192</v>
      </c>
      <c r="AF298" s="296" t="s">
        <v>193</v>
      </c>
      <c r="AG298" s="296">
        <v>30218.5</v>
      </c>
      <c r="AH298" s="298">
        <v>43819</v>
      </c>
      <c r="AJ298" s="296" t="s">
        <v>194</v>
      </c>
      <c r="AK298" s="299">
        <f>COUNTIF($A$3:A$917,A298)</f>
        <v>1</v>
      </c>
    </row>
    <row r="299" spans="1:37" x14ac:dyDescent="0.25">
      <c r="A299" s="296">
        <v>3102788743</v>
      </c>
      <c r="B299" s="296" t="s">
        <v>2852</v>
      </c>
      <c r="C299" s="296" t="s">
        <v>2853</v>
      </c>
      <c r="D299" s="296" t="s">
        <v>2854</v>
      </c>
      <c r="E299" s="296" t="s">
        <v>1723</v>
      </c>
      <c r="F299" s="296" t="s">
        <v>2855</v>
      </c>
      <c r="G299" s="296" t="s">
        <v>278</v>
      </c>
      <c r="H299" s="296" t="s">
        <v>2856</v>
      </c>
      <c r="I299" s="296" t="s">
        <v>2846</v>
      </c>
      <c r="J299" s="296" t="s">
        <v>2857</v>
      </c>
      <c r="K299" s="296" t="s">
        <v>2858</v>
      </c>
      <c r="L299" s="296" t="s">
        <v>2852</v>
      </c>
      <c r="M299" s="296" t="s">
        <v>179</v>
      </c>
      <c r="N299" s="296" t="s">
        <v>2855</v>
      </c>
      <c r="O299" s="296" t="s">
        <v>183</v>
      </c>
      <c r="P299" s="296" t="s">
        <v>2856</v>
      </c>
      <c r="Q299" s="296" t="s">
        <v>183</v>
      </c>
      <c r="R299" s="296" t="s">
        <v>2859</v>
      </c>
      <c r="S299" s="296" t="s">
        <v>185</v>
      </c>
      <c r="T299" s="296" t="s">
        <v>185</v>
      </c>
      <c r="U299" s="296" t="s">
        <v>186</v>
      </c>
      <c r="V299" s="296" t="s">
        <v>187</v>
      </c>
      <c r="W299" s="296" t="s">
        <v>188</v>
      </c>
      <c r="X299" s="296" t="s">
        <v>256</v>
      </c>
      <c r="Y299" s="296" t="s">
        <v>183</v>
      </c>
      <c r="Z299" s="296" t="s">
        <v>183</v>
      </c>
      <c r="AA299" s="296" t="s">
        <v>183</v>
      </c>
      <c r="AB299" s="296" t="s">
        <v>183</v>
      </c>
      <c r="AC299" s="296" t="s">
        <v>2860</v>
      </c>
      <c r="AD299" s="296" t="s">
        <v>2861</v>
      </c>
      <c r="AE299" s="296" t="s">
        <v>192</v>
      </c>
      <c r="AF299" s="296" t="s">
        <v>193</v>
      </c>
      <c r="AG299" s="296">
        <v>14256</v>
      </c>
      <c r="AH299" s="298">
        <v>44183</v>
      </c>
      <c r="AJ299" s="296" t="s">
        <v>194</v>
      </c>
      <c r="AK299" s="299">
        <f>COUNTIF($A$3:A$917,A299)</f>
        <v>1</v>
      </c>
    </row>
    <row r="300" spans="1:37" x14ac:dyDescent="0.25">
      <c r="A300" s="296">
        <v>3101165806</v>
      </c>
      <c r="B300" s="296" t="s">
        <v>2862</v>
      </c>
      <c r="C300" s="296" t="s">
        <v>904</v>
      </c>
      <c r="D300" s="296" t="s">
        <v>905</v>
      </c>
      <c r="E300" s="296" t="s">
        <v>172</v>
      </c>
      <c r="F300" s="296" t="s">
        <v>906</v>
      </c>
      <c r="G300" s="296" t="s">
        <v>906</v>
      </c>
      <c r="H300" s="296" t="s">
        <v>907</v>
      </c>
      <c r="I300" s="296" t="s">
        <v>2846</v>
      </c>
      <c r="J300" s="296" t="s">
        <v>2863</v>
      </c>
      <c r="K300" s="296" t="s">
        <v>2864</v>
      </c>
      <c r="L300" s="296" t="s">
        <v>2862</v>
      </c>
      <c r="M300" s="296" t="s">
        <v>179</v>
      </c>
      <c r="N300" s="296" t="s">
        <v>906</v>
      </c>
      <c r="O300" s="296" t="s">
        <v>2865</v>
      </c>
      <c r="P300" s="296" t="s">
        <v>907</v>
      </c>
      <c r="Q300" s="296" t="s">
        <v>183</v>
      </c>
      <c r="R300" s="296" t="s">
        <v>2866</v>
      </c>
      <c r="S300" s="296" t="s">
        <v>185</v>
      </c>
      <c r="T300" s="296" t="s">
        <v>185</v>
      </c>
      <c r="U300" s="296" t="s">
        <v>186</v>
      </c>
      <c r="V300" s="296" t="s">
        <v>187</v>
      </c>
      <c r="W300" s="296" t="s">
        <v>188</v>
      </c>
      <c r="X300" s="296" t="s">
        <v>189</v>
      </c>
      <c r="Y300" s="296" t="s">
        <v>183</v>
      </c>
      <c r="Z300" s="296" t="s">
        <v>183</v>
      </c>
      <c r="AA300" s="296" t="s">
        <v>183</v>
      </c>
      <c r="AB300" s="296" t="s">
        <v>183</v>
      </c>
      <c r="AC300" s="296" t="s">
        <v>2867</v>
      </c>
      <c r="AD300" s="296" t="s">
        <v>2868</v>
      </c>
      <c r="AE300" s="296" t="s">
        <v>192</v>
      </c>
      <c r="AF300" s="296" t="s">
        <v>193</v>
      </c>
      <c r="AG300" s="296">
        <v>31186</v>
      </c>
      <c r="AH300" s="298">
        <v>44139</v>
      </c>
      <c r="AJ300" s="296" t="s">
        <v>194</v>
      </c>
      <c r="AK300" s="299">
        <f>COUNTIF($A$3:A$917,A300)</f>
        <v>1</v>
      </c>
    </row>
    <row r="301" spans="1:37" x14ac:dyDescent="0.25">
      <c r="A301" s="296">
        <v>207700340</v>
      </c>
      <c r="B301" s="296" t="s">
        <v>1033</v>
      </c>
      <c r="C301" s="296" t="s">
        <v>183</v>
      </c>
      <c r="D301" s="296" t="s">
        <v>183</v>
      </c>
      <c r="E301" s="296" t="s">
        <v>183</v>
      </c>
      <c r="F301" s="296" t="s">
        <v>1034</v>
      </c>
      <c r="G301" s="296" t="s">
        <v>1034</v>
      </c>
      <c r="H301" s="296" t="s">
        <v>1035</v>
      </c>
      <c r="I301" s="296" t="s">
        <v>2846</v>
      </c>
      <c r="J301" s="296" t="s">
        <v>2869</v>
      </c>
      <c r="K301" s="296" t="s">
        <v>1037</v>
      </c>
      <c r="L301" s="296" t="s">
        <v>1038</v>
      </c>
      <c r="M301" s="296" t="s">
        <v>179</v>
      </c>
      <c r="N301" s="296" t="s">
        <v>1034</v>
      </c>
      <c r="O301" s="296" t="s">
        <v>1034</v>
      </c>
      <c r="P301" s="296" t="s">
        <v>1039</v>
      </c>
      <c r="Q301" s="296" t="s">
        <v>183</v>
      </c>
      <c r="R301" s="296" t="s">
        <v>1040</v>
      </c>
      <c r="S301" s="296" t="s">
        <v>1041</v>
      </c>
      <c r="T301" s="296" t="s">
        <v>185</v>
      </c>
      <c r="U301" s="296" t="s">
        <v>186</v>
      </c>
      <c r="V301" s="296" t="s">
        <v>187</v>
      </c>
      <c r="W301" s="296" t="s">
        <v>188</v>
      </c>
      <c r="X301" s="296" t="s">
        <v>256</v>
      </c>
      <c r="Y301" s="296" t="s">
        <v>183</v>
      </c>
      <c r="Z301" s="296" t="s">
        <v>183</v>
      </c>
      <c r="AA301" s="296" t="s">
        <v>183</v>
      </c>
      <c r="AB301" s="296" t="s">
        <v>183</v>
      </c>
      <c r="AC301" s="296" t="s">
        <v>1042</v>
      </c>
      <c r="AD301" s="296" t="s">
        <v>2870</v>
      </c>
      <c r="AE301" s="296" t="s">
        <v>192</v>
      </c>
      <c r="AF301" s="296" t="s">
        <v>193</v>
      </c>
      <c r="AG301" s="296">
        <v>0</v>
      </c>
      <c r="AH301" s="298">
        <v>45902</v>
      </c>
      <c r="AJ301" s="296" t="s">
        <v>194</v>
      </c>
      <c r="AK301" s="299">
        <f>COUNTIF($A$3:A$917,A301)</f>
        <v>3</v>
      </c>
    </row>
    <row r="302" spans="1:37" x14ac:dyDescent="0.25">
      <c r="A302" s="296">
        <v>801020461</v>
      </c>
      <c r="B302" s="296" t="s">
        <v>2871</v>
      </c>
      <c r="C302" s="296" t="s">
        <v>183</v>
      </c>
      <c r="D302" s="296" t="s">
        <v>183</v>
      </c>
      <c r="E302" s="296" t="s">
        <v>183</v>
      </c>
      <c r="F302" s="296" t="s">
        <v>2872</v>
      </c>
      <c r="G302" s="296" t="s">
        <v>183</v>
      </c>
      <c r="H302" s="296" t="s">
        <v>2873</v>
      </c>
      <c r="I302" s="296" t="s">
        <v>2846</v>
      </c>
      <c r="J302" s="296" t="s">
        <v>2874</v>
      </c>
      <c r="K302" s="296" t="s">
        <v>2875</v>
      </c>
      <c r="L302" s="296" t="s">
        <v>2876</v>
      </c>
      <c r="M302" s="296" t="s">
        <v>179</v>
      </c>
      <c r="N302" s="296" t="s">
        <v>2872</v>
      </c>
      <c r="O302" s="296" t="s">
        <v>2877</v>
      </c>
      <c r="P302" s="296" t="s">
        <v>2873</v>
      </c>
      <c r="Q302" s="296" t="s">
        <v>183</v>
      </c>
      <c r="R302" s="296" t="s">
        <v>2878</v>
      </c>
      <c r="S302" s="296" t="s">
        <v>185</v>
      </c>
      <c r="T302" s="296" t="s">
        <v>185</v>
      </c>
      <c r="U302" s="296" t="s">
        <v>186</v>
      </c>
      <c r="V302" s="296" t="s">
        <v>187</v>
      </c>
      <c r="W302" s="296" t="s">
        <v>188</v>
      </c>
      <c r="X302" s="296" t="s">
        <v>256</v>
      </c>
      <c r="Y302" s="296" t="s">
        <v>183</v>
      </c>
      <c r="Z302" s="296" t="s">
        <v>183</v>
      </c>
      <c r="AA302" s="296" t="s">
        <v>183</v>
      </c>
      <c r="AB302" s="296" t="s">
        <v>183</v>
      </c>
      <c r="AC302" s="296" t="s">
        <v>183</v>
      </c>
      <c r="AD302" s="296" t="s">
        <v>2879</v>
      </c>
      <c r="AE302" s="296" t="s">
        <v>192</v>
      </c>
      <c r="AF302" s="296" t="s">
        <v>193</v>
      </c>
      <c r="AG302" s="296">
        <v>0</v>
      </c>
      <c r="AH302" s="298">
        <v>44736</v>
      </c>
      <c r="AJ302" s="296" t="s">
        <v>194</v>
      </c>
      <c r="AK302" s="299">
        <f>COUNTIF($A$3:A$917,A302)</f>
        <v>2</v>
      </c>
    </row>
    <row r="303" spans="1:37" x14ac:dyDescent="0.25">
      <c r="A303" s="296">
        <v>3102794886</v>
      </c>
      <c r="B303" s="296" t="s">
        <v>980</v>
      </c>
      <c r="C303" s="296" t="s">
        <v>183</v>
      </c>
      <c r="D303" s="296" t="s">
        <v>183</v>
      </c>
      <c r="E303" s="296" t="s">
        <v>183</v>
      </c>
      <c r="F303" s="296" t="s">
        <v>981</v>
      </c>
      <c r="G303" s="296" t="s">
        <v>982</v>
      </c>
      <c r="H303" s="296" t="s">
        <v>983</v>
      </c>
      <c r="I303" s="296" t="s">
        <v>2846</v>
      </c>
      <c r="J303" s="296" t="s">
        <v>2880</v>
      </c>
      <c r="K303" s="296" t="s">
        <v>986</v>
      </c>
      <c r="L303" s="296" t="s">
        <v>987</v>
      </c>
      <c r="M303" s="296" t="s">
        <v>179</v>
      </c>
      <c r="N303" s="296" t="s">
        <v>982</v>
      </c>
      <c r="O303" s="296" t="s">
        <v>988</v>
      </c>
      <c r="P303" s="296" t="s">
        <v>983</v>
      </c>
      <c r="Q303" s="296" t="s">
        <v>183</v>
      </c>
      <c r="R303" s="296" t="s">
        <v>989</v>
      </c>
      <c r="S303" s="296" t="s">
        <v>185</v>
      </c>
      <c r="T303" s="296" t="s">
        <v>185</v>
      </c>
      <c r="U303" s="296" t="s">
        <v>186</v>
      </c>
      <c r="V303" s="296" t="s">
        <v>187</v>
      </c>
      <c r="W303" s="296" t="s">
        <v>188</v>
      </c>
      <c r="X303" s="296" t="s">
        <v>189</v>
      </c>
      <c r="Y303" s="296" t="s">
        <v>183</v>
      </c>
      <c r="Z303" s="296" t="s">
        <v>183</v>
      </c>
      <c r="AA303" s="296" t="s">
        <v>183</v>
      </c>
      <c r="AB303" s="296" t="s">
        <v>183</v>
      </c>
      <c r="AC303" s="296" t="s">
        <v>990</v>
      </c>
      <c r="AD303" s="296" t="s">
        <v>2881</v>
      </c>
      <c r="AE303" s="296" t="s">
        <v>192</v>
      </c>
      <c r="AF303" s="296" t="s">
        <v>193</v>
      </c>
      <c r="AG303" s="296">
        <v>0</v>
      </c>
      <c r="AH303" s="298">
        <v>44250</v>
      </c>
      <c r="AJ303" s="296" t="s">
        <v>194</v>
      </c>
      <c r="AK303" s="299">
        <f>COUNTIF($A$3:A$917,A303)</f>
        <v>3</v>
      </c>
    </row>
    <row r="304" spans="1:37" x14ac:dyDescent="0.25">
      <c r="A304" s="296">
        <v>3102657282</v>
      </c>
      <c r="B304" s="296" t="s">
        <v>2882</v>
      </c>
      <c r="C304" s="296" t="s">
        <v>183</v>
      </c>
      <c r="D304" s="296" t="s">
        <v>183</v>
      </c>
      <c r="E304" s="296" t="s">
        <v>183</v>
      </c>
      <c r="F304" s="296" t="s">
        <v>2883</v>
      </c>
      <c r="G304" s="296" t="s">
        <v>183</v>
      </c>
      <c r="H304" s="296" t="s">
        <v>2884</v>
      </c>
      <c r="I304" s="296" t="s">
        <v>2846</v>
      </c>
      <c r="J304" s="296" t="s">
        <v>2885</v>
      </c>
      <c r="K304" s="296" t="s">
        <v>2886</v>
      </c>
      <c r="L304" s="296" t="s">
        <v>2882</v>
      </c>
      <c r="M304" s="296" t="s">
        <v>179</v>
      </c>
      <c r="N304" s="296" t="s">
        <v>2883</v>
      </c>
      <c r="O304" s="296" t="s">
        <v>183</v>
      </c>
      <c r="P304" s="296" t="s">
        <v>2884</v>
      </c>
      <c r="Q304" s="296" t="s">
        <v>183</v>
      </c>
      <c r="R304" s="296" t="s">
        <v>2887</v>
      </c>
      <c r="S304" s="296" t="s">
        <v>185</v>
      </c>
      <c r="T304" s="296" t="s">
        <v>185</v>
      </c>
      <c r="U304" s="296" t="s">
        <v>186</v>
      </c>
      <c r="V304" s="296" t="s">
        <v>187</v>
      </c>
      <c r="W304" s="296" t="s">
        <v>188</v>
      </c>
      <c r="X304" s="296" t="s">
        <v>308</v>
      </c>
      <c r="Y304" s="296" t="s">
        <v>183</v>
      </c>
      <c r="Z304" s="296" t="s">
        <v>183</v>
      </c>
      <c r="AA304" s="296" t="s">
        <v>183</v>
      </c>
      <c r="AB304" s="296" t="s">
        <v>183</v>
      </c>
      <c r="AC304" s="296" t="s">
        <v>2888</v>
      </c>
      <c r="AD304" s="296" t="s">
        <v>2889</v>
      </c>
      <c r="AE304" s="296" t="s">
        <v>192</v>
      </c>
      <c r="AF304" s="296" t="s">
        <v>193</v>
      </c>
      <c r="AG304" s="296">
        <v>0</v>
      </c>
      <c r="AH304" s="298">
        <v>45079</v>
      </c>
      <c r="AJ304" s="296" t="s">
        <v>194</v>
      </c>
      <c r="AK304" s="299">
        <f>COUNTIF($A$3:A$917,A304)</f>
        <v>1</v>
      </c>
    </row>
    <row r="305" spans="1:37" x14ac:dyDescent="0.25">
      <c r="A305" s="296">
        <v>3101130626</v>
      </c>
      <c r="B305" s="296" t="s">
        <v>1159</v>
      </c>
      <c r="C305" s="296" t="s">
        <v>1160</v>
      </c>
      <c r="D305" s="296" t="s">
        <v>1161</v>
      </c>
      <c r="E305" s="296" t="s">
        <v>172</v>
      </c>
      <c r="F305" s="296" t="s">
        <v>1162</v>
      </c>
      <c r="G305" s="296" t="s">
        <v>278</v>
      </c>
      <c r="H305" s="296" t="s">
        <v>1163</v>
      </c>
      <c r="I305" s="296" t="s">
        <v>2846</v>
      </c>
      <c r="J305" s="296" t="s">
        <v>2890</v>
      </c>
      <c r="K305" s="296" t="s">
        <v>1165</v>
      </c>
      <c r="L305" s="296" t="s">
        <v>1159</v>
      </c>
      <c r="M305" s="296" t="s">
        <v>179</v>
      </c>
      <c r="N305" s="296" t="s">
        <v>1162</v>
      </c>
      <c r="O305" s="296" t="s">
        <v>1166</v>
      </c>
      <c r="P305" s="296" t="s">
        <v>1163</v>
      </c>
      <c r="Q305" s="296" t="s">
        <v>183</v>
      </c>
      <c r="R305" s="296" t="s">
        <v>1167</v>
      </c>
      <c r="S305" s="296" t="s">
        <v>185</v>
      </c>
      <c r="T305" s="296" t="s">
        <v>185</v>
      </c>
      <c r="U305" s="296" t="s">
        <v>186</v>
      </c>
      <c r="V305" s="296" t="s">
        <v>187</v>
      </c>
      <c r="W305" s="296" t="s">
        <v>188</v>
      </c>
      <c r="X305" s="296" t="s">
        <v>256</v>
      </c>
      <c r="Y305" s="296" t="s">
        <v>183</v>
      </c>
      <c r="Z305" s="296" t="s">
        <v>183</v>
      </c>
      <c r="AA305" s="296" t="s">
        <v>183</v>
      </c>
      <c r="AB305" s="296" t="s">
        <v>183</v>
      </c>
      <c r="AC305" s="296" t="s">
        <v>1168</v>
      </c>
      <c r="AD305" s="296" t="s">
        <v>2891</v>
      </c>
      <c r="AE305" s="296" t="s">
        <v>192</v>
      </c>
      <c r="AF305" s="296" t="s">
        <v>193</v>
      </c>
      <c r="AG305" s="296">
        <v>10960</v>
      </c>
      <c r="AH305" s="298">
        <v>42033</v>
      </c>
      <c r="AJ305" s="296" t="s">
        <v>194</v>
      </c>
      <c r="AK305" s="299">
        <f>COUNTIF($A$3:A$917,A305)</f>
        <v>3</v>
      </c>
    </row>
    <row r="306" spans="1:37" x14ac:dyDescent="0.25">
      <c r="A306" s="296">
        <v>127600110710</v>
      </c>
      <c r="B306" s="296" t="s">
        <v>2892</v>
      </c>
      <c r="C306" s="296" t="s">
        <v>183</v>
      </c>
      <c r="D306" s="296" t="s">
        <v>183</v>
      </c>
      <c r="E306" s="296" t="s">
        <v>183</v>
      </c>
      <c r="F306" s="296" t="s">
        <v>2893</v>
      </c>
      <c r="G306" s="296" t="s">
        <v>2893</v>
      </c>
      <c r="H306" s="296" t="s">
        <v>2894</v>
      </c>
      <c r="I306" s="296" t="s">
        <v>2846</v>
      </c>
      <c r="J306" s="296" t="s">
        <v>2895</v>
      </c>
      <c r="K306" s="296" t="s">
        <v>2896</v>
      </c>
      <c r="L306" s="296" t="s">
        <v>2892</v>
      </c>
      <c r="M306" s="296" t="s">
        <v>503</v>
      </c>
      <c r="N306" s="296" t="s">
        <v>2893</v>
      </c>
      <c r="O306" s="296" t="s">
        <v>2893</v>
      </c>
      <c r="P306" s="296" t="s">
        <v>2894</v>
      </c>
      <c r="Q306" s="296" t="s">
        <v>183</v>
      </c>
      <c r="R306" s="296" t="s">
        <v>2897</v>
      </c>
      <c r="S306" s="296" t="s">
        <v>185</v>
      </c>
      <c r="T306" s="296" t="s">
        <v>185</v>
      </c>
      <c r="U306" s="296" t="s">
        <v>186</v>
      </c>
      <c r="V306" s="296" t="s">
        <v>187</v>
      </c>
      <c r="W306" s="296" t="s">
        <v>188</v>
      </c>
      <c r="X306" s="296" t="s">
        <v>256</v>
      </c>
      <c r="Y306" s="296" t="s">
        <v>183</v>
      </c>
      <c r="Z306" s="296" t="s">
        <v>183</v>
      </c>
      <c r="AA306" s="296" t="s">
        <v>183</v>
      </c>
      <c r="AB306" s="296" t="s">
        <v>183</v>
      </c>
      <c r="AC306" s="296" t="s">
        <v>2898</v>
      </c>
      <c r="AD306" s="296" t="s">
        <v>2899</v>
      </c>
      <c r="AE306" s="296" t="s">
        <v>192</v>
      </c>
      <c r="AF306" s="296" t="s">
        <v>193</v>
      </c>
      <c r="AG306" s="296">
        <v>14501.5</v>
      </c>
      <c r="AH306" s="298">
        <v>43619</v>
      </c>
      <c r="AJ306" s="296" t="s">
        <v>194</v>
      </c>
      <c r="AK306" s="299">
        <f>COUNTIF($A$3:A$917,A306)</f>
        <v>2</v>
      </c>
    </row>
    <row r="307" spans="1:37" x14ac:dyDescent="0.25">
      <c r="A307" s="296">
        <v>3101665793</v>
      </c>
      <c r="B307" s="296" t="s">
        <v>945</v>
      </c>
      <c r="C307" s="296" t="s">
        <v>183</v>
      </c>
      <c r="D307" s="296" t="s">
        <v>183</v>
      </c>
      <c r="E307" s="296" t="s">
        <v>183</v>
      </c>
      <c r="F307" s="296" t="s">
        <v>946</v>
      </c>
      <c r="G307" s="296" t="s">
        <v>947</v>
      </c>
      <c r="H307" s="296" t="s">
        <v>948</v>
      </c>
      <c r="I307" s="296" t="s">
        <v>2846</v>
      </c>
      <c r="J307" s="296" t="s">
        <v>2900</v>
      </c>
      <c r="K307" s="296" t="s">
        <v>951</v>
      </c>
      <c r="L307" s="296" t="s">
        <v>952</v>
      </c>
      <c r="M307" s="296" t="s">
        <v>179</v>
      </c>
      <c r="N307" s="296" t="s">
        <v>953</v>
      </c>
      <c r="O307" s="296" t="s">
        <v>954</v>
      </c>
      <c r="P307" s="296" t="s">
        <v>948</v>
      </c>
      <c r="Q307" s="296" t="s">
        <v>183</v>
      </c>
      <c r="R307" s="296" t="s">
        <v>955</v>
      </c>
      <c r="S307" s="296" t="s">
        <v>185</v>
      </c>
      <c r="T307" s="296" t="s">
        <v>185</v>
      </c>
      <c r="U307" s="296" t="s">
        <v>186</v>
      </c>
      <c r="V307" s="296" t="s">
        <v>187</v>
      </c>
      <c r="W307" s="296" t="s">
        <v>188</v>
      </c>
      <c r="X307" s="296" t="s">
        <v>224</v>
      </c>
      <c r="Y307" s="296" t="s">
        <v>183</v>
      </c>
      <c r="Z307" s="296" t="s">
        <v>183</v>
      </c>
      <c r="AA307" s="296" t="s">
        <v>183</v>
      </c>
      <c r="AB307" s="296" t="s">
        <v>183</v>
      </c>
      <c r="AC307" s="296" t="s">
        <v>956</v>
      </c>
      <c r="AD307" s="296" t="s">
        <v>2901</v>
      </c>
      <c r="AE307" s="296" t="s">
        <v>192</v>
      </c>
      <c r="AF307" s="296" t="s">
        <v>193</v>
      </c>
      <c r="AG307" s="296">
        <v>0</v>
      </c>
      <c r="AH307" s="298">
        <v>41558</v>
      </c>
      <c r="AJ307" s="296" t="s">
        <v>194</v>
      </c>
      <c r="AK307" s="299">
        <f>COUNTIF($A$3:A$917,A307)</f>
        <v>7</v>
      </c>
    </row>
    <row r="308" spans="1:37" x14ac:dyDescent="0.25">
      <c r="A308" s="296">
        <v>155817380702</v>
      </c>
      <c r="B308" s="296" t="s">
        <v>2902</v>
      </c>
      <c r="C308" s="296" t="s">
        <v>183</v>
      </c>
      <c r="D308" s="296" t="s">
        <v>183</v>
      </c>
      <c r="E308" s="296" t="s">
        <v>183</v>
      </c>
      <c r="F308" s="296" t="s">
        <v>2903</v>
      </c>
      <c r="G308" s="296" t="s">
        <v>183</v>
      </c>
      <c r="H308" s="296" t="s">
        <v>2904</v>
      </c>
      <c r="I308" s="296" t="s">
        <v>2846</v>
      </c>
      <c r="J308" s="296" t="s">
        <v>2905</v>
      </c>
      <c r="K308" s="296" t="s">
        <v>1048</v>
      </c>
      <c r="L308" s="296" t="s">
        <v>1049</v>
      </c>
      <c r="M308" s="296" t="s">
        <v>179</v>
      </c>
      <c r="N308" s="296" t="s">
        <v>1050</v>
      </c>
      <c r="O308" s="296" t="s">
        <v>278</v>
      </c>
      <c r="P308" s="296" t="s">
        <v>183</v>
      </c>
      <c r="Q308" s="296" t="s">
        <v>183</v>
      </c>
      <c r="R308" s="296" t="s">
        <v>1051</v>
      </c>
      <c r="S308" s="296" t="s">
        <v>185</v>
      </c>
      <c r="T308" s="296" t="s">
        <v>185</v>
      </c>
      <c r="U308" s="296" t="s">
        <v>186</v>
      </c>
      <c r="V308" s="296" t="s">
        <v>187</v>
      </c>
      <c r="W308" s="296" t="s">
        <v>188</v>
      </c>
      <c r="X308" s="296" t="s">
        <v>189</v>
      </c>
      <c r="Y308" s="296" t="s">
        <v>183</v>
      </c>
      <c r="Z308" s="296" t="s">
        <v>183</v>
      </c>
      <c r="AA308" s="296" t="s">
        <v>183</v>
      </c>
      <c r="AB308" s="296" t="s">
        <v>183</v>
      </c>
      <c r="AC308" s="296" t="s">
        <v>1052</v>
      </c>
      <c r="AD308" s="296" t="s">
        <v>2906</v>
      </c>
      <c r="AE308" s="296" t="s">
        <v>192</v>
      </c>
      <c r="AF308" s="296" t="s">
        <v>193</v>
      </c>
      <c r="AG308" s="296">
        <v>0</v>
      </c>
      <c r="AH308" s="298">
        <v>44622</v>
      </c>
      <c r="AJ308" s="296" t="s">
        <v>194</v>
      </c>
      <c r="AK308" s="299">
        <f>COUNTIF($A$3:A$917,A308)</f>
        <v>1</v>
      </c>
    </row>
    <row r="309" spans="1:37" x14ac:dyDescent="0.25">
      <c r="A309" s="296">
        <v>204290312</v>
      </c>
      <c r="B309" s="296" t="s">
        <v>2907</v>
      </c>
      <c r="C309" s="296" t="s">
        <v>183</v>
      </c>
      <c r="D309" s="296" t="s">
        <v>183</v>
      </c>
      <c r="E309" s="296" t="s">
        <v>183</v>
      </c>
      <c r="F309" s="296" t="s">
        <v>2908</v>
      </c>
      <c r="G309" s="296" t="s">
        <v>2908</v>
      </c>
      <c r="H309" s="296" t="s">
        <v>2909</v>
      </c>
      <c r="I309" s="296" t="s">
        <v>2846</v>
      </c>
      <c r="J309" s="296" t="s">
        <v>2910</v>
      </c>
      <c r="K309" s="296" t="s">
        <v>2911</v>
      </c>
      <c r="L309" s="296" t="s">
        <v>2912</v>
      </c>
      <c r="M309" s="296" t="s">
        <v>179</v>
      </c>
      <c r="N309" s="296" t="s">
        <v>2913</v>
      </c>
      <c r="O309" s="296" t="s">
        <v>183</v>
      </c>
      <c r="P309" s="296" t="s">
        <v>2914</v>
      </c>
      <c r="Q309" s="296" t="s">
        <v>183</v>
      </c>
      <c r="R309" s="296" t="s">
        <v>2915</v>
      </c>
      <c r="S309" s="296" t="s">
        <v>185</v>
      </c>
      <c r="T309" s="296" t="s">
        <v>185</v>
      </c>
      <c r="U309" s="296" t="s">
        <v>186</v>
      </c>
      <c r="V309" s="296" t="s">
        <v>187</v>
      </c>
      <c r="W309" s="296" t="s">
        <v>188</v>
      </c>
      <c r="X309" s="296" t="s">
        <v>256</v>
      </c>
      <c r="Y309" s="296" t="s">
        <v>183</v>
      </c>
      <c r="Z309" s="296" t="s">
        <v>183</v>
      </c>
      <c r="AA309" s="296" t="s">
        <v>183</v>
      </c>
      <c r="AB309" s="296" t="s">
        <v>183</v>
      </c>
      <c r="AC309" s="296" t="s">
        <v>2916</v>
      </c>
      <c r="AD309" s="296" t="s">
        <v>2917</v>
      </c>
      <c r="AE309" s="296" t="s">
        <v>192</v>
      </c>
      <c r="AF309" s="296" t="s">
        <v>193</v>
      </c>
      <c r="AG309" s="296">
        <v>17647.5</v>
      </c>
      <c r="AH309" s="298">
        <v>43227</v>
      </c>
      <c r="AJ309" s="296" t="s">
        <v>194</v>
      </c>
      <c r="AK309" s="299">
        <f>COUNTIF($A$3:A$917,A309)</f>
        <v>2</v>
      </c>
    </row>
    <row r="310" spans="1:37" x14ac:dyDescent="0.25">
      <c r="A310" s="296">
        <v>502400195</v>
      </c>
      <c r="B310" s="296" t="s">
        <v>2918</v>
      </c>
      <c r="C310" s="296" t="s">
        <v>183</v>
      </c>
      <c r="D310" s="296" t="s">
        <v>183</v>
      </c>
      <c r="E310" s="296" t="s">
        <v>183</v>
      </c>
      <c r="F310" s="296" t="s">
        <v>2919</v>
      </c>
      <c r="G310" s="296" t="s">
        <v>2919</v>
      </c>
      <c r="H310" s="296" t="s">
        <v>2920</v>
      </c>
      <c r="I310" s="296" t="s">
        <v>2921</v>
      </c>
      <c r="J310" s="296" t="s">
        <v>2922</v>
      </c>
      <c r="K310" s="296" t="s">
        <v>2923</v>
      </c>
      <c r="L310" s="296" t="s">
        <v>2924</v>
      </c>
      <c r="M310" s="296" t="s">
        <v>179</v>
      </c>
      <c r="N310" s="296" t="s">
        <v>2925</v>
      </c>
      <c r="O310" s="296" t="s">
        <v>2926</v>
      </c>
      <c r="P310" s="296" t="s">
        <v>2927</v>
      </c>
      <c r="Q310" s="296" t="s">
        <v>183</v>
      </c>
      <c r="R310" s="296" t="s">
        <v>2928</v>
      </c>
      <c r="S310" s="296" t="s">
        <v>194</v>
      </c>
      <c r="T310" s="296" t="s">
        <v>185</v>
      </c>
      <c r="U310" s="296" t="s">
        <v>186</v>
      </c>
      <c r="V310" s="296" t="s">
        <v>187</v>
      </c>
      <c r="W310" s="296" t="s">
        <v>188</v>
      </c>
      <c r="X310" s="296" t="s">
        <v>189</v>
      </c>
      <c r="Y310" s="296" t="s">
        <v>183</v>
      </c>
      <c r="Z310" s="296" t="s">
        <v>183</v>
      </c>
      <c r="AA310" s="296" t="s">
        <v>183</v>
      </c>
      <c r="AB310" s="296" t="s">
        <v>183</v>
      </c>
      <c r="AC310" s="296" t="s">
        <v>2929</v>
      </c>
      <c r="AD310" s="296" t="s">
        <v>2930</v>
      </c>
      <c r="AE310" s="296" t="s">
        <v>192</v>
      </c>
      <c r="AF310" s="296" t="s">
        <v>193</v>
      </c>
      <c r="AG310" s="296">
        <v>28108</v>
      </c>
      <c r="AH310" s="298">
        <v>36882</v>
      </c>
      <c r="AJ310" s="296" t="s">
        <v>194</v>
      </c>
      <c r="AK310" s="299">
        <f>COUNTIF($A$3:A$917,A310)</f>
        <v>1</v>
      </c>
    </row>
    <row r="311" spans="1:37" x14ac:dyDescent="0.25">
      <c r="A311" s="296">
        <v>501250246</v>
      </c>
      <c r="B311" s="296" t="s">
        <v>2931</v>
      </c>
      <c r="C311" s="296" t="s">
        <v>183</v>
      </c>
      <c r="D311" s="296" t="s">
        <v>183</v>
      </c>
      <c r="E311" s="296" t="s">
        <v>183</v>
      </c>
      <c r="F311" s="296" t="s">
        <v>2932</v>
      </c>
      <c r="G311" s="296" t="s">
        <v>2933</v>
      </c>
      <c r="H311" s="296" t="s">
        <v>2934</v>
      </c>
      <c r="I311" s="296" t="s">
        <v>2921</v>
      </c>
      <c r="J311" s="296" t="s">
        <v>2935</v>
      </c>
      <c r="K311" s="296" t="s">
        <v>355</v>
      </c>
      <c r="L311" s="296" t="s">
        <v>356</v>
      </c>
      <c r="M311" s="296" t="s">
        <v>179</v>
      </c>
      <c r="N311" s="296" t="s">
        <v>278</v>
      </c>
      <c r="O311" s="296" t="s">
        <v>278</v>
      </c>
      <c r="P311" s="296" t="s">
        <v>183</v>
      </c>
      <c r="Q311" s="296" t="s">
        <v>183</v>
      </c>
      <c r="R311" s="296" t="s">
        <v>357</v>
      </c>
      <c r="S311" s="296" t="s">
        <v>185</v>
      </c>
      <c r="T311" s="296" t="s">
        <v>185</v>
      </c>
      <c r="U311" s="296" t="s">
        <v>186</v>
      </c>
      <c r="V311" s="296" t="s">
        <v>187</v>
      </c>
      <c r="W311" s="296" t="s">
        <v>188</v>
      </c>
      <c r="X311" s="296" t="s">
        <v>189</v>
      </c>
      <c r="Y311" s="296" t="s">
        <v>183</v>
      </c>
      <c r="Z311" s="296" t="s">
        <v>183</v>
      </c>
      <c r="AA311" s="296" t="s">
        <v>183</v>
      </c>
      <c r="AB311" s="296" t="s">
        <v>183</v>
      </c>
      <c r="AC311" s="296" t="s">
        <v>358</v>
      </c>
      <c r="AD311" s="296" t="s">
        <v>2936</v>
      </c>
      <c r="AE311" s="296" t="s">
        <v>192</v>
      </c>
      <c r="AF311" s="296" t="s">
        <v>193</v>
      </c>
      <c r="AG311" s="296">
        <v>0</v>
      </c>
      <c r="AH311" s="298">
        <v>36593</v>
      </c>
      <c r="AJ311" s="296" t="s">
        <v>194</v>
      </c>
      <c r="AK311" s="299">
        <f>COUNTIF($A$3:A$917,A311)</f>
        <v>1</v>
      </c>
    </row>
    <row r="312" spans="1:37" x14ac:dyDescent="0.25">
      <c r="A312" s="296">
        <v>3101886123</v>
      </c>
      <c r="B312" s="296" t="s">
        <v>2053</v>
      </c>
      <c r="C312" s="296" t="s">
        <v>2054</v>
      </c>
      <c r="D312" s="296" t="s">
        <v>2055</v>
      </c>
      <c r="E312" s="296" t="s">
        <v>172</v>
      </c>
      <c r="F312" s="296" t="s">
        <v>2056</v>
      </c>
      <c r="G312" s="296" t="s">
        <v>278</v>
      </c>
      <c r="H312" s="296" t="s">
        <v>2057</v>
      </c>
      <c r="I312" s="296" t="s">
        <v>2937</v>
      </c>
      <c r="J312" s="296" t="s">
        <v>2938</v>
      </c>
      <c r="K312" s="296" t="s">
        <v>2060</v>
      </c>
      <c r="L312" s="296" t="s">
        <v>2061</v>
      </c>
      <c r="M312" s="296" t="s">
        <v>179</v>
      </c>
      <c r="N312" s="296" t="s">
        <v>2062</v>
      </c>
      <c r="O312" s="296" t="s">
        <v>183</v>
      </c>
      <c r="P312" s="296" t="s">
        <v>2063</v>
      </c>
      <c r="Q312" s="296" t="s">
        <v>183</v>
      </c>
      <c r="R312" s="296" t="s">
        <v>2064</v>
      </c>
      <c r="S312" s="296" t="s">
        <v>185</v>
      </c>
      <c r="T312" s="296" t="s">
        <v>185</v>
      </c>
      <c r="U312" s="296" t="s">
        <v>186</v>
      </c>
      <c r="V312" s="296" t="s">
        <v>187</v>
      </c>
      <c r="W312" s="296" t="s">
        <v>188</v>
      </c>
      <c r="X312" s="296" t="s">
        <v>189</v>
      </c>
      <c r="Y312" s="296" t="s">
        <v>183</v>
      </c>
      <c r="Z312" s="296" t="s">
        <v>183</v>
      </c>
      <c r="AA312" s="296" t="s">
        <v>183</v>
      </c>
      <c r="AB312" s="296" t="s">
        <v>183</v>
      </c>
      <c r="AC312" s="296" t="s">
        <v>2065</v>
      </c>
      <c r="AD312" s="296" t="s">
        <v>2939</v>
      </c>
      <c r="AE312" s="296" t="s">
        <v>192</v>
      </c>
      <c r="AF312" s="296" t="s">
        <v>193</v>
      </c>
      <c r="AG312" s="296">
        <v>0</v>
      </c>
      <c r="AH312" s="298">
        <v>45432</v>
      </c>
      <c r="AJ312" s="296" t="s">
        <v>194</v>
      </c>
      <c r="AK312" s="299">
        <f>COUNTIF($A$3:A$917,A312)</f>
        <v>2</v>
      </c>
    </row>
    <row r="313" spans="1:37" x14ac:dyDescent="0.25">
      <c r="A313" s="296">
        <v>3101790716</v>
      </c>
      <c r="B313" s="296" t="s">
        <v>2940</v>
      </c>
      <c r="C313" s="296" t="s">
        <v>183</v>
      </c>
      <c r="D313" s="296" t="s">
        <v>183</v>
      </c>
      <c r="E313" s="296" t="s">
        <v>183</v>
      </c>
      <c r="F313" s="296" t="s">
        <v>2941</v>
      </c>
      <c r="G313" s="296" t="s">
        <v>2941</v>
      </c>
      <c r="H313" s="296" t="s">
        <v>2942</v>
      </c>
      <c r="I313" s="296" t="s">
        <v>2937</v>
      </c>
      <c r="J313" s="296" t="s">
        <v>2943</v>
      </c>
      <c r="K313" s="296" t="s">
        <v>602</v>
      </c>
      <c r="L313" s="296" t="s">
        <v>603</v>
      </c>
      <c r="M313" s="296" t="s">
        <v>179</v>
      </c>
      <c r="N313" s="296" t="s">
        <v>604</v>
      </c>
      <c r="O313" s="296" t="s">
        <v>604</v>
      </c>
      <c r="P313" s="296" t="s">
        <v>605</v>
      </c>
      <c r="Q313" s="296" t="s">
        <v>183</v>
      </c>
      <c r="R313" s="296" t="s">
        <v>1281</v>
      </c>
      <c r="S313" s="296" t="s">
        <v>185</v>
      </c>
      <c r="T313" s="296" t="s">
        <v>185</v>
      </c>
      <c r="U313" s="296" t="s">
        <v>186</v>
      </c>
      <c r="V313" s="296" t="s">
        <v>187</v>
      </c>
      <c r="W313" s="296" t="s">
        <v>188</v>
      </c>
      <c r="X313" s="296" t="s">
        <v>189</v>
      </c>
      <c r="Y313" s="296" t="s">
        <v>183</v>
      </c>
      <c r="Z313" s="296" t="s">
        <v>183</v>
      </c>
      <c r="AA313" s="296" t="s">
        <v>183</v>
      </c>
      <c r="AB313" s="296" t="s">
        <v>183</v>
      </c>
      <c r="AC313" s="296" t="s">
        <v>1282</v>
      </c>
      <c r="AD313" s="296" t="s">
        <v>2944</v>
      </c>
      <c r="AE313" s="296" t="s">
        <v>192</v>
      </c>
      <c r="AF313" s="296" t="s">
        <v>193</v>
      </c>
      <c r="AG313" s="296">
        <v>0</v>
      </c>
      <c r="AH313" s="298">
        <v>44299</v>
      </c>
      <c r="AJ313" s="296" t="s">
        <v>194</v>
      </c>
      <c r="AK313" s="299">
        <f>COUNTIF($A$3:A$917,A313)</f>
        <v>1</v>
      </c>
    </row>
    <row r="314" spans="1:37" x14ac:dyDescent="0.25">
      <c r="A314" s="296">
        <v>207780742</v>
      </c>
      <c r="B314" s="296" t="s">
        <v>2945</v>
      </c>
      <c r="C314" s="296" t="s">
        <v>183</v>
      </c>
      <c r="D314" s="296" t="s">
        <v>183</v>
      </c>
      <c r="E314" s="296" t="s">
        <v>183</v>
      </c>
      <c r="F314" s="296" t="s">
        <v>2946</v>
      </c>
      <c r="G314" s="296" t="s">
        <v>183</v>
      </c>
      <c r="H314" s="296" t="s">
        <v>2947</v>
      </c>
      <c r="I314" s="296" t="s">
        <v>2948</v>
      </c>
      <c r="J314" s="296" t="s">
        <v>2949</v>
      </c>
      <c r="K314" s="296" t="s">
        <v>2950</v>
      </c>
      <c r="L314" s="296" t="s">
        <v>2951</v>
      </c>
      <c r="M314" s="296" t="s">
        <v>179</v>
      </c>
      <c r="N314" s="296" t="s">
        <v>2952</v>
      </c>
      <c r="O314" s="296" t="s">
        <v>2952</v>
      </c>
      <c r="P314" s="296" t="s">
        <v>2953</v>
      </c>
      <c r="Q314" s="296" t="s">
        <v>183</v>
      </c>
      <c r="R314" s="296" t="s">
        <v>2954</v>
      </c>
      <c r="S314" s="296" t="s">
        <v>185</v>
      </c>
      <c r="T314" s="296" t="s">
        <v>185</v>
      </c>
      <c r="U314" s="296" t="s">
        <v>186</v>
      </c>
      <c r="V314" s="296" t="s">
        <v>187</v>
      </c>
      <c r="W314" s="296" t="s">
        <v>188</v>
      </c>
      <c r="X314" s="296" t="s">
        <v>404</v>
      </c>
      <c r="Y314" s="296" t="s">
        <v>183</v>
      </c>
      <c r="Z314" s="296" t="s">
        <v>183</v>
      </c>
      <c r="AA314" s="296" t="s">
        <v>183</v>
      </c>
      <c r="AB314" s="296" t="s">
        <v>183</v>
      </c>
      <c r="AC314" s="296" t="s">
        <v>2955</v>
      </c>
      <c r="AD314" s="296" t="s">
        <v>2956</v>
      </c>
      <c r="AE314" s="296" t="s">
        <v>192</v>
      </c>
      <c r="AF314" s="296" t="s">
        <v>193</v>
      </c>
      <c r="AG314" s="296">
        <v>0</v>
      </c>
      <c r="AH314" s="298">
        <v>45932</v>
      </c>
      <c r="AJ314" s="296" t="s">
        <v>194</v>
      </c>
      <c r="AK314" s="299">
        <f>COUNTIF($A$3:A$917,A314)</f>
        <v>1</v>
      </c>
    </row>
    <row r="315" spans="1:37" x14ac:dyDescent="0.25">
      <c r="A315" s="296">
        <v>113740811</v>
      </c>
      <c r="B315" s="296" t="s">
        <v>2957</v>
      </c>
      <c r="C315" s="296" t="s">
        <v>183</v>
      </c>
      <c r="D315" s="296" t="s">
        <v>183</v>
      </c>
      <c r="E315" s="296" t="s">
        <v>183</v>
      </c>
      <c r="F315" s="296" t="s">
        <v>2958</v>
      </c>
      <c r="G315" s="296" t="s">
        <v>2958</v>
      </c>
      <c r="H315" s="296" t="s">
        <v>2959</v>
      </c>
      <c r="I315" s="296" t="s">
        <v>2948</v>
      </c>
      <c r="J315" s="296" t="s">
        <v>2960</v>
      </c>
      <c r="K315" s="296" t="s">
        <v>2229</v>
      </c>
      <c r="L315" s="296" t="s">
        <v>2230</v>
      </c>
      <c r="M315" s="296" t="s">
        <v>179</v>
      </c>
      <c r="N315" s="296" t="s">
        <v>2231</v>
      </c>
      <c r="O315" s="296" t="s">
        <v>2231</v>
      </c>
      <c r="P315" s="296" t="s">
        <v>2232</v>
      </c>
      <c r="Q315" s="296" t="s">
        <v>183</v>
      </c>
      <c r="R315" s="296" t="s">
        <v>2961</v>
      </c>
      <c r="S315" s="296" t="s">
        <v>194</v>
      </c>
      <c r="T315" s="296" t="s">
        <v>185</v>
      </c>
      <c r="U315" s="296" t="s">
        <v>186</v>
      </c>
      <c r="V315" s="296" t="s">
        <v>187</v>
      </c>
      <c r="W315" s="296" t="s">
        <v>188</v>
      </c>
      <c r="X315" s="296" t="s">
        <v>189</v>
      </c>
      <c r="Y315" s="296" t="s">
        <v>183</v>
      </c>
      <c r="Z315" s="296" t="s">
        <v>183</v>
      </c>
      <c r="AA315" s="296" t="s">
        <v>183</v>
      </c>
      <c r="AB315" s="296" t="s">
        <v>183</v>
      </c>
      <c r="AC315" s="296" t="s">
        <v>2962</v>
      </c>
      <c r="AD315" s="296" t="s">
        <v>2963</v>
      </c>
      <c r="AE315" s="296" t="s">
        <v>192</v>
      </c>
      <c r="AF315" s="296" t="s">
        <v>193</v>
      </c>
      <c r="AG315" s="296">
        <v>0</v>
      </c>
      <c r="AH315" s="298">
        <v>44684</v>
      </c>
      <c r="AJ315" s="296" t="s">
        <v>194</v>
      </c>
      <c r="AK315" s="299">
        <f>COUNTIF($A$3:A$917,A315)</f>
        <v>1</v>
      </c>
    </row>
    <row r="316" spans="1:37" x14ac:dyDescent="0.25">
      <c r="A316" s="296">
        <v>503930421</v>
      </c>
      <c r="B316" s="296" t="s">
        <v>2964</v>
      </c>
      <c r="C316" s="296" t="s">
        <v>183</v>
      </c>
      <c r="D316" s="296" t="s">
        <v>183</v>
      </c>
      <c r="E316" s="296" t="s">
        <v>183</v>
      </c>
      <c r="F316" s="296" t="s">
        <v>2965</v>
      </c>
      <c r="G316" s="296" t="s">
        <v>183</v>
      </c>
      <c r="H316" s="296" t="s">
        <v>2966</v>
      </c>
      <c r="I316" s="296" t="s">
        <v>2948</v>
      </c>
      <c r="J316" s="296" t="s">
        <v>2967</v>
      </c>
      <c r="K316" s="296" t="s">
        <v>2968</v>
      </c>
      <c r="L316" s="296" t="s">
        <v>2964</v>
      </c>
      <c r="M316" s="296" t="s">
        <v>179</v>
      </c>
      <c r="N316" s="296" t="s">
        <v>2965</v>
      </c>
      <c r="O316" s="296" t="s">
        <v>183</v>
      </c>
      <c r="P316" s="296" t="s">
        <v>2966</v>
      </c>
      <c r="Q316" s="296" t="s">
        <v>183</v>
      </c>
      <c r="R316" s="296" t="s">
        <v>2969</v>
      </c>
      <c r="S316" s="296" t="s">
        <v>185</v>
      </c>
      <c r="T316" s="296" t="s">
        <v>185</v>
      </c>
      <c r="U316" s="296" t="s">
        <v>186</v>
      </c>
      <c r="V316" s="296" t="s">
        <v>187</v>
      </c>
      <c r="W316" s="296" t="s">
        <v>188</v>
      </c>
      <c r="X316" s="296" t="s">
        <v>189</v>
      </c>
      <c r="Y316" s="296" t="s">
        <v>183</v>
      </c>
      <c r="Z316" s="296" t="s">
        <v>183</v>
      </c>
      <c r="AA316" s="296" t="s">
        <v>183</v>
      </c>
      <c r="AB316" s="296" t="s">
        <v>183</v>
      </c>
      <c r="AC316" s="296" t="s">
        <v>183</v>
      </c>
      <c r="AD316" s="296" t="s">
        <v>2970</v>
      </c>
      <c r="AE316" s="296" t="s">
        <v>192</v>
      </c>
      <c r="AF316" s="296" t="s">
        <v>193</v>
      </c>
      <c r="AG316" s="296">
        <v>0</v>
      </c>
      <c r="AH316" s="298">
        <v>42790</v>
      </c>
      <c r="AJ316" s="296" t="s">
        <v>194</v>
      </c>
      <c r="AK316" s="299">
        <f>COUNTIF($A$3:A$917,A316)</f>
        <v>1</v>
      </c>
    </row>
    <row r="317" spans="1:37" x14ac:dyDescent="0.25">
      <c r="A317" s="296">
        <v>107640122</v>
      </c>
      <c r="B317" s="296" t="s">
        <v>2971</v>
      </c>
      <c r="C317" s="296" t="s">
        <v>183</v>
      </c>
      <c r="D317" s="296" t="s">
        <v>183</v>
      </c>
      <c r="E317" s="296" t="s">
        <v>183</v>
      </c>
      <c r="F317" s="296" t="s">
        <v>2972</v>
      </c>
      <c r="G317" s="296" t="s">
        <v>278</v>
      </c>
      <c r="H317" s="296" t="s">
        <v>2973</v>
      </c>
      <c r="I317" s="296" t="s">
        <v>2948</v>
      </c>
      <c r="J317" s="296" t="s">
        <v>2974</v>
      </c>
      <c r="K317" s="296" t="s">
        <v>2975</v>
      </c>
      <c r="L317" s="296" t="s">
        <v>2976</v>
      </c>
      <c r="M317" s="296" t="s">
        <v>179</v>
      </c>
      <c r="N317" s="296" t="s">
        <v>2977</v>
      </c>
      <c r="O317" s="296" t="s">
        <v>183</v>
      </c>
      <c r="P317" s="296" t="s">
        <v>2978</v>
      </c>
      <c r="Q317" s="296" t="s">
        <v>183</v>
      </c>
      <c r="R317" s="296" t="s">
        <v>2979</v>
      </c>
      <c r="S317" s="296" t="s">
        <v>185</v>
      </c>
      <c r="T317" s="296" t="s">
        <v>185</v>
      </c>
      <c r="U317" s="296" t="s">
        <v>186</v>
      </c>
      <c r="V317" s="296" t="s">
        <v>187</v>
      </c>
      <c r="W317" s="296" t="s">
        <v>188</v>
      </c>
      <c r="X317" s="296" t="s">
        <v>189</v>
      </c>
      <c r="Y317" s="296" t="s">
        <v>183</v>
      </c>
      <c r="Z317" s="296" t="s">
        <v>183</v>
      </c>
      <c r="AA317" s="296" t="s">
        <v>183</v>
      </c>
      <c r="AB317" s="296" t="s">
        <v>183</v>
      </c>
      <c r="AC317" s="296" t="s">
        <v>2980</v>
      </c>
      <c r="AD317" s="296" t="s">
        <v>2981</v>
      </c>
      <c r="AE317" s="296" t="s">
        <v>192</v>
      </c>
      <c r="AF317" s="296" t="s">
        <v>193</v>
      </c>
      <c r="AG317" s="296">
        <v>0</v>
      </c>
      <c r="AH317" s="298">
        <v>43557</v>
      </c>
      <c r="AJ317" s="296" t="s">
        <v>194</v>
      </c>
      <c r="AK317" s="299">
        <f>COUNTIF($A$3:A$917,A317)</f>
        <v>4</v>
      </c>
    </row>
    <row r="318" spans="1:37" x14ac:dyDescent="0.25">
      <c r="A318" s="296">
        <v>504180825</v>
      </c>
      <c r="B318" s="296" t="s">
        <v>2982</v>
      </c>
      <c r="C318" s="296" t="s">
        <v>183</v>
      </c>
      <c r="D318" s="296" t="s">
        <v>183</v>
      </c>
      <c r="E318" s="296" t="s">
        <v>183</v>
      </c>
      <c r="F318" s="296" t="s">
        <v>2983</v>
      </c>
      <c r="G318" s="296" t="s">
        <v>183</v>
      </c>
      <c r="H318" s="296" t="s">
        <v>2984</v>
      </c>
      <c r="I318" s="296" t="s">
        <v>2948</v>
      </c>
      <c r="J318" s="296" t="s">
        <v>2985</v>
      </c>
      <c r="K318" s="296" t="s">
        <v>2986</v>
      </c>
      <c r="L318" s="296" t="s">
        <v>2987</v>
      </c>
      <c r="M318" s="296" t="s">
        <v>179</v>
      </c>
      <c r="N318" s="296" t="s">
        <v>2988</v>
      </c>
      <c r="O318" s="296" t="s">
        <v>2988</v>
      </c>
      <c r="P318" s="296" t="s">
        <v>2989</v>
      </c>
      <c r="Q318" s="296" t="s">
        <v>183</v>
      </c>
      <c r="R318" s="296" t="s">
        <v>2990</v>
      </c>
      <c r="S318" s="296" t="s">
        <v>185</v>
      </c>
      <c r="T318" s="296" t="s">
        <v>185</v>
      </c>
      <c r="U318" s="296" t="s">
        <v>186</v>
      </c>
      <c r="V318" s="296" t="s">
        <v>187</v>
      </c>
      <c r="W318" s="296" t="s">
        <v>188</v>
      </c>
      <c r="X318" s="296" t="s">
        <v>189</v>
      </c>
      <c r="Y318" s="296" t="s">
        <v>183</v>
      </c>
      <c r="Z318" s="296" t="s">
        <v>183</v>
      </c>
      <c r="AA318" s="296" t="s">
        <v>183</v>
      </c>
      <c r="AB318" s="296" t="s">
        <v>183</v>
      </c>
      <c r="AC318" s="296" t="s">
        <v>2991</v>
      </c>
      <c r="AD318" s="296" t="s">
        <v>2992</v>
      </c>
      <c r="AE318" s="296" t="s">
        <v>192</v>
      </c>
      <c r="AF318" s="296" t="s">
        <v>193</v>
      </c>
      <c r="AG318" s="296">
        <v>0</v>
      </c>
      <c r="AH318" s="298">
        <v>45177</v>
      </c>
      <c r="AJ318" s="296" t="s">
        <v>194</v>
      </c>
      <c r="AK318" s="299">
        <f>COUNTIF($A$3:A$917,A318)</f>
        <v>1</v>
      </c>
    </row>
    <row r="319" spans="1:37" x14ac:dyDescent="0.25">
      <c r="A319" s="296">
        <v>108330405</v>
      </c>
      <c r="B319" s="296" t="s">
        <v>2993</v>
      </c>
      <c r="C319" s="296" t="s">
        <v>183</v>
      </c>
      <c r="D319" s="296" t="s">
        <v>183</v>
      </c>
      <c r="E319" s="296" t="s">
        <v>183</v>
      </c>
      <c r="F319" s="296" t="s">
        <v>2994</v>
      </c>
      <c r="G319" s="296" t="s">
        <v>2995</v>
      </c>
      <c r="H319" s="296" t="s">
        <v>2996</v>
      </c>
      <c r="I319" s="296" t="s">
        <v>2997</v>
      </c>
      <c r="J319" s="296" t="s">
        <v>2998</v>
      </c>
      <c r="K319" s="296" t="s">
        <v>2999</v>
      </c>
      <c r="L319" s="296" t="s">
        <v>2993</v>
      </c>
      <c r="M319" s="296" t="s">
        <v>179</v>
      </c>
      <c r="N319" s="296" t="s">
        <v>2994</v>
      </c>
      <c r="O319" s="296" t="s">
        <v>2995</v>
      </c>
      <c r="P319" s="296" t="s">
        <v>2996</v>
      </c>
      <c r="Q319" s="296" t="s">
        <v>183</v>
      </c>
      <c r="R319" s="296" t="s">
        <v>3000</v>
      </c>
      <c r="S319" s="296" t="s">
        <v>185</v>
      </c>
      <c r="T319" s="296" t="s">
        <v>185</v>
      </c>
      <c r="U319" s="296" t="s">
        <v>186</v>
      </c>
      <c r="V319" s="296" t="s">
        <v>187</v>
      </c>
      <c r="W319" s="296" t="s">
        <v>188</v>
      </c>
      <c r="X319" s="296" t="s">
        <v>189</v>
      </c>
      <c r="Y319" s="296" t="s">
        <v>183</v>
      </c>
      <c r="Z319" s="296" t="s">
        <v>183</v>
      </c>
      <c r="AA319" s="296" t="s">
        <v>183</v>
      </c>
      <c r="AB319" s="296" t="s">
        <v>183</v>
      </c>
      <c r="AC319" s="296" t="s">
        <v>3001</v>
      </c>
      <c r="AD319" s="296" t="s">
        <v>3002</v>
      </c>
      <c r="AE319" s="296" t="s">
        <v>192</v>
      </c>
      <c r="AF319" s="296" t="s">
        <v>193</v>
      </c>
      <c r="AG319" s="296">
        <v>17436</v>
      </c>
      <c r="AH319" s="298">
        <v>37398</v>
      </c>
      <c r="AJ319" s="296" t="s">
        <v>194</v>
      </c>
      <c r="AK319" s="299">
        <f>COUNTIF($A$3:A$917,A319)</f>
        <v>1</v>
      </c>
    </row>
    <row r="320" spans="1:37" x14ac:dyDescent="0.25">
      <c r="A320" s="296">
        <v>3101256045</v>
      </c>
      <c r="B320" s="296" t="s">
        <v>1346</v>
      </c>
      <c r="C320" s="296" t="s">
        <v>183</v>
      </c>
      <c r="D320" s="296" t="s">
        <v>183</v>
      </c>
      <c r="E320" s="296" t="s">
        <v>183</v>
      </c>
      <c r="F320" s="296" t="s">
        <v>1347</v>
      </c>
      <c r="G320" s="296" t="s">
        <v>1348</v>
      </c>
      <c r="H320" s="296" t="s">
        <v>1349</v>
      </c>
      <c r="I320" s="296" t="s">
        <v>2997</v>
      </c>
      <c r="J320" s="296" t="s">
        <v>3003</v>
      </c>
      <c r="K320" s="296" t="s">
        <v>1351</v>
      </c>
      <c r="L320" s="296" t="s">
        <v>1352</v>
      </c>
      <c r="M320" s="296" t="s">
        <v>179</v>
      </c>
      <c r="N320" s="296" t="s">
        <v>1353</v>
      </c>
      <c r="O320" s="296" t="s">
        <v>1353</v>
      </c>
      <c r="P320" s="296" t="s">
        <v>1354</v>
      </c>
      <c r="Q320" s="296" t="s">
        <v>183</v>
      </c>
      <c r="R320" s="296" t="s">
        <v>1355</v>
      </c>
      <c r="S320" s="296" t="s">
        <v>185</v>
      </c>
      <c r="T320" s="296" t="s">
        <v>185</v>
      </c>
      <c r="U320" s="296" t="s">
        <v>186</v>
      </c>
      <c r="V320" s="296" t="s">
        <v>187</v>
      </c>
      <c r="W320" s="296" t="s">
        <v>188</v>
      </c>
      <c r="X320" s="296" t="s">
        <v>189</v>
      </c>
      <c r="Y320" s="296" t="s">
        <v>183</v>
      </c>
      <c r="Z320" s="296" t="s">
        <v>183</v>
      </c>
      <c r="AA320" s="296" t="s">
        <v>183</v>
      </c>
      <c r="AB320" s="296" t="s">
        <v>183</v>
      </c>
      <c r="AC320" s="296" t="s">
        <v>1356</v>
      </c>
      <c r="AD320" s="296" t="s">
        <v>3004</v>
      </c>
      <c r="AE320" s="296" t="s">
        <v>192</v>
      </c>
      <c r="AF320" s="296" t="s">
        <v>193</v>
      </c>
      <c r="AG320" s="296">
        <v>11914</v>
      </c>
      <c r="AH320" s="298">
        <v>39330</v>
      </c>
      <c r="AJ320" s="296" t="s">
        <v>194</v>
      </c>
      <c r="AK320" s="299">
        <f>COUNTIF($A$3:A$917,A320)</f>
        <v>3</v>
      </c>
    </row>
    <row r="321" spans="1:37" x14ac:dyDescent="0.25">
      <c r="A321" s="296">
        <v>106120951</v>
      </c>
      <c r="B321" s="296" t="s">
        <v>3005</v>
      </c>
      <c r="C321" s="296" t="s">
        <v>183</v>
      </c>
      <c r="D321" s="296" t="s">
        <v>183</v>
      </c>
      <c r="E321" s="296" t="s">
        <v>183</v>
      </c>
      <c r="F321" s="296" t="s">
        <v>3006</v>
      </c>
      <c r="G321" s="296" t="s">
        <v>3006</v>
      </c>
      <c r="H321" s="296" t="s">
        <v>3007</v>
      </c>
      <c r="I321" s="296" t="s">
        <v>2997</v>
      </c>
      <c r="J321" s="296" t="s">
        <v>3008</v>
      </c>
      <c r="K321" s="296" t="s">
        <v>3009</v>
      </c>
      <c r="L321" s="296" t="s">
        <v>3005</v>
      </c>
      <c r="M321" s="296" t="s">
        <v>179</v>
      </c>
      <c r="N321" s="296" t="s">
        <v>3006</v>
      </c>
      <c r="O321" s="296" t="s">
        <v>3006</v>
      </c>
      <c r="P321" s="296" t="s">
        <v>3007</v>
      </c>
      <c r="Q321" s="296" t="s">
        <v>183</v>
      </c>
      <c r="R321" s="296" t="s">
        <v>3010</v>
      </c>
      <c r="S321" s="296" t="s">
        <v>185</v>
      </c>
      <c r="T321" s="296" t="s">
        <v>185</v>
      </c>
      <c r="U321" s="296" t="s">
        <v>186</v>
      </c>
      <c r="V321" s="296" t="s">
        <v>187</v>
      </c>
      <c r="W321" s="296" t="s">
        <v>188</v>
      </c>
      <c r="X321" s="296" t="s">
        <v>189</v>
      </c>
      <c r="Y321" s="296" t="s">
        <v>183</v>
      </c>
      <c r="Z321" s="296" t="s">
        <v>183</v>
      </c>
      <c r="AA321" s="296" t="s">
        <v>183</v>
      </c>
      <c r="AB321" s="296" t="s">
        <v>183</v>
      </c>
      <c r="AC321" s="296" t="s">
        <v>3011</v>
      </c>
      <c r="AD321" s="296" t="s">
        <v>3012</v>
      </c>
      <c r="AE321" s="296" t="s">
        <v>192</v>
      </c>
      <c r="AF321" s="296" t="s">
        <v>193</v>
      </c>
      <c r="AG321" s="296">
        <v>0</v>
      </c>
      <c r="AH321" s="298">
        <v>44027</v>
      </c>
      <c r="AJ321" s="296" t="s">
        <v>194</v>
      </c>
      <c r="AK321" s="299">
        <f>COUNTIF($A$3:A$917,A321)</f>
        <v>1</v>
      </c>
    </row>
    <row r="322" spans="1:37" x14ac:dyDescent="0.25">
      <c r="A322" s="296">
        <v>602000149</v>
      </c>
      <c r="B322" s="296" t="s">
        <v>3013</v>
      </c>
      <c r="C322" s="296" t="s">
        <v>183</v>
      </c>
      <c r="D322" s="296" t="s">
        <v>183</v>
      </c>
      <c r="E322" s="296" t="s">
        <v>183</v>
      </c>
      <c r="F322" s="296" t="s">
        <v>3014</v>
      </c>
      <c r="G322" s="296" t="s">
        <v>3015</v>
      </c>
      <c r="H322" s="296" t="s">
        <v>3016</v>
      </c>
      <c r="I322" s="296" t="s">
        <v>2997</v>
      </c>
      <c r="J322" s="296" t="s">
        <v>3017</v>
      </c>
      <c r="K322" s="296" t="s">
        <v>3018</v>
      </c>
      <c r="L322" s="296" t="s">
        <v>3019</v>
      </c>
      <c r="M322" s="296" t="s">
        <v>179</v>
      </c>
      <c r="N322" s="296" t="s">
        <v>3014</v>
      </c>
      <c r="O322" s="296" t="s">
        <v>3015</v>
      </c>
      <c r="P322" s="296" t="s">
        <v>3016</v>
      </c>
      <c r="Q322" s="296" t="s">
        <v>183</v>
      </c>
      <c r="R322" s="296" t="s">
        <v>3020</v>
      </c>
      <c r="S322" s="296" t="s">
        <v>185</v>
      </c>
      <c r="T322" s="296" t="s">
        <v>185</v>
      </c>
      <c r="U322" s="296" t="s">
        <v>186</v>
      </c>
      <c r="V322" s="296" t="s">
        <v>187</v>
      </c>
      <c r="W322" s="296" t="s">
        <v>188</v>
      </c>
      <c r="X322" s="296" t="s">
        <v>189</v>
      </c>
      <c r="Y322" s="296" t="s">
        <v>183</v>
      </c>
      <c r="Z322" s="296" t="s">
        <v>183</v>
      </c>
      <c r="AA322" s="296" t="s">
        <v>183</v>
      </c>
      <c r="AB322" s="296" t="s">
        <v>183</v>
      </c>
      <c r="AC322" s="296" t="s">
        <v>3021</v>
      </c>
      <c r="AD322" s="296" t="s">
        <v>3022</v>
      </c>
      <c r="AE322" s="296" t="s">
        <v>192</v>
      </c>
      <c r="AF322" s="296" t="s">
        <v>193</v>
      </c>
      <c r="AG322" s="296">
        <v>0</v>
      </c>
      <c r="AH322" s="298">
        <v>40681</v>
      </c>
      <c r="AJ322" s="296" t="s">
        <v>194</v>
      </c>
      <c r="AK322" s="299">
        <f>COUNTIF($A$3:A$917,A322)</f>
        <v>2</v>
      </c>
    </row>
    <row r="323" spans="1:37" x14ac:dyDescent="0.25">
      <c r="A323" s="296">
        <v>603570895</v>
      </c>
      <c r="B323" s="296" t="s">
        <v>1418</v>
      </c>
      <c r="C323" s="296" t="s">
        <v>183</v>
      </c>
      <c r="D323" s="296" t="s">
        <v>183</v>
      </c>
      <c r="E323" s="296" t="s">
        <v>183</v>
      </c>
      <c r="F323" s="296" t="s">
        <v>1419</v>
      </c>
      <c r="G323" s="296" t="s">
        <v>1420</v>
      </c>
      <c r="H323" s="296" t="s">
        <v>1421</v>
      </c>
      <c r="I323" s="296" t="s">
        <v>2997</v>
      </c>
      <c r="J323" s="296" t="s">
        <v>1422</v>
      </c>
      <c r="K323" s="296" t="s">
        <v>1423</v>
      </c>
      <c r="L323" s="296" t="s">
        <v>1424</v>
      </c>
      <c r="M323" s="296" t="s">
        <v>179</v>
      </c>
      <c r="N323" s="296" t="s">
        <v>1425</v>
      </c>
      <c r="O323" s="296" t="s">
        <v>1426</v>
      </c>
      <c r="P323" s="296" t="s">
        <v>1421</v>
      </c>
      <c r="Q323" s="296" t="s">
        <v>183</v>
      </c>
      <c r="R323" s="296" t="s">
        <v>1427</v>
      </c>
      <c r="S323" s="296" t="s">
        <v>185</v>
      </c>
      <c r="T323" s="296" t="s">
        <v>185</v>
      </c>
      <c r="U323" s="296" t="s">
        <v>186</v>
      </c>
      <c r="V323" s="296" t="s">
        <v>187</v>
      </c>
      <c r="W323" s="296" t="s">
        <v>188</v>
      </c>
      <c r="X323" s="296" t="s">
        <v>404</v>
      </c>
      <c r="Y323" s="296" t="s">
        <v>183</v>
      </c>
      <c r="Z323" s="296" t="s">
        <v>183</v>
      </c>
      <c r="AA323" s="296" t="s">
        <v>183</v>
      </c>
      <c r="AB323" s="296" t="s">
        <v>183</v>
      </c>
      <c r="AC323" s="296" t="s">
        <v>1428</v>
      </c>
      <c r="AD323" s="296" t="s">
        <v>3023</v>
      </c>
      <c r="AE323" s="296" t="s">
        <v>192</v>
      </c>
      <c r="AF323" s="296" t="s">
        <v>193</v>
      </c>
      <c r="AG323" s="296">
        <v>8292</v>
      </c>
      <c r="AH323" s="298">
        <v>41534</v>
      </c>
      <c r="AJ323" s="296" t="s">
        <v>194</v>
      </c>
      <c r="AK323" s="299">
        <f>COUNTIF($A$3:A$917,A323)</f>
        <v>2</v>
      </c>
    </row>
    <row r="324" spans="1:37" x14ac:dyDescent="0.25">
      <c r="A324" s="296">
        <v>205400122</v>
      </c>
      <c r="B324" s="296" t="s">
        <v>1511</v>
      </c>
      <c r="C324" s="296" t="s">
        <v>183</v>
      </c>
      <c r="D324" s="296" t="s">
        <v>183</v>
      </c>
      <c r="E324" s="296" t="s">
        <v>183</v>
      </c>
      <c r="F324" s="296" t="s">
        <v>1512</v>
      </c>
      <c r="G324" s="296" t="s">
        <v>1512</v>
      </c>
      <c r="H324" s="296" t="s">
        <v>1513</v>
      </c>
      <c r="I324" s="296" t="s">
        <v>2997</v>
      </c>
      <c r="J324" s="296" t="s">
        <v>1514</v>
      </c>
      <c r="K324" s="296" t="s">
        <v>1515</v>
      </c>
      <c r="L324" s="296" t="s">
        <v>1516</v>
      </c>
      <c r="M324" s="296" t="s">
        <v>179</v>
      </c>
      <c r="N324" s="296" t="s">
        <v>1517</v>
      </c>
      <c r="O324" s="296" t="s">
        <v>183</v>
      </c>
      <c r="P324" s="296" t="s">
        <v>1518</v>
      </c>
      <c r="Q324" s="296" t="s">
        <v>183</v>
      </c>
      <c r="R324" s="296" t="s">
        <v>1519</v>
      </c>
      <c r="S324" s="296" t="s">
        <v>185</v>
      </c>
      <c r="T324" s="296" t="s">
        <v>185</v>
      </c>
      <c r="U324" s="296" t="s">
        <v>186</v>
      </c>
      <c r="V324" s="296" t="s">
        <v>187</v>
      </c>
      <c r="W324" s="296" t="s">
        <v>188</v>
      </c>
      <c r="X324" s="296" t="s">
        <v>256</v>
      </c>
      <c r="Y324" s="296" t="s">
        <v>183</v>
      </c>
      <c r="Z324" s="296" t="s">
        <v>183</v>
      </c>
      <c r="AA324" s="296" t="s">
        <v>183</v>
      </c>
      <c r="AB324" s="296" t="s">
        <v>183</v>
      </c>
      <c r="AC324" s="296" t="s">
        <v>1520</v>
      </c>
      <c r="AD324" s="296" t="s">
        <v>3024</v>
      </c>
      <c r="AE324" s="296" t="s">
        <v>192</v>
      </c>
      <c r="AF324" s="296" t="s">
        <v>193</v>
      </c>
      <c r="AG324" s="296">
        <v>0</v>
      </c>
      <c r="AH324" s="298">
        <v>42653</v>
      </c>
      <c r="AJ324" s="296" t="s">
        <v>194</v>
      </c>
      <c r="AK324" s="299">
        <f>COUNTIF($A$3:A$917,A324)</f>
        <v>2</v>
      </c>
    </row>
    <row r="325" spans="1:37" x14ac:dyDescent="0.25">
      <c r="A325" s="296">
        <v>110420779</v>
      </c>
      <c r="B325" s="296" t="s">
        <v>3025</v>
      </c>
      <c r="C325" s="296" t="s">
        <v>183</v>
      </c>
      <c r="D325" s="296" t="s">
        <v>183</v>
      </c>
      <c r="E325" s="296" t="s">
        <v>183</v>
      </c>
      <c r="F325" s="296" t="s">
        <v>3026</v>
      </c>
      <c r="G325" s="296" t="s">
        <v>3026</v>
      </c>
      <c r="H325" s="296" t="s">
        <v>3027</v>
      </c>
      <c r="I325" s="296" t="s">
        <v>3028</v>
      </c>
      <c r="J325" s="296" t="s">
        <v>3029</v>
      </c>
      <c r="K325" s="296" t="s">
        <v>3030</v>
      </c>
      <c r="L325" s="296" t="s">
        <v>3031</v>
      </c>
      <c r="M325" s="296" t="s">
        <v>179</v>
      </c>
      <c r="N325" s="296" t="s">
        <v>3032</v>
      </c>
      <c r="O325" s="296" t="s">
        <v>278</v>
      </c>
      <c r="P325" s="296" t="s">
        <v>3033</v>
      </c>
      <c r="Q325" s="296" t="s">
        <v>183</v>
      </c>
      <c r="R325" s="296" t="s">
        <v>3034</v>
      </c>
      <c r="S325" s="296" t="s">
        <v>185</v>
      </c>
      <c r="T325" s="296" t="s">
        <v>185</v>
      </c>
      <c r="U325" s="296" t="s">
        <v>186</v>
      </c>
      <c r="V325" s="296" t="s">
        <v>187</v>
      </c>
      <c r="W325" s="296" t="s">
        <v>188</v>
      </c>
      <c r="X325" s="296" t="s">
        <v>189</v>
      </c>
      <c r="Y325" s="296" t="s">
        <v>183</v>
      </c>
      <c r="Z325" s="296" t="s">
        <v>183</v>
      </c>
      <c r="AA325" s="296" t="s">
        <v>183</v>
      </c>
      <c r="AB325" s="296" t="s">
        <v>183</v>
      </c>
      <c r="AC325" s="296" t="s">
        <v>3035</v>
      </c>
      <c r="AD325" s="296" t="s">
        <v>3036</v>
      </c>
      <c r="AE325" s="296" t="s">
        <v>192</v>
      </c>
      <c r="AF325" s="296" t="s">
        <v>193</v>
      </c>
      <c r="AG325" s="296">
        <v>0</v>
      </c>
      <c r="AH325" s="298">
        <v>44790</v>
      </c>
      <c r="AJ325" s="296" t="s">
        <v>194</v>
      </c>
      <c r="AK325" s="299">
        <f>COUNTIF($A$3:A$917,A325)</f>
        <v>1</v>
      </c>
    </row>
    <row r="326" spans="1:37" x14ac:dyDescent="0.25">
      <c r="A326" s="296">
        <v>604130192</v>
      </c>
      <c r="B326" s="296" t="s">
        <v>723</v>
      </c>
      <c r="C326" s="296" t="s">
        <v>183</v>
      </c>
      <c r="D326" s="296" t="s">
        <v>183</v>
      </c>
      <c r="E326" s="296" t="s">
        <v>183</v>
      </c>
      <c r="F326" s="296" t="s">
        <v>183</v>
      </c>
      <c r="G326" s="296" t="s">
        <v>724</v>
      </c>
      <c r="H326" s="296" t="s">
        <v>725</v>
      </c>
      <c r="I326" s="296" t="s">
        <v>3028</v>
      </c>
      <c r="J326" s="296" t="s">
        <v>726</v>
      </c>
      <c r="K326" s="296" t="s">
        <v>727</v>
      </c>
      <c r="L326" s="296" t="s">
        <v>728</v>
      </c>
      <c r="M326" s="296" t="s">
        <v>179</v>
      </c>
      <c r="N326" s="296" t="s">
        <v>729</v>
      </c>
      <c r="O326" s="296" t="s">
        <v>729</v>
      </c>
      <c r="P326" s="296" t="s">
        <v>730</v>
      </c>
      <c r="Q326" s="296" t="s">
        <v>183</v>
      </c>
      <c r="R326" s="296" t="s">
        <v>731</v>
      </c>
      <c r="S326" s="296" t="s">
        <v>185</v>
      </c>
      <c r="T326" s="296" t="s">
        <v>185</v>
      </c>
      <c r="U326" s="296" t="s">
        <v>186</v>
      </c>
      <c r="V326" s="296" t="s">
        <v>187</v>
      </c>
      <c r="W326" s="296" t="s">
        <v>188</v>
      </c>
      <c r="X326" s="296" t="s">
        <v>246</v>
      </c>
      <c r="Y326" s="296" t="s">
        <v>183</v>
      </c>
      <c r="Z326" s="296" t="s">
        <v>183</v>
      </c>
      <c r="AA326" s="296" t="s">
        <v>183</v>
      </c>
      <c r="AB326" s="296" t="s">
        <v>183</v>
      </c>
      <c r="AC326" s="296" t="s">
        <v>732</v>
      </c>
      <c r="AD326" s="296" t="s">
        <v>3037</v>
      </c>
      <c r="AE326" s="296" t="s">
        <v>192</v>
      </c>
      <c r="AF326" s="296" t="s">
        <v>193</v>
      </c>
      <c r="AG326" s="296">
        <v>0</v>
      </c>
      <c r="AH326" s="298">
        <v>44006</v>
      </c>
      <c r="AJ326" s="296" t="s">
        <v>194</v>
      </c>
      <c r="AK326" s="299">
        <f>COUNTIF($A$3:A$917,A326)</f>
        <v>2</v>
      </c>
    </row>
    <row r="327" spans="1:37" x14ac:dyDescent="0.25">
      <c r="A327" s="296">
        <v>503730337</v>
      </c>
      <c r="B327" s="296" t="s">
        <v>3038</v>
      </c>
      <c r="C327" s="296" t="s">
        <v>183</v>
      </c>
      <c r="D327" s="296" t="s">
        <v>183</v>
      </c>
      <c r="E327" s="296" t="s">
        <v>183</v>
      </c>
      <c r="F327" s="296" t="s">
        <v>3039</v>
      </c>
      <c r="G327" s="296" t="s">
        <v>3039</v>
      </c>
      <c r="H327" s="296" t="s">
        <v>3040</v>
      </c>
      <c r="I327" s="296" t="s">
        <v>3028</v>
      </c>
      <c r="J327" s="296" t="s">
        <v>3041</v>
      </c>
      <c r="K327" s="296" t="s">
        <v>3042</v>
      </c>
      <c r="L327" s="296" t="s">
        <v>3043</v>
      </c>
      <c r="M327" s="296" t="s">
        <v>179</v>
      </c>
      <c r="N327" s="296" t="s">
        <v>3044</v>
      </c>
      <c r="O327" s="296" t="s">
        <v>183</v>
      </c>
      <c r="P327" s="296" t="s">
        <v>3045</v>
      </c>
      <c r="Q327" s="296" t="s">
        <v>183</v>
      </c>
      <c r="R327" s="296" t="s">
        <v>3046</v>
      </c>
      <c r="S327" s="296" t="s">
        <v>185</v>
      </c>
      <c r="T327" s="296" t="s">
        <v>185</v>
      </c>
      <c r="U327" s="296" t="s">
        <v>186</v>
      </c>
      <c r="V327" s="296" t="s">
        <v>187</v>
      </c>
      <c r="W327" s="296" t="s">
        <v>188</v>
      </c>
      <c r="X327" s="296" t="s">
        <v>246</v>
      </c>
      <c r="Y327" s="296" t="s">
        <v>183</v>
      </c>
      <c r="Z327" s="296" t="s">
        <v>183</v>
      </c>
      <c r="AA327" s="296" t="s">
        <v>183</v>
      </c>
      <c r="AB327" s="296" t="s">
        <v>183</v>
      </c>
      <c r="AC327" s="296" t="s">
        <v>3047</v>
      </c>
      <c r="AD327" s="296" t="s">
        <v>3048</v>
      </c>
      <c r="AE327" s="296" t="s">
        <v>192</v>
      </c>
      <c r="AF327" s="296" t="s">
        <v>193</v>
      </c>
      <c r="AG327" s="296">
        <v>0</v>
      </c>
      <c r="AH327" s="298">
        <v>45009</v>
      </c>
      <c r="AJ327" s="296" t="s">
        <v>194</v>
      </c>
      <c r="AK327" s="299">
        <f>COUNTIF($A$3:A$917,A327)</f>
        <v>2</v>
      </c>
    </row>
    <row r="328" spans="1:37" x14ac:dyDescent="0.25">
      <c r="A328" s="296">
        <v>501160115</v>
      </c>
      <c r="B328" s="296" t="s">
        <v>3049</v>
      </c>
      <c r="C328" s="296" t="s">
        <v>183</v>
      </c>
      <c r="D328" s="296" t="s">
        <v>183</v>
      </c>
      <c r="E328" s="296" t="s">
        <v>183</v>
      </c>
      <c r="F328" s="296" t="s">
        <v>3050</v>
      </c>
      <c r="G328" s="296" t="s">
        <v>3051</v>
      </c>
      <c r="H328" s="296" t="s">
        <v>3052</v>
      </c>
      <c r="I328" s="296" t="s">
        <v>3028</v>
      </c>
      <c r="J328" s="296" t="s">
        <v>3053</v>
      </c>
      <c r="K328" s="296" t="s">
        <v>3054</v>
      </c>
      <c r="L328" s="296" t="s">
        <v>3055</v>
      </c>
      <c r="M328" s="296" t="s">
        <v>179</v>
      </c>
      <c r="N328" s="296" t="s">
        <v>3050</v>
      </c>
      <c r="O328" s="296" t="s">
        <v>3050</v>
      </c>
      <c r="P328" s="296" t="s">
        <v>3052</v>
      </c>
      <c r="Q328" s="296" t="s">
        <v>183</v>
      </c>
      <c r="R328" s="296" t="s">
        <v>3056</v>
      </c>
      <c r="S328" s="296" t="s">
        <v>185</v>
      </c>
      <c r="T328" s="296" t="s">
        <v>185</v>
      </c>
      <c r="U328" s="296" t="s">
        <v>186</v>
      </c>
      <c r="V328" s="296" t="s">
        <v>187</v>
      </c>
      <c r="W328" s="296" t="s">
        <v>188</v>
      </c>
      <c r="X328" s="296" t="s">
        <v>189</v>
      </c>
      <c r="Y328" s="296" t="s">
        <v>183</v>
      </c>
      <c r="Z328" s="296" t="s">
        <v>183</v>
      </c>
      <c r="AA328" s="296" t="s">
        <v>183</v>
      </c>
      <c r="AB328" s="296" t="s">
        <v>183</v>
      </c>
      <c r="AC328" s="296" t="s">
        <v>3057</v>
      </c>
      <c r="AD328" s="296" t="s">
        <v>3058</v>
      </c>
      <c r="AE328" s="296" t="s">
        <v>192</v>
      </c>
      <c r="AF328" s="296" t="s">
        <v>193</v>
      </c>
      <c r="AG328" s="296">
        <v>26648.75</v>
      </c>
      <c r="AH328" s="298">
        <v>43501</v>
      </c>
      <c r="AJ328" s="296" t="s">
        <v>194</v>
      </c>
      <c r="AK328" s="299">
        <f>COUNTIF($A$3:A$917,A328)</f>
        <v>2</v>
      </c>
    </row>
    <row r="329" spans="1:37" x14ac:dyDescent="0.25">
      <c r="A329" s="296">
        <v>502310194</v>
      </c>
      <c r="B329" s="296" t="s">
        <v>2724</v>
      </c>
      <c r="C329" s="296" t="s">
        <v>183</v>
      </c>
      <c r="D329" s="296" t="s">
        <v>183</v>
      </c>
      <c r="E329" s="296" t="s">
        <v>183</v>
      </c>
      <c r="F329" s="296" t="s">
        <v>2725</v>
      </c>
      <c r="G329" s="296" t="s">
        <v>2725</v>
      </c>
      <c r="H329" s="296" t="s">
        <v>2726</v>
      </c>
      <c r="I329" s="296" t="s">
        <v>3028</v>
      </c>
      <c r="J329" s="296" t="s">
        <v>3059</v>
      </c>
      <c r="K329" s="296" t="s">
        <v>3060</v>
      </c>
      <c r="L329" s="296" t="s">
        <v>3061</v>
      </c>
      <c r="M329" s="296" t="s">
        <v>179</v>
      </c>
      <c r="N329" s="296" t="s">
        <v>3062</v>
      </c>
      <c r="O329" s="296" t="s">
        <v>183</v>
      </c>
      <c r="P329" s="296" t="s">
        <v>3063</v>
      </c>
      <c r="Q329" s="296" t="s">
        <v>183</v>
      </c>
      <c r="R329" s="296" t="s">
        <v>3064</v>
      </c>
      <c r="S329" s="296" t="s">
        <v>185</v>
      </c>
      <c r="T329" s="296" t="s">
        <v>185</v>
      </c>
      <c r="U329" s="296" t="s">
        <v>186</v>
      </c>
      <c r="V329" s="296" t="s">
        <v>187</v>
      </c>
      <c r="W329" s="296" t="s">
        <v>188</v>
      </c>
      <c r="X329" s="296" t="s">
        <v>189</v>
      </c>
      <c r="Y329" s="296" t="s">
        <v>183</v>
      </c>
      <c r="Z329" s="296" t="s">
        <v>183</v>
      </c>
      <c r="AA329" s="296" t="s">
        <v>183</v>
      </c>
      <c r="AB329" s="296" t="s">
        <v>183</v>
      </c>
      <c r="AC329" s="296" t="s">
        <v>3065</v>
      </c>
      <c r="AD329" s="296" t="s">
        <v>3066</v>
      </c>
      <c r="AE329" s="296" t="s">
        <v>192</v>
      </c>
      <c r="AF329" s="296" t="s">
        <v>193</v>
      </c>
      <c r="AG329" s="296">
        <v>24062</v>
      </c>
      <c r="AH329" s="298">
        <v>43593</v>
      </c>
      <c r="AJ329" s="296" t="s">
        <v>194</v>
      </c>
      <c r="AK329" s="299">
        <f>COUNTIF($A$3:A$917,A329)</f>
        <v>2</v>
      </c>
    </row>
    <row r="330" spans="1:37" x14ac:dyDescent="0.25">
      <c r="A330" s="296">
        <v>503490792</v>
      </c>
      <c r="B330" s="296" t="s">
        <v>3067</v>
      </c>
      <c r="C330" s="296" t="s">
        <v>183</v>
      </c>
      <c r="D330" s="296" t="s">
        <v>183</v>
      </c>
      <c r="E330" s="296" t="s">
        <v>183</v>
      </c>
      <c r="F330" s="296" t="s">
        <v>3068</v>
      </c>
      <c r="G330" s="296" t="s">
        <v>278</v>
      </c>
      <c r="H330" s="296" t="s">
        <v>3069</v>
      </c>
      <c r="I330" s="296" t="s">
        <v>3028</v>
      </c>
      <c r="J330" s="296" t="s">
        <v>3070</v>
      </c>
      <c r="K330" s="296" t="s">
        <v>3071</v>
      </c>
      <c r="L330" s="296" t="s">
        <v>3072</v>
      </c>
      <c r="M330" s="296" t="s">
        <v>179</v>
      </c>
      <c r="N330" s="296" t="s">
        <v>3073</v>
      </c>
      <c r="O330" s="296" t="s">
        <v>183</v>
      </c>
      <c r="P330" s="296" t="s">
        <v>3074</v>
      </c>
      <c r="Q330" s="296" t="s">
        <v>183</v>
      </c>
      <c r="R330" s="296" t="s">
        <v>3075</v>
      </c>
      <c r="S330" s="296" t="s">
        <v>185</v>
      </c>
      <c r="T330" s="296" t="s">
        <v>185</v>
      </c>
      <c r="U330" s="296" t="s">
        <v>186</v>
      </c>
      <c r="V330" s="296" t="s">
        <v>187</v>
      </c>
      <c r="W330" s="296" t="s">
        <v>188</v>
      </c>
      <c r="X330" s="296" t="s">
        <v>189</v>
      </c>
      <c r="Y330" s="296" t="s">
        <v>183</v>
      </c>
      <c r="Z330" s="296" t="s">
        <v>183</v>
      </c>
      <c r="AA330" s="296" t="s">
        <v>183</v>
      </c>
      <c r="AB330" s="296" t="s">
        <v>183</v>
      </c>
      <c r="AC330" s="296" t="s">
        <v>3076</v>
      </c>
      <c r="AD330" s="296" t="s">
        <v>3077</v>
      </c>
      <c r="AE330" s="296" t="s">
        <v>192</v>
      </c>
      <c r="AF330" s="296" t="s">
        <v>193</v>
      </c>
      <c r="AG330" s="296">
        <v>0</v>
      </c>
      <c r="AH330" s="298">
        <v>45044</v>
      </c>
      <c r="AJ330" s="296" t="s">
        <v>194</v>
      </c>
      <c r="AK330" s="299">
        <f>COUNTIF($A$3:A$917,A330)</f>
        <v>1</v>
      </c>
    </row>
    <row r="331" spans="1:37" x14ac:dyDescent="0.25">
      <c r="A331" s="296">
        <v>3102251490</v>
      </c>
      <c r="B331" s="296" t="s">
        <v>3078</v>
      </c>
      <c r="C331" s="296" t="s">
        <v>3079</v>
      </c>
      <c r="D331" s="296" t="s">
        <v>3080</v>
      </c>
      <c r="E331" s="296" t="s">
        <v>1057</v>
      </c>
      <c r="F331" s="296" t="s">
        <v>3081</v>
      </c>
      <c r="G331" s="296" t="s">
        <v>183</v>
      </c>
      <c r="H331" s="296" t="s">
        <v>3082</v>
      </c>
      <c r="I331" s="296" t="s">
        <v>3083</v>
      </c>
      <c r="J331" s="296" t="s">
        <v>3084</v>
      </c>
      <c r="K331" s="296" t="s">
        <v>3085</v>
      </c>
      <c r="L331" s="296" t="s">
        <v>3078</v>
      </c>
      <c r="M331" s="296" t="s">
        <v>179</v>
      </c>
      <c r="N331" s="296" t="s">
        <v>3081</v>
      </c>
      <c r="O331" s="296" t="s">
        <v>3081</v>
      </c>
      <c r="P331" s="296" t="s">
        <v>3086</v>
      </c>
      <c r="Q331" s="296" t="s">
        <v>183</v>
      </c>
      <c r="R331" s="296" t="s">
        <v>3087</v>
      </c>
      <c r="S331" s="296" t="s">
        <v>185</v>
      </c>
      <c r="T331" s="296" t="s">
        <v>185</v>
      </c>
      <c r="U331" s="296" t="s">
        <v>186</v>
      </c>
      <c r="V331" s="296" t="s">
        <v>187</v>
      </c>
      <c r="W331" s="296" t="s">
        <v>188</v>
      </c>
      <c r="X331" s="296" t="s">
        <v>189</v>
      </c>
      <c r="Y331" s="296" t="s">
        <v>183</v>
      </c>
      <c r="Z331" s="296" t="s">
        <v>183</v>
      </c>
      <c r="AA331" s="296" t="s">
        <v>183</v>
      </c>
      <c r="AB331" s="296" t="s">
        <v>183</v>
      </c>
      <c r="AC331" s="296" t="s">
        <v>3088</v>
      </c>
      <c r="AD331" s="296" t="s">
        <v>3089</v>
      </c>
      <c r="AE331" s="296" t="s">
        <v>192</v>
      </c>
      <c r="AF331" s="296" t="s">
        <v>193</v>
      </c>
      <c r="AG331" s="296">
        <v>1215755</v>
      </c>
      <c r="AH331" s="298">
        <v>41936</v>
      </c>
      <c r="AJ331" s="296" t="s">
        <v>194</v>
      </c>
      <c r="AK331" s="299">
        <f>COUNTIF($A$3:A$917,A331)</f>
        <v>1</v>
      </c>
    </row>
    <row r="332" spans="1:37" x14ac:dyDescent="0.25">
      <c r="A332" s="296">
        <v>3101671639</v>
      </c>
      <c r="B332" s="296" t="s">
        <v>3090</v>
      </c>
      <c r="C332" s="296" t="s">
        <v>183</v>
      </c>
      <c r="D332" s="296" t="s">
        <v>183</v>
      </c>
      <c r="E332" s="296" t="s">
        <v>183</v>
      </c>
      <c r="F332" s="296" t="s">
        <v>3091</v>
      </c>
      <c r="G332" s="296" t="s">
        <v>183</v>
      </c>
      <c r="H332" s="296" t="s">
        <v>3092</v>
      </c>
      <c r="I332" s="296" t="s">
        <v>3083</v>
      </c>
      <c r="J332" s="296" t="s">
        <v>3093</v>
      </c>
      <c r="K332" s="296" t="s">
        <v>862</v>
      </c>
      <c r="L332" s="296" t="s">
        <v>863</v>
      </c>
      <c r="M332" s="296" t="s">
        <v>179</v>
      </c>
      <c r="N332" s="296" t="s">
        <v>465</v>
      </c>
      <c r="O332" s="296" t="s">
        <v>864</v>
      </c>
      <c r="P332" s="296" t="s">
        <v>865</v>
      </c>
      <c r="Q332" s="296" t="s">
        <v>183</v>
      </c>
      <c r="R332" s="296" t="s">
        <v>3094</v>
      </c>
      <c r="S332" s="296" t="s">
        <v>185</v>
      </c>
      <c r="T332" s="296" t="s">
        <v>185</v>
      </c>
      <c r="U332" s="296" t="s">
        <v>186</v>
      </c>
      <c r="V332" s="296" t="s">
        <v>187</v>
      </c>
      <c r="W332" s="296" t="s">
        <v>188</v>
      </c>
      <c r="X332" s="296" t="s">
        <v>224</v>
      </c>
      <c r="Y332" s="296" t="s">
        <v>183</v>
      </c>
      <c r="Z332" s="296" t="s">
        <v>183</v>
      </c>
      <c r="AA332" s="296" t="s">
        <v>183</v>
      </c>
      <c r="AB332" s="296" t="s">
        <v>183</v>
      </c>
      <c r="AC332" s="296" t="s">
        <v>3095</v>
      </c>
      <c r="AD332" s="296" t="s">
        <v>3096</v>
      </c>
      <c r="AE332" s="296" t="s">
        <v>192</v>
      </c>
      <c r="AF332" s="296" t="s">
        <v>193</v>
      </c>
      <c r="AG332" s="296">
        <v>0</v>
      </c>
      <c r="AH332" s="298">
        <v>45323</v>
      </c>
      <c r="AI332" s="298">
        <v>45943</v>
      </c>
      <c r="AJ332" s="296" t="s">
        <v>194</v>
      </c>
      <c r="AK332" s="299">
        <f>COUNTIF($A$3:A$917,A332)</f>
        <v>1</v>
      </c>
    </row>
    <row r="333" spans="1:37" x14ac:dyDescent="0.25">
      <c r="A333" s="296">
        <v>3101761012</v>
      </c>
      <c r="B333" s="296" t="s">
        <v>3097</v>
      </c>
      <c r="C333" s="296" t="s">
        <v>3098</v>
      </c>
      <c r="D333" s="296" t="s">
        <v>3099</v>
      </c>
      <c r="E333" s="296" t="s">
        <v>172</v>
      </c>
      <c r="F333" s="296" t="s">
        <v>3100</v>
      </c>
      <c r="G333" s="296" t="s">
        <v>278</v>
      </c>
      <c r="H333" s="296" t="s">
        <v>3101</v>
      </c>
      <c r="I333" s="296" t="s">
        <v>3102</v>
      </c>
      <c r="J333" s="296" t="s">
        <v>3103</v>
      </c>
      <c r="K333" s="296" t="s">
        <v>183</v>
      </c>
      <c r="L333" s="296" t="s">
        <v>183</v>
      </c>
      <c r="M333" s="296" t="s">
        <v>183</v>
      </c>
      <c r="N333" s="296" t="s">
        <v>3104</v>
      </c>
      <c r="O333" s="296" t="s">
        <v>183</v>
      </c>
      <c r="P333" s="296" t="s">
        <v>183</v>
      </c>
      <c r="Q333" s="296" t="s">
        <v>183</v>
      </c>
      <c r="R333" s="296" t="s">
        <v>183</v>
      </c>
      <c r="S333" s="296" t="s">
        <v>183</v>
      </c>
      <c r="T333" s="296" t="s">
        <v>183</v>
      </c>
      <c r="U333" s="296" t="s">
        <v>183</v>
      </c>
      <c r="V333" s="296" t="s">
        <v>183</v>
      </c>
      <c r="W333" s="296" t="s">
        <v>183</v>
      </c>
      <c r="X333" s="296" t="s">
        <v>183</v>
      </c>
      <c r="Y333" s="296" t="s">
        <v>183</v>
      </c>
      <c r="Z333" s="296" t="s">
        <v>183</v>
      </c>
      <c r="AA333" s="296" t="s">
        <v>183</v>
      </c>
      <c r="AB333" s="296" t="s">
        <v>183</v>
      </c>
      <c r="AC333" s="296" t="s">
        <v>183</v>
      </c>
      <c r="AD333" s="296" t="s">
        <v>3105</v>
      </c>
      <c r="AE333" s="296" t="s">
        <v>192</v>
      </c>
      <c r="AF333" s="296" t="s">
        <v>193</v>
      </c>
      <c r="AG333" s="296">
        <v>0</v>
      </c>
      <c r="AH333" s="298">
        <v>45481</v>
      </c>
      <c r="AJ333" s="296" t="s">
        <v>194</v>
      </c>
      <c r="AK333" s="299">
        <f>COUNTIF($A$3:A$917,A333)</f>
        <v>1</v>
      </c>
    </row>
    <row r="334" spans="1:37" x14ac:dyDescent="0.25">
      <c r="A334" s="296">
        <v>303210797</v>
      </c>
      <c r="B334" s="296" t="s">
        <v>3106</v>
      </c>
      <c r="C334" s="296" t="s">
        <v>183</v>
      </c>
      <c r="D334" s="296" t="s">
        <v>183</v>
      </c>
      <c r="E334" s="296" t="s">
        <v>183</v>
      </c>
      <c r="F334" s="296" t="s">
        <v>3107</v>
      </c>
      <c r="G334" s="296" t="s">
        <v>3107</v>
      </c>
      <c r="H334" s="296" t="s">
        <v>3108</v>
      </c>
      <c r="I334" s="296" t="s">
        <v>3102</v>
      </c>
      <c r="J334" s="296" t="s">
        <v>3109</v>
      </c>
      <c r="K334" s="296" t="s">
        <v>183</v>
      </c>
      <c r="L334" s="296" t="s">
        <v>183</v>
      </c>
      <c r="M334" s="296" t="s">
        <v>183</v>
      </c>
      <c r="N334" s="296" t="s">
        <v>3110</v>
      </c>
      <c r="O334" s="296" t="s">
        <v>183</v>
      </c>
      <c r="P334" s="296" t="s">
        <v>183</v>
      </c>
      <c r="Q334" s="296" t="s">
        <v>183</v>
      </c>
      <c r="R334" s="296" t="s">
        <v>183</v>
      </c>
      <c r="S334" s="296" t="s">
        <v>183</v>
      </c>
      <c r="T334" s="296" t="s">
        <v>183</v>
      </c>
      <c r="U334" s="296" t="s">
        <v>183</v>
      </c>
      <c r="V334" s="296" t="s">
        <v>183</v>
      </c>
      <c r="W334" s="296" t="s">
        <v>183</v>
      </c>
      <c r="X334" s="296" t="s">
        <v>183</v>
      </c>
      <c r="Y334" s="296" t="s">
        <v>183</v>
      </c>
      <c r="Z334" s="296" t="s">
        <v>183</v>
      </c>
      <c r="AA334" s="296" t="s">
        <v>183</v>
      </c>
      <c r="AB334" s="296" t="s">
        <v>183</v>
      </c>
      <c r="AC334" s="296" t="s">
        <v>183</v>
      </c>
      <c r="AD334" s="296" t="s">
        <v>3111</v>
      </c>
      <c r="AE334" s="296" t="s">
        <v>192</v>
      </c>
      <c r="AF334" s="296" t="s">
        <v>193</v>
      </c>
      <c r="AG334" s="296">
        <v>0</v>
      </c>
      <c r="AH334" s="298">
        <v>45365</v>
      </c>
      <c r="AJ334" s="296" t="s">
        <v>194</v>
      </c>
      <c r="AK334" s="299">
        <f>COUNTIF($A$3:A$917,A334)</f>
        <v>1</v>
      </c>
    </row>
    <row r="335" spans="1:37" x14ac:dyDescent="0.25">
      <c r="A335" s="296">
        <v>3102774535</v>
      </c>
      <c r="B335" s="296" t="s">
        <v>3112</v>
      </c>
      <c r="C335" s="296" t="s">
        <v>3113</v>
      </c>
      <c r="D335" s="296" t="s">
        <v>3114</v>
      </c>
      <c r="E335" s="296" t="s">
        <v>1723</v>
      </c>
      <c r="F335" s="296" t="s">
        <v>3115</v>
      </c>
      <c r="G335" s="296" t="s">
        <v>183</v>
      </c>
      <c r="H335" s="296" t="s">
        <v>3116</v>
      </c>
      <c r="I335" s="296" t="s">
        <v>3102</v>
      </c>
      <c r="J335" s="296" t="s">
        <v>3117</v>
      </c>
      <c r="K335" s="296" t="s">
        <v>183</v>
      </c>
      <c r="L335" s="296" t="s">
        <v>183</v>
      </c>
      <c r="M335" s="296" t="s">
        <v>183</v>
      </c>
      <c r="N335" s="296" t="s">
        <v>1063</v>
      </c>
      <c r="O335" s="296" t="s">
        <v>183</v>
      </c>
      <c r="P335" s="296" t="s">
        <v>183</v>
      </c>
      <c r="Q335" s="296" t="s">
        <v>183</v>
      </c>
      <c r="R335" s="296" t="s">
        <v>183</v>
      </c>
      <c r="S335" s="296" t="s">
        <v>183</v>
      </c>
      <c r="T335" s="296" t="s">
        <v>183</v>
      </c>
      <c r="U335" s="296" t="s">
        <v>183</v>
      </c>
      <c r="V335" s="296" t="s">
        <v>183</v>
      </c>
      <c r="W335" s="296" t="s">
        <v>183</v>
      </c>
      <c r="X335" s="296" t="s">
        <v>183</v>
      </c>
      <c r="Y335" s="296" t="s">
        <v>183</v>
      </c>
      <c r="Z335" s="296" t="s">
        <v>183</v>
      </c>
      <c r="AA335" s="296" t="s">
        <v>183</v>
      </c>
      <c r="AB335" s="296" t="s">
        <v>183</v>
      </c>
      <c r="AC335" s="296" t="s">
        <v>183</v>
      </c>
      <c r="AD335" s="296" t="s">
        <v>3118</v>
      </c>
      <c r="AE335" s="296" t="s">
        <v>192</v>
      </c>
      <c r="AF335" s="296" t="s">
        <v>193</v>
      </c>
      <c r="AG335" s="296">
        <v>0</v>
      </c>
      <c r="AH335" s="298">
        <v>45743</v>
      </c>
      <c r="AJ335" s="296" t="s">
        <v>194</v>
      </c>
      <c r="AK335" s="299">
        <f>COUNTIF($A$3:A$917,A335)</f>
        <v>1</v>
      </c>
    </row>
    <row r="336" spans="1:37" x14ac:dyDescent="0.25">
      <c r="A336" s="296">
        <v>3101367657</v>
      </c>
      <c r="B336" s="296" t="s">
        <v>3119</v>
      </c>
      <c r="C336" s="296" t="s">
        <v>183</v>
      </c>
      <c r="D336" s="296" t="s">
        <v>183</v>
      </c>
      <c r="E336" s="296" t="s">
        <v>183</v>
      </c>
      <c r="F336" s="296" t="s">
        <v>3120</v>
      </c>
      <c r="G336" s="296" t="s">
        <v>3120</v>
      </c>
      <c r="H336" s="296" t="s">
        <v>3121</v>
      </c>
      <c r="I336" s="296" t="s">
        <v>3102</v>
      </c>
      <c r="J336" s="296" t="s">
        <v>3122</v>
      </c>
      <c r="K336" s="296" t="s">
        <v>183</v>
      </c>
      <c r="L336" s="296" t="s">
        <v>183</v>
      </c>
      <c r="M336" s="296" t="s">
        <v>183</v>
      </c>
      <c r="N336" s="296" t="s">
        <v>1154</v>
      </c>
      <c r="O336" s="296" t="s">
        <v>183</v>
      </c>
      <c r="P336" s="296" t="s">
        <v>183</v>
      </c>
      <c r="Q336" s="296" t="s">
        <v>183</v>
      </c>
      <c r="R336" s="296" t="s">
        <v>183</v>
      </c>
      <c r="S336" s="296" t="s">
        <v>183</v>
      </c>
      <c r="T336" s="296" t="s">
        <v>183</v>
      </c>
      <c r="U336" s="296" t="s">
        <v>183</v>
      </c>
      <c r="V336" s="296" t="s">
        <v>183</v>
      </c>
      <c r="W336" s="296" t="s">
        <v>183</v>
      </c>
      <c r="X336" s="296" t="s">
        <v>183</v>
      </c>
      <c r="Y336" s="296" t="s">
        <v>183</v>
      </c>
      <c r="Z336" s="296" t="s">
        <v>183</v>
      </c>
      <c r="AA336" s="296" t="s">
        <v>183</v>
      </c>
      <c r="AB336" s="296" t="s">
        <v>183</v>
      </c>
      <c r="AC336" s="296" t="s">
        <v>183</v>
      </c>
      <c r="AD336" s="296" t="s">
        <v>3123</v>
      </c>
      <c r="AE336" s="296" t="s">
        <v>192</v>
      </c>
      <c r="AF336" s="296" t="s">
        <v>193</v>
      </c>
      <c r="AG336" s="296">
        <v>0</v>
      </c>
      <c r="AH336" s="298">
        <v>45441</v>
      </c>
      <c r="AJ336" s="296" t="s">
        <v>194</v>
      </c>
      <c r="AK336" s="299">
        <f>COUNTIF($A$3:A$917,A336)</f>
        <v>1</v>
      </c>
    </row>
    <row r="337" spans="1:37" x14ac:dyDescent="0.25">
      <c r="A337" s="296">
        <v>701740659</v>
      </c>
      <c r="B337" s="296" t="s">
        <v>2129</v>
      </c>
      <c r="C337" s="296" t="s">
        <v>183</v>
      </c>
      <c r="D337" s="296" t="s">
        <v>183</v>
      </c>
      <c r="E337" s="296" t="s">
        <v>183</v>
      </c>
      <c r="F337" s="296" t="s">
        <v>2130</v>
      </c>
      <c r="G337" s="296" t="s">
        <v>183</v>
      </c>
      <c r="H337" s="296" t="s">
        <v>2131</v>
      </c>
      <c r="I337" s="296" t="s">
        <v>3124</v>
      </c>
      <c r="J337" s="296" t="s">
        <v>2133</v>
      </c>
      <c r="K337" s="296" t="s">
        <v>2134</v>
      </c>
      <c r="L337" s="296" t="s">
        <v>2135</v>
      </c>
      <c r="M337" s="296" t="s">
        <v>179</v>
      </c>
      <c r="N337" s="296" t="s">
        <v>2136</v>
      </c>
      <c r="O337" s="296" t="s">
        <v>2136</v>
      </c>
      <c r="P337" s="296" t="s">
        <v>2137</v>
      </c>
      <c r="Q337" s="296" t="s">
        <v>183</v>
      </c>
      <c r="R337" s="296" t="s">
        <v>2138</v>
      </c>
      <c r="S337" s="296" t="s">
        <v>185</v>
      </c>
      <c r="T337" s="296" t="s">
        <v>185</v>
      </c>
      <c r="U337" s="296" t="s">
        <v>186</v>
      </c>
      <c r="V337" s="296" t="s">
        <v>187</v>
      </c>
      <c r="W337" s="296" t="s">
        <v>188</v>
      </c>
      <c r="X337" s="296" t="s">
        <v>189</v>
      </c>
      <c r="Y337" s="296" t="s">
        <v>183</v>
      </c>
      <c r="Z337" s="296" t="s">
        <v>183</v>
      </c>
      <c r="AA337" s="296" t="s">
        <v>183</v>
      </c>
      <c r="AB337" s="296" t="s">
        <v>183</v>
      </c>
      <c r="AC337" s="296" t="s">
        <v>2139</v>
      </c>
      <c r="AD337" s="296" t="s">
        <v>3125</v>
      </c>
      <c r="AE337" s="296" t="s">
        <v>192</v>
      </c>
      <c r="AF337" s="296" t="s">
        <v>193</v>
      </c>
      <c r="AG337" s="296">
        <v>0</v>
      </c>
      <c r="AH337" s="298">
        <v>45205</v>
      </c>
      <c r="AJ337" s="296" t="s">
        <v>194</v>
      </c>
      <c r="AK337" s="299">
        <f>COUNTIF($A$3:A$917,A337)</f>
        <v>3</v>
      </c>
    </row>
    <row r="338" spans="1:37" x14ac:dyDescent="0.25">
      <c r="A338" s="296">
        <v>105260936</v>
      </c>
      <c r="B338" s="296" t="s">
        <v>3126</v>
      </c>
      <c r="C338" s="296" t="s">
        <v>183</v>
      </c>
      <c r="D338" s="296" t="s">
        <v>183</v>
      </c>
      <c r="E338" s="296" t="s">
        <v>183</v>
      </c>
      <c r="F338" s="296" t="s">
        <v>1271</v>
      </c>
      <c r="G338" s="296" t="s">
        <v>1272</v>
      </c>
      <c r="H338" s="296" t="s">
        <v>3127</v>
      </c>
      <c r="I338" s="296" t="s">
        <v>3128</v>
      </c>
      <c r="J338" s="296" t="s">
        <v>3129</v>
      </c>
      <c r="K338" s="296" t="s">
        <v>1269</v>
      </c>
      <c r="L338" s="296" t="s">
        <v>1270</v>
      </c>
      <c r="M338" s="296" t="s">
        <v>179</v>
      </c>
      <c r="N338" s="296" t="s">
        <v>1271</v>
      </c>
      <c r="O338" s="296" t="s">
        <v>1272</v>
      </c>
      <c r="P338" s="296" t="s">
        <v>1273</v>
      </c>
      <c r="Q338" s="296" t="s">
        <v>183</v>
      </c>
      <c r="R338" s="296" t="s">
        <v>1274</v>
      </c>
      <c r="S338" s="296" t="s">
        <v>185</v>
      </c>
      <c r="T338" s="296" t="s">
        <v>185</v>
      </c>
      <c r="U338" s="296" t="s">
        <v>186</v>
      </c>
      <c r="V338" s="296" t="s">
        <v>187</v>
      </c>
      <c r="W338" s="296" t="s">
        <v>188</v>
      </c>
      <c r="X338" s="296" t="s">
        <v>189</v>
      </c>
      <c r="Y338" s="296" t="s">
        <v>183</v>
      </c>
      <c r="Z338" s="296" t="s">
        <v>183</v>
      </c>
      <c r="AA338" s="296" t="s">
        <v>183</v>
      </c>
      <c r="AB338" s="296" t="s">
        <v>183</v>
      </c>
      <c r="AC338" s="296" t="s">
        <v>1275</v>
      </c>
      <c r="AD338" s="296" t="s">
        <v>3130</v>
      </c>
      <c r="AE338" s="296" t="s">
        <v>192</v>
      </c>
      <c r="AF338" s="296" t="s">
        <v>193</v>
      </c>
      <c r="AG338" s="296">
        <v>0</v>
      </c>
      <c r="AH338" s="298">
        <v>38159</v>
      </c>
      <c r="AJ338" s="296" t="s">
        <v>194</v>
      </c>
      <c r="AK338" s="299">
        <f>COUNTIF($A$3:A$917,A338)</f>
        <v>1</v>
      </c>
    </row>
    <row r="339" spans="1:37" x14ac:dyDescent="0.25">
      <c r="A339" s="296">
        <v>502550560</v>
      </c>
      <c r="B339" s="296" t="s">
        <v>1961</v>
      </c>
      <c r="C339" s="296" t="s">
        <v>183</v>
      </c>
      <c r="D339" s="296" t="s">
        <v>183</v>
      </c>
      <c r="E339" s="296" t="s">
        <v>183</v>
      </c>
      <c r="F339" s="296" t="s">
        <v>1962</v>
      </c>
      <c r="G339" s="296" t="s">
        <v>1962</v>
      </c>
      <c r="H339" s="296" t="s">
        <v>1963</v>
      </c>
      <c r="I339" s="296" t="s">
        <v>3128</v>
      </c>
      <c r="J339" s="296" t="s">
        <v>3131</v>
      </c>
      <c r="K339" s="296" t="s">
        <v>1965</v>
      </c>
      <c r="L339" s="296" t="s">
        <v>1961</v>
      </c>
      <c r="M339" s="296" t="s">
        <v>179</v>
      </c>
      <c r="N339" s="296" t="s">
        <v>1962</v>
      </c>
      <c r="O339" s="296" t="s">
        <v>1962</v>
      </c>
      <c r="P339" s="296" t="s">
        <v>1963</v>
      </c>
      <c r="Q339" s="296" t="s">
        <v>183</v>
      </c>
      <c r="R339" s="296" t="s">
        <v>3132</v>
      </c>
      <c r="S339" s="296" t="s">
        <v>185</v>
      </c>
      <c r="T339" s="296" t="s">
        <v>185</v>
      </c>
      <c r="U339" s="296" t="s">
        <v>186</v>
      </c>
      <c r="V339" s="296" t="s">
        <v>187</v>
      </c>
      <c r="W339" s="296" t="s">
        <v>188</v>
      </c>
      <c r="X339" s="296" t="s">
        <v>224</v>
      </c>
      <c r="Y339" s="296" t="s">
        <v>183</v>
      </c>
      <c r="Z339" s="296" t="s">
        <v>183</v>
      </c>
      <c r="AA339" s="296" t="s">
        <v>183</v>
      </c>
      <c r="AB339" s="296" t="s">
        <v>183</v>
      </c>
      <c r="AC339" s="296" t="s">
        <v>3133</v>
      </c>
      <c r="AD339" s="296" t="s">
        <v>3134</v>
      </c>
      <c r="AE339" s="296" t="s">
        <v>192</v>
      </c>
      <c r="AF339" s="296" t="s">
        <v>193</v>
      </c>
      <c r="AG339" s="296">
        <v>36828.25</v>
      </c>
      <c r="AH339" s="298">
        <v>38169</v>
      </c>
      <c r="AJ339" s="296" t="s">
        <v>194</v>
      </c>
      <c r="AK339" s="299">
        <f>COUNTIF($A$3:A$917,A339)</f>
        <v>2</v>
      </c>
    </row>
    <row r="340" spans="1:37" x14ac:dyDescent="0.25">
      <c r="A340" s="296">
        <v>3101136462</v>
      </c>
      <c r="B340" s="296" t="s">
        <v>2518</v>
      </c>
      <c r="C340" s="296" t="s">
        <v>2519</v>
      </c>
      <c r="D340" s="296" t="s">
        <v>2520</v>
      </c>
      <c r="E340" s="296" t="s">
        <v>172</v>
      </c>
      <c r="F340" s="296" t="s">
        <v>2521</v>
      </c>
      <c r="G340" s="296" t="s">
        <v>278</v>
      </c>
      <c r="H340" s="296" t="s">
        <v>2522</v>
      </c>
      <c r="I340" s="296" t="s">
        <v>3135</v>
      </c>
      <c r="J340" s="296" t="s">
        <v>3136</v>
      </c>
      <c r="K340" s="296" t="s">
        <v>862</v>
      </c>
      <c r="L340" s="296" t="s">
        <v>863</v>
      </c>
      <c r="M340" s="296" t="s">
        <v>179</v>
      </c>
      <c r="N340" s="296" t="s">
        <v>465</v>
      </c>
      <c r="O340" s="296" t="s">
        <v>864</v>
      </c>
      <c r="P340" s="296" t="s">
        <v>865</v>
      </c>
      <c r="Q340" s="296" t="s">
        <v>183</v>
      </c>
      <c r="R340" s="296" t="s">
        <v>2524</v>
      </c>
      <c r="S340" s="296" t="s">
        <v>185</v>
      </c>
      <c r="T340" s="296" t="s">
        <v>185</v>
      </c>
      <c r="U340" s="296" t="s">
        <v>186</v>
      </c>
      <c r="V340" s="296" t="s">
        <v>187</v>
      </c>
      <c r="W340" s="296" t="s">
        <v>188</v>
      </c>
      <c r="X340" s="296" t="s">
        <v>189</v>
      </c>
      <c r="Y340" s="296" t="s">
        <v>183</v>
      </c>
      <c r="Z340" s="296" t="s">
        <v>183</v>
      </c>
      <c r="AA340" s="296" t="s">
        <v>183</v>
      </c>
      <c r="AB340" s="296" t="s">
        <v>183</v>
      </c>
      <c r="AC340" s="296" t="s">
        <v>2525</v>
      </c>
      <c r="AD340" s="296" t="s">
        <v>3137</v>
      </c>
      <c r="AE340" s="296" t="s">
        <v>192</v>
      </c>
      <c r="AF340" s="296" t="s">
        <v>193</v>
      </c>
      <c r="AG340" s="296">
        <v>1781865</v>
      </c>
      <c r="AH340" s="298">
        <v>39828</v>
      </c>
      <c r="AJ340" s="296" t="s">
        <v>194</v>
      </c>
      <c r="AK340" s="299">
        <f>COUNTIF($A$3:A$917,A340)</f>
        <v>4</v>
      </c>
    </row>
    <row r="341" spans="1:37" x14ac:dyDescent="0.25">
      <c r="A341" s="296">
        <v>3101309182</v>
      </c>
      <c r="B341" s="296" t="s">
        <v>2451</v>
      </c>
      <c r="C341" s="296" t="s">
        <v>3138</v>
      </c>
      <c r="D341" s="296" t="s">
        <v>3139</v>
      </c>
      <c r="E341" s="296" t="s">
        <v>172</v>
      </c>
      <c r="F341" s="296" t="s">
        <v>2452</v>
      </c>
      <c r="G341" s="296" t="s">
        <v>183</v>
      </c>
      <c r="H341" s="296" t="s">
        <v>2454</v>
      </c>
      <c r="I341" s="296" t="s">
        <v>3135</v>
      </c>
      <c r="J341" s="296" t="s">
        <v>3140</v>
      </c>
      <c r="K341" s="296" t="s">
        <v>2450</v>
      </c>
      <c r="L341" s="296" t="s">
        <v>2451</v>
      </c>
      <c r="M341" s="296" t="s">
        <v>179</v>
      </c>
      <c r="N341" s="296" t="s">
        <v>2452</v>
      </c>
      <c r="O341" s="296" t="s">
        <v>2453</v>
      </c>
      <c r="P341" s="296" t="s">
        <v>2454</v>
      </c>
      <c r="Q341" s="296" t="s">
        <v>183</v>
      </c>
      <c r="R341" s="296" t="s">
        <v>2455</v>
      </c>
      <c r="S341" s="296" t="s">
        <v>185</v>
      </c>
      <c r="T341" s="296" t="s">
        <v>185</v>
      </c>
      <c r="U341" s="296" t="s">
        <v>186</v>
      </c>
      <c r="V341" s="296" t="s">
        <v>187</v>
      </c>
      <c r="W341" s="296" t="s">
        <v>188</v>
      </c>
      <c r="X341" s="296" t="s">
        <v>573</v>
      </c>
      <c r="Y341" s="296" t="s">
        <v>183</v>
      </c>
      <c r="Z341" s="296" t="s">
        <v>183</v>
      </c>
      <c r="AA341" s="296" t="s">
        <v>183</v>
      </c>
      <c r="AB341" s="296" t="s">
        <v>183</v>
      </c>
      <c r="AC341" s="296" t="s">
        <v>2456</v>
      </c>
      <c r="AD341" s="296" t="s">
        <v>3141</v>
      </c>
      <c r="AE341" s="296" t="s">
        <v>192</v>
      </c>
      <c r="AF341" s="296" t="s">
        <v>193</v>
      </c>
      <c r="AG341" s="296">
        <v>79491</v>
      </c>
      <c r="AH341" s="298">
        <v>43391</v>
      </c>
      <c r="AJ341" s="296" t="s">
        <v>194</v>
      </c>
      <c r="AK341" s="299">
        <f>COUNTIF($A$3:A$917,A341)</f>
        <v>1</v>
      </c>
    </row>
    <row r="342" spans="1:37" x14ac:dyDescent="0.25">
      <c r="A342" s="296">
        <v>3102921369</v>
      </c>
      <c r="B342" s="296" t="s">
        <v>3142</v>
      </c>
      <c r="C342" s="296" t="s">
        <v>3143</v>
      </c>
      <c r="D342" s="296" t="s">
        <v>3144</v>
      </c>
      <c r="E342" s="296" t="s">
        <v>1057</v>
      </c>
      <c r="F342" s="296" t="s">
        <v>3145</v>
      </c>
      <c r="G342" s="296" t="s">
        <v>183</v>
      </c>
      <c r="H342" s="296" t="s">
        <v>3146</v>
      </c>
      <c r="I342" s="296" t="s">
        <v>3147</v>
      </c>
      <c r="J342" s="296" t="s">
        <v>3148</v>
      </c>
      <c r="K342" s="296" t="s">
        <v>862</v>
      </c>
      <c r="L342" s="296" t="s">
        <v>863</v>
      </c>
      <c r="M342" s="296" t="s">
        <v>179</v>
      </c>
      <c r="N342" s="296" t="s">
        <v>465</v>
      </c>
      <c r="O342" s="296" t="s">
        <v>864</v>
      </c>
      <c r="P342" s="296" t="s">
        <v>865</v>
      </c>
      <c r="Q342" s="296" t="s">
        <v>183</v>
      </c>
      <c r="R342" s="296" t="s">
        <v>3149</v>
      </c>
      <c r="S342" s="296" t="s">
        <v>185</v>
      </c>
      <c r="T342" s="296" t="s">
        <v>185</v>
      </c>
      <c r="U342" s="296" t="s">
        <v>186</v>
      </c>
      <c r="V342" s="296" t="s">
        <v>187</v>
      </c>
      <c r="W342" s="296" t="s">
        <v>188</v>
      </c>
      <c r="X342" s="296" t="s">
        <v>189</v>
      </c>
      <c r="Y342" s="296" t="s">
        <v>183</v>
      </c>
      <c r="Z342" s="296" t="s">
        <v>183</v>
      </c>
      <c r="AA342" s="296" t="s">
        <v>183</v>
      </c>
      <c r="AB342" s="296" t="s">
        <v>183</v>
      </c>
      <c r="AC342" s="296" t="s">
        <v>3150</v>
      </c>
      <c r="AD342" s="296" t="s">
        <v>3151</v>
      </c>
      <c r="AE342" s="296" t="s">
        <v>192</v>
      </c>
      <c r="AF342" s="296" t="s">
        <v>193</v>
      </c>
      <c r="AG342" s="296">
        <v>0</v>
      </c>
      <c r="AH342" s="298">
        <v>45705</v>
      </c>
      <c r="AJ342" s="296" t="s">
        <v>194</v>
      </c>
      <c r="AK342" s="299">
        <f>COUNTIF($A$3:A$917,A342)</f>
        <v>2</v>
      </c>
    </row>
    <row r="343" spans="1:37" x14ac:dyDescent="0.25">
      <c r="A343" s="296">
        <v>901060793</v>
      </c>
      <c r="B343" s="296" t="s">
        <v>3152</v>
      </c>
      <c r="C343" s="296" t="s">
        <v>183</v>
      </c>
      <c r="D343" s="296" t="s">
        <v>183</v>
      </c>
      <c r="E343" s="296" t="s">
        <v>183</v>
      </c>
      <c r="F343" s="296" t="s">
        <v>3153</v>
      </c>
      <c r="G343" s="296" t="s">
        <v>183</v>
      </c>
      <c r="H343" s="296" t="s">
        <v>3154</v>
      </c>
      <c r="I343" s="296" t="s">
        <v>3147</v>
      </c>
      <c r="J343" s="296" t="s">
        <v>3155</v>
      </c>
      <c r="K343" s="296" t="s">
        <v>3156</v>
      </c>
      <c r="L343" s="296" t="s">
        <v>3157</v>
      </c>
      <c r="M343" s="296" t="s">
        <v>179</v>
      </c>
      <c r="N343" s="296" t="s">
        <v>3158</v>
      </c>
      <c r="O343" s="296" t="s">
        <v>3159</v>
      </c>
      <c r="P343" s="296" t="s">
        <v>183</v>
      </c>
      <c r="Q343" s="296" t="s">
        <v>183</v>
      </c>
      <c r="R343" s="296" t="s">
        <v>3160</v>
      </c>
      <c r="S343" s="296" t="s">
        <v>185</v>
      </c>
      <c r="T343" s="296" t="s">
        <v>185</v>
      </c>
      <c r="U343" s="296" t="s">
        <v>186</v>
      </c>
      <c r="V343" s="296" t="s">
        <v>187</v>
      </c>
      <c r="W343" s="296" t="s">
        <v>188</v>
      </c>
      <c r="X343" s="296" t="s">
        <v>308</v>
      </c>
      <c r="Y343" s="296" t="s">
        <v>183</v>
      </c>
      <c r="Z343" s="296" t="s">
        <v>183</v>
      </c>
      <c r="AA343" s="296" t="s">
        <v>183</v>
      </c>
      <c r="AB343" s="296" t="s">
        <v>183</v>
      </c>
      <c r="AC343" s="296" t="s">
        <v>3161</v>
      </c>
      <c r="AD343" s="296" t="s">
        <v>3162</v>
      </c>
      <c r="AE343" s="296" t="s">
        <v>192</v>
      </c>
      <c r="AF343" s="296" t="s">
        <v>193</v>
      </c>
      <c r="AG343" s="296">
        <v>0</v>
      </c>
      <c r="AH343" s="298">
        <v>44249</v>
      </c>
      <c r="AJ343" s="296" t="s">
        <v>194</v>
      </c>
      <c r="AK343" s="299">
        <f>COUNTIF($A$3:A$917,A343)</f>
        <v>1</v>
      </c>
    </row>
    <row r="344" spans="1:37" x14ac:dyDescent="0.25">
      <c r="A344" s="296">
        <v>109900053</v>
      </c>
      <c r="B344" s="296" t="s">
        <v>3163</v>
      </c>
      <c r="C344" s="296" t="s">
        <v>183</v>
      </c>
      <c r="D344" s="296" t="s">
        <v>183</v>
      </c>
      <c r="E344" s="296" t="s">
        <v>183</v>
      </c>
      <c r="F344" s="296" t="s">
        <v>3164</v>
      </c>
      <c r="G344" s="296" t="s">
        <v>3164</v>
      </c>
      <c r="H344" s="296" t="s">
        <v>3165</v>
      </c>
      <c r="I344" s="296" t="s">
        <v>3147</v>
      </c>
      <c r="J344" s="296" t="s">
        <v>3166</v>
      </c>
      <c r="K344" s="296" t="s">
        <v>3167</v>
      </c>
      <c r="L344" s="296" t="s">
        <v>3168</v>
      </c>
      <c r="M344" s="296" t="s">
        <v>179</v>
      </c>
      <c r="N344" s="296" t="s">
        <v>3169</v>
      </c>
      <c r="O344" s="296" t="s">
        <v>183</v>
      </c>
      <c r="P344" s="296" t="s">
        <v>3170</v>
      </c>
      <c r="Q344" s="296" t="s">
        <v>183</v>
      </c>
      <c r="R344" s="296" t="s">
        <v>3171</v>
      </c>
      <c r="S344" s="296" t="s">
        <v>185</v>
      </c>
      <c r="T344" s="296" t="s">
        <v>185</v>
      </c>
      <c r="U344" s="296" t="s">
        <v>186</v>
      </c>
      <c r="V344" s="296" t="s">
        <v>187</v>
      </c>
      <c r="W344" s="296" t="s">
        <v>188</v>
      </c>
      <c r="X344" s="296" t="s">
        <v>308</v>
      </c>
      <c r="Y344" s="296" t="s">
        <v>183</v>
      </c>
      <c r="Z344" s="296" t="s">
        <v>183</v>
      </c>
      <c r="AA344" s="296" t="s">
        <v>183</v>
      </c>
      <c r="AB344" s="296" t="s">
        <v>183</v>
      </c>
      <c r="AC344" s="296" t="s">
        <v>3172</v>
      </c>
      <c r="AD344" s="296" t="s">
        <v>3173</v>
      </c>
      <c r="AE344" s="296" t="s">
        <v>192</v>
      </c>
      <c r="AF344" s="296" t="s">
        <v>193</v>
      </c>
      <c r="AG344" s="296">
        <v>0</v>
      </c>
      <c r="AH344" s="298">
        <v>45181</v>
      </c>
      <c r="AJ344" s="296" t="s">
        <v>194</v>
      </c>
      <c r="AK344" s="299">
        <f>COUNTIF($A$3:A$917,A344)</f>
        <v>1</v>
      </c>
    </row>
    <row r="345" spans="1:37" x14ac:dyDescent="0.25">
      <c r="A345" s="296">
        <v>604760584</v>
      </c>
      <c r="B345" s="296" t="s">
        <v>3174</v>
      </c>
      <c r="C345" s="296" t="s">
        <v>183</v>
      </c>
      <c r="D345" s="296" t="s">
        <v>183</v>
      </c>
      <c r="E345" s="296" t="s">
        <v>183</v>
      </c>
      <c r="F345" s="296" t="s">
        <v>3175</v>
      </c>
      <c r="G345" s="296" t="s">
        <v>183</v>
      </c>
      <c r="H345" s="296" t="s">
        <v>3176</v>
      </c>
      <c r="I345" s="296" t="s">
        <v>3147</v>
      </c>
      <c r="J345" s="296" t="s">
        <v>3177</v>
      </c>
      <c r="K345" s="296" t="s">
        <v>2864</v>
      </c>
      <c r="L345" s="296" t="s">
        <v>2862</v>
      </c>
      <c r="M345" s="296" t="s">
        <v>179</v>
      </c>
      <c r="N345" s="296" t="s">
        <v>906</v>
      </c>
      <c r="O345" s="296" t="s">
        <v>2865</v>
      </c>
      <c r="P345" s="296" t="s">
        <v>907</v>
      </c>
      <c r="Q345" s="296" t="s">
        <v>183</v>
      </c>
      <c r="R345" s="296" t="s">
        <v>2866</v>
      </c>
      <c r="S345" s="296" t="s">
        <v>185</v>
      </c>
      <c r="T345" s="296" t="s">
        <v>185</v>
      </c>
      <c r="U345" s="296" t="s">
        <v>186</v>
      </c>
      <c r="V345" s="296" t="s">
        <v>187</v>
      </c>
      <c r="W345" s="296" t="s">
        <v>188</v>
      </c>
      <c r="X345" s="296" t="s">
        <v>189</v>
      </c>
      <c r="Y345" s="296" t="s">
        <v>183</v>
      </c>
      <c r="Z345" s="296" t="s">
        <v>183</v>
      </c>
      <c r="AA345" s="296" t="s">
        <v>183</v>
      </c>
      <c r="AB345" s="296" t="s">
        <v>183</v>
      </c>
      <c r="AC345" s="296" t="s">
        <v>2867</v>
      </c>
      <c r="AD345" s="296" t="s">
        <v>3178</v>
      </c>
      <c r="AE345" s="296" t="s">
        <v>192</v>
      </c>
      <c r="AF345" s="296" t="s">
        <v>193</v>
      </c>
      <c r="AG345" s="296">
        <v>0</v>
      </c>
      <c r="AH345" s="298">
        <v>45835</v>
      </c>
      <c r="AJ345" s="296" t="s">
        <v>194</v>
      </c>
      <c r="AK345" s="299">
        <f>COUNTIF($A$3:A$917,A345)</f>
        <v>1</v>
      </c>
    </row>
    <row r="346" spans="1:37" x14ac:dyDescent="0.25">
      <c r="A346" s="296">
        <v>502390254</v>
      </c>
      <c r="B346" s="296" t="s">
        <v>3179</v>
      </c>
      <c r="C346" s="296" t="s">
        <v>183</v>
      </c>
      <c r="D346" s="296" t="s">
        <v>183</v>
      </c>
      <c r="E346" s="296" t="s">
        <v>183</v>
      </c>
      <c r="F346" s="296" t="s">
        <v>3180</v>
      </c>
      <c r="G346" s="296" t="s">
        <v>183</v>
      </c>
      <c r="H346" s="296" t="s">
        <v>3181</v>
      </c>
      <c r="I346" s="296" t="s">
        <v>3147</v>
      </c>
      <c r="J346" s="296" t="s">
        <v>3182</v>
      </c>
      <c r="K346" s="296" t="s">
        <v>3183</v>
      </c>
      <c r="L346" s="296" t="s">
        <v>3184</v>
      </c>
      <c r="M346" s="296" t="s">
        <v>179</v>
      </c>
      <c r="N346" s="296" t="s">
        <v>3185</v>
      </c>
      <c r="O346" s="296" t="s">
        <v>278</v>
      </c>
      <c r="P346" s="296" t="s">
        <v>183</v>
      </c>
      <c r="Q346" s="296" t="s">
        <v>183</v>
      </c>
      <c r="R346" s="296" t="s">
        <v>3186</v>
      </c>
      <c r="S346" s="296" t="s">
        <v>185</v>
      </c>
      <c r="T346" s="296" t="s">
        <v>185</v>
      </c>
      <c r="U346" s="296" t="s">
        <v>186</v>
      </c>
      <c r="V346" s="296" t="s">
        <v>187</v>
      </c>
      <c r="W346" s="296" t="s">
        <v>188</v>
      </c>
      <c r="X346" s="296" t="s">
        <v>308</v>
      </c>
      <c r="Y346" s="296" t="s">
        <v>183</v>
      </c>
      <c r="Z346" s="296" t="s">
        <v>183</v>
      </c>
      <c r="AA346" s="296" t="s">
        <v>183</v>
      </c>
      <c r="AB346" s="296" t="s">
        <v>183</v>
      </c>
      <c r="AC346" s="296" t="s">
        <v>3187</v>
      </c>
      <c r="AD346" s="296" t="s">
        <v>3188</v>
      </c>
      <c r="AE346" s="296" t="s">
        <v>192</v>
      </c>
      <c r="AF346" s="296" t="s">
        <v>193</v>
      </c>
      <c r="AG346" s="296">
        <v>0</v>
      </c>
      <c r="AH346" s="298">
        <v>45057</v>
      </c>
      <c r="AJ346" s="296" t="s">
        <v>194</v>
      </c>
      <c r="AK346" s="299">
        <f>COUNTIF($A$3:A$917,A346)</f>
        <v>1</v>
      </c>
    </row>
    <row r="347" spans="1:37" x14ac:dyDescent="0.25">
      <c r="A347" s="296">
        <v>502510469</v>
      </c>
      <c r="B347" s="296" t="s">
        <v>3189</v>
      </c>
      <c r="C347" s="296" t="s">
        <v>183</v>
      </c>
      <c r="D347" s="296" t="s">
        <v>183</v>
      </c>
      <c r="E347" s="296" t="s">
        <v>183</v>
      </c>
      <c r="F347" s="296" t="s">
        <v>3190</v>
      </c>
      <c r="G347" s="296" t="s">
        <v>183</v>
      </c>
      <c r="H347" s="296" t="s">
        <v>3191</v>
      </c>
      <c r="I347" s="296" t="s">
        <v>3147</v>
      </c>
      <c r="J347" s="296" t="s">
        <v>3192</v>
      </c>
      <c r="K347" s="296" t="s">
        <v>3193</v>
      </c>
      <c r="L347" s="296" t="s">
        <v>3189</v>
      </c>
      <c r="M347" s="296" t="s">
        <v>179</v>
      </c>
      <c r="N347" s="296" t="s">
        <v>3190</v>
      </c>
      <c r="O347" s="296" t="s">
        <v>183</v>
      </c>
      <c r="P347" s="296" t="s">
        <v>3191</v>
      </c>
      <c r="Q347" s="296" t="s">
        <v>183</v>
      </c>
      <c r="R347" s="296" t="s">
        <v>3194</v>
      </c>
      <c r="S347" s="296" t="s">
        <v>185</v>
      </c>
      <c r="T347" s="296" t="s">
        <v>185</v>
      </c>
      <c r="U347" s="296" t="s">
        <v>186</v>
      </c>
      <c r="V347" s="296" t="s">
        <v>187</v>
      </c>
      <c r="W347" s="296" t="s">
        <v>188</v>
      </c>
      <c r="X347" s="296" t="s">
        <v>246</v>
      </c>
      <c r="Y347" s="296" t="s">
        <v>183</v>
      </c>
      <c r="Z347" s="296" t="s">
        <v>183</v>
      </c>
      <c r="AA347" s="296" t="s">
        <v>183</v>
      </c>
      <c r="AB347" s="296" t="s">
        <v>183</v>
      </c>
      <c r="AC347" s="296" t="s">
        <v>3195</v>
      </c>
      <c r="AD347" s="296" t="s">
        <v>3196</v>
      </c>
      <c r="AE347" s="296" t="s">
        <v>192</v>
      </c>
      <c r="AF347" s="296" t="s">
        <v>193</v>
      </c>
      <c r="AG347" s="296">
        <v>0</v>
      </c>
      <c r="AH347" s="298">
        <v>45028</v>
      </c>
      <c r="AJ347" s="296" t="s">
        <v>194</v>
      </c>
      <c r="AK347" s="299">
        <f>COUNTIF($A$3:A$917,A347)</f>
        <v>1</v>
      </c>
    </row>
    <row r="348" spans="1:37" x14ac:dyDescent="0.25">
      <c r="A348" s="296">
        <v>502520635</v>
      </c>
      <c r="B348" s="296" t="s">
        <v>3197</v>
      </c>
      <c r="C348" s="296" t="s">
        <v>183</v>
      </c>
      <c r="D348" s="296" t="s">
        <v>183</v>
      </c>
      <c r="E348" s="296" t="s">
        <v>183</v>
      </c>
      <c r="F348" s="296" t="s">
        <v>3198</v>
      </c>
      <c r="G348" s="296" t="s">
        <v>3198</v>
      </c>
      <c r="H348" s="296" t="s">
        <v>3199</v>
      </c>
      <c r="I348" s="296" t="s">
        <v>3147</v>
      </c>
      <c r="J348" s="296" t="s">
        <v>3200</v>
      </c>
      <c r="K348" s="296" t="s">
        <v>3201</v>
      </c>
      <c r="L348" s="296" t="s">
        <v>3197</v>
      </c>
      <c r="M348" s="296" t="s">
        <v>179</v>
      </c>
      <c r="N348" s="296" t="s">
        <v>3198</v>
      </c>
      <c r="O348" s="296" t="s">
        <v>3198</v>
      </c>
      <c r="P348" s="296" t="s">
        <v>3199</v>
      </c>
      <c r="Q348" s="296" t="s">
        <v>183</v>
      </c>
      <c r="R348" s="296" t="s">
        <v>3202</v>
      </c>
      <c r="S348" s="296" t="s">
        <v>185</v>
      </c>
      <c r="T348" s="296" t="s">
        <v>185</v>
      </c>
      <c r="U348" s="296" t="s">
        <v>186</v>
      </c>
      <c r="V348" s="296" t="s">
        <v>187</v>
      </c>
      <c r="W348" s="296" t="s">
        <v>188</v>
      </c>
      <c r="X348" s="296" t="s">
        <v>573</v>
      </c>
      <c r="Y348" s="296" t="s">
        <v>183</v>
      </c>
      <c r="Z348" s="296" t="s">
        <v>183</v>
      </c>
      <c r="AA348" s="296" t="s">
        <v>183</v>
      </c>
      <c r="AB348" s="296" t="s">
        <v>183</v>
      </c>
      <c r="AC348" s="296" t="s">
        <v>3203</v>
      </c>
      <c r="AD348" s="296" t="s">
        <v>3204</v>
      </c>
      <c r="AE348" s="296" t="s">
        <v>192</v>
      </c>
      <c r="AF348" s="296" t="s">
        <v>193</v>
      </c>
      <c r="AG348" s="296">
        <v>0</v>
      </c>
      <c r="AH348" s="298">
        <v>44771</v>
      </c>
      <c r="AJ348" s="296" t="s">
        <v>194</v>
      </c>
      <c r="AK348" s="299">
        <f>COUNTIF($A$3:A$917,A348)</f>
        <v>1</v>
      </c>
    </row>
    <row r="349" spans="1:37" x14ac:dyDescent="0.25">
      <c r="A349" s="296">
        <v>155830326726</v>
      </c>
      <c r="B349" s="296" t="s">
        <v>3205</v>
      </c>
      <c r="C349" s="296" t="s">
        <v>183</v>
      </c>
      <c r="D349" s="296" t="s">
        <v>183</v>
      </c>
      <c r="E349" s="296" t="s">
        <v>183</v>
      </c>
      <c r="F349" s="296" t="s">
        <v>2423</v>
      </c>
      <c r="G349" s="296" t="s">
        <v>3206</v>
      </c>
      <c r="H349" s="296" t="s">
        <v>3207</v>
      </c>
      <c r="I349" s="296" t="s">
        <v>3147</v>
      </c>
      <c r="J349" s="296" t="s">
        <v>3208</v>
      </c>
      <c r="K349" s="296" t="s">
        <v>3209</v>
      </c>
      <c r="L349" s="296" t="s">
        <v>3205</v>
      </c>
      <c r="M349" s="296" t="s">
        <v>503</v>
      </c>
      <c r="N349" s="296" t="s">
        <v>2423</v>
      </c>
      <c r="O349" s="296" t="s">
        <v>3206</v>
      </c>
      <c r="P349" s="296" t="s">
        <v>3207</v>
      </c>
      <c r="Q349" s="296" t="s">
        <v>183</v>
      </c>
      <c r="R349" s="296" t="s">
        <v>3210</v>
      </c>
      <c r="S349" s="296" t="s">
        <v>185</v>
      </c>
      <c r="T349" s="296" t="s">
        <v>185</v>
      </c>
      <c r="U349" s="296" t="s">
        <v>186</v>
      </c>
      <c r="V349" s="296" t="s">
        <v>187</v>
      </c>
      <c r="W349" s="296" t="s">
        <v>188</v>
      </c>
      <c r="X349" s="296" t="s">
        <v>246</v>
      </c>
      <c r="Y349" s="296" t="s">
        <v>183</v>
      </c>
      <c r="Z349" s="296" t="s">
        <v>183</v>
      </c>
      <c r="AA349" s="296" t="s">
        <v>183</v>
      </c>
      <c r="AB349" s="296" t="s">
        <v>183</v>
      </c>
      <c r="AC349" s="296" t="s">
        <v>3211</v>
      </c>
      <c r="AD349" s="296" t="s">
        <v>3212</v>
      </c>
      <c r="AE349" s="296" t="s">
        <v>192</v>
      </c>
      <c r="AF349" s="296" t="s">
        <v>193</v>
      </c>
      <c r="AG349" s="296">
        <v>0</v>
      </c>
      <c r="AH349" s="298">
        <v>45504</v>
      </c>
      <c r="AJ349" s="296" t="s">
        <v>194</v>
      </c>
      <c r="AK349" s="299">
        <f>COUNTIF($A$3:A$917,A349)</f>
        <v>1</v>
      </c>
    </row>
    <row r="350" spans="1:37" x14ac:dyDescent="0.25">
      <c r="A350" s="296">
        <v>155802949128</v>
      </c>
      <c r="B350" s="296" t="s">
        <v>3213</v>
      </c>
      <c r="C350" s="296" t="s">
        <v>183</v>
      </c>
      <c r="D350" s="296" t="s">
        <v>183</v>
      </c>
      <c r="E350" s="296" t="s">
        <v>183</v>
      </c>
      <c r="F350" s="296" t="s">
        <v>3214</v>
      </c>
      <c r="G350" s="296" t="s">
        <v>183</v>
      </c>
      <c r="H350" s="296" t="s">
        <v>3215</v>
      </c>
      <c r="I350" s="296" t="s">
        <v>3147</v>
      </c>
      <c r="J350" s="296" t="s">
        <v>3216</v>
      </c>
      <c r="K350" s="296" t="s">
        <v>3217</v>
      </c>
      <c r="L350" s="296" t="s">
        <v>3218</v>
      </c>
      <c r="M350" s="296" t="s">
        <v>179</v>
      </c>
      <c r="N350" s="296" t="s">
        <v>3219</v>
      </c>
      <c r="O350" s="296" t="s">
        <v>3219</v>
      </c>
      <c r="P350" s="296" t="s">
        <v>3220</v>
      </c>
      <c r="Q350" s="296" t="s">
        <v>183</v>
      </c>
      <c r="R350" s="296" t="s">
        <v>3221</v>
      </c>
      <c r="S350" s="296" t="s">
        <v>185</v>
      </c>
      <c r="T350" s="296" t="s">
        <v>185</v>
      </c>
      <c r="U350" s="296" t="s">
        <v>186</v>
      </c>
      <c r="V350" s="296" t="s">
        <v>187</v>
      </c>
      <c r="W350" s="296" t="s">
        <v>188</v>
      </c>
      <c r="X350" s="296" t="s">
        <v>224</v>
      </c>
      <c r="Y350" s="296" t="s">
        <v>183</v>
      </c>
      <c r="Z350" s="296" t="s">
        <v>183</v>
      </c>
      <c r="AA350" s="296" t="s">
        <v>183</v>
      </c>
      <c r="AB350" s="296" t="s">
        <v>183</v>
      </c>
      <c r="AC350" s="296" t="s">
        <v>3222</v>
      </c>
      <c r="AD350" s="296" t="s">
        <v>3223</v>
      </c>
      <c r="AE350" s="296" t="s">
        <v>192</v>
      </c>
      <c r="AF350" s="296" t="s">
        <v>193</v>
      </c>
      <c r="AG350" s="296">
        <v>0</v>
      </c>
      <c r="AH350" s="298">
        <v>43167</v>
      </c>
      <c r="AJ350" s="296" t="s">
        <v>194</v>
      </c>
      <c r="AK350" s="299">
        <f>COUNTIF($A$3:A$917,A350)</f>
        <v>1</v>
      </c>
    </row>
    <row r="351" spans="1:37" x14ac:dyDescent="0.25">
      <c r="A351" s="296">
        <v>502090316</v>
      </c>
      <c r="B351" s="296" t="s">
        <v>3224</v>
      </c>
      <c r="C351" s="296" t="s">
        <v>183</v>
      </c>
      <c r="D351" s="296" t="s">
        <v>183</v>
      </c>
      <c r="E351" s="296" t="s">
        <v>183</v>
      </c>
      <c r="F351" s="296" t="s">
        <v>3225</v>
      </c>
      <c r="G351" s="296" t="s">
        <v>183</v>
      </c>
      <c r="H351" s="296" t="s">
        <v>3226</v>
      </c>
      <c r="I351" s="296" t="s">
        <v>3147</v>
      </c>
      <c r="J351" s="296" t="s">
        <v>3227</v>
      </c>
      <c r="K351" s="296" t="s">
        <v>3228</v>
      </c>
      <c r="L351" s="296" t="s">
        <v>3224</v>
      </c>
      <c r="M351" s="296" t="s">
        <v>179</v>
      </c>
      <c r="N351" s="296" t="s">
        <v>3225</v>
      </c>
      <c r="O351" s="296" t="s">
        <v>183</v>
      </c>
      <c r="P351" s="296" t="s">
        <v>3226</v>
      </c>
      <c r="Q351" s="296" t="s">
        <v>183</v>
      </c>
      <c r="R351" s="296" t="s">
        <v>3229</v>
      </c>
      <c r="S351" s="296" t="s">
        <v>185</v>
      </c>
      <c r="T351" s="296" t="s">
        <v>185</v>
      </c>
      <c r="U351" s="296" t="s">
        <v>186</v>
      </c>
      <c r="V351" s="296" t="s">
        <v>187</v>
      </c>
      <c r="W351" s="296" t="s">
        <v>188</v>
      </c>
      <c r="X351" s="296" t="s">
        <v>308</v>
      </c>
      <c r="Y351" s="296" t="s">
        <v>183</v>
      </c>
      <c r="Z351" s="296" t="s">
        <v>183</v>
      </c>
      <c r="AA351" s="296" t="s">
        <v>183</v>
      </c>
      <c r="AB351" s="296" t="s">
        <v>183</v>
      </c>
      <c r="AC351" s="296" t="s">
        <v>3230</v>
      </c>
      <c r="AD351" s="296" t="s">
        <v>3231</v>
      </c>
      <c r="AE351" s="296" t="s">
        <v>192</v>
      </c>
      <c r="AF351" s="296" t="s">
        <v>193</v>
      </c>
      <c r="AG351" s="296">
        <v>0</v>
      </c>
      <c r="AH351" s="298">
        <v>44202</v>
      </c>
      <c r="AJ351" s="296" t="s">
        <v>194</v>
      </c>
      <c r="AK351" s="299">
        <f>COUNTIF($A$3:A$917,A351)</f>
        <v>2</v>
      </c>
    </row>
    <row r="352" spans="1:37" x14ac:dyDescent="0.25">
      <c r="A352" s="296">
        <v>603450299</v>
      </c>
      <c r="B352" s="296" t="s">
        <v>3232</v>
      </c>
      <c r="C352" s="296" t="s">
        <v>183</v>
      </c>
      <c r="D352" s="296" t="s">
        <v>183</v>
      </c>
      <c r="E352" s="296" t="s">
        <v>183</v>
      </c>
      <c r="F352" s="296" t="s">
        <v>3233</v>
      </c>
      <c r="G352" s="296" t="s">
        <v>3234</v>
      </c>
      <c r="H352" s="296" t="s">
        <v>3235</v>
      </c>
      <c r="I352" s="296" t="s">
        <v>3147</v>
      </c>
      <c r="J352" s="296" t="s">
        <v>3236</v>
      </c>
      <c r="K352" s="296" t="s">
        <v>3237</v>
      </c>
      <c r="L352" s="296" t="s">
        <v>3238</v>
      </c>
      <c r="M352" s="296" t="s">
        <v>179</v>
      </c>
      <c r="N352" s="296" t="s">
        <v>3239</v>
      </c>
      <c r="O352" s="296" t="s">
        <v>3239</v>
      </c>
      <c r="P352" s="296" t="s">
        <v>3240</v>
      </c>
      <c r="Q352" s="296" t="s">
        <v>183</v>
      </c>
      <c r="R352" s="296" t="s">
        <v>3241</v>
      </c>
      <c r="S352" s="296" t="s">
        <v>185</v>
      </c>
      <c r="T352" s="296" t="s">
        <v>185</v>
      </c>
      <c r="U352" s="296" t="s">
        <v>186</v>
      </c>
      <c r="V352" s="296" t="s">
        <v>187</v>
      </c>
      <c r="W352" s="296" t="s">
        <v>188</v>
      </c>
      <c r="X352" s="296" t="s">
        <v>189</v>
      </c>
      <c r="Y352" s="296" t="s">
        <v>183</v>
      </c>
      <c r="Z352" s="296" t="s">
        <v>183</v>
      </c>
      <c r="AA352" s="296" t="s">
        <v>183</v>
      </c>
      <c r="AB352" s="296" t="s">
        <v>183</v>
      </c>
      <c r="AC352" s="296" t="s">
        <v>183</v>
      </c>
      <c r="AD352" s="296" t="s">
        <v>3242</v>
      </c>
      <c r="AE352" s="296" t="s">
        <v>192</v>
      </c>
      <c r="AF352" s="296" t="s">
        <v>193</v>
      </c>
      <c r="AG352" s="296">
        <v>0</v>
      </c>
      <c r="AH352" s="298">
        <v>45439</v>
      </c>
      <c r="AJ352" s="296" t="s">
        <v>194</v>
      </c>
      <c r="AK352" s="299">
        <f>COUNTIF($A$3:A$917,A352)</f>
        <v>3</v>
      </c>
    </row>
    <row r="353" spans="1:37" x14ac:dyDescent="0.25">
      <c r="A353" s="296">
        <v>603450299</v>
      </c>
      <c r="B353" s="296" t="s">
        <v>3232</v>
      </c>
      <c r="C353" s="296" t="s">
        <v>183</v>
      </c>
      <c r="D353" s="296" t="s">
        <v>183</v>
      </c>
      <c r="E353" s="296" t="s">
        <v>183</v>
      </c>
      <c r="F353" s="296" t="s">
        <v>3233</v>
      </c>
      <c r="G353" s="296" t="s">
        <v>3234</v>
      </c>
      <c r="H353" s="296" t="s">
        <v>3235</v>
      </c>
      <c r="I353" s="296" t="s">
        <v>3147</v>
      </c>
      <c r="J353" s="296" t="s">
        <v>3243</v>
      </c>
      <c r="K353" s="296" t="s">
        <v>1351</v>
      </c>
      <c r="L353" s="296" t="s">
        <v>1352</v>
      </c>
      <c r="M353" s="296" t="s">
        <v>179</v>
      </c>
      <c r="N353" s="296" t="s">
        <v>1353</v>
      </c>
      <c r="O353" s="296" t="s">
        <v>1353</v>
      </c>
      <c r="P353" s="296" t="s">
        <v>1354</v>
      </c>
      <c r="Q353" s="296" t="s">
        <v>183</v>
      </c>
      <c r="R353" s="296" t="s">
        <v>1355</v>
      </c>
      <c r="S353" s="296" t="s">
        <v>185</v>
      </c>
      <c r="T353" s="296" t="s">
        <v>185</v>
      </c>
      <c r="U353" s="296" t="s">
        <v>186</v>
      </c>
      <c r="V353" s="296" t="s">
        <v>187</v>
      </c>
      <c r="W353" s="296" t="s">
        <v>188</v>
      </c>
      <c r="X353" s="296" t="s">
        <v>189</v>
      </c>
      <c r="Y353" s="296" t="s">
        <v>183</v>
      </c>
      <c r="Z353" s="296" t="s">
        <v>183</v>
      </c>
      <c r="AA353" s="296" t="s">
        <v>183</v>
      </c>
      <c r="AB353" s="296" t="s">
        <v>183</v>
      </c>
      <c r="AC353" s="296" t="s">
        <v>1356</v>
      </c>
      <c r="AD353" s="296" t="s">
        <v>3244</v>
      </c>
      <c r="AE353" s="296" t="s">
        <v>192</v>
      </c>
      <c r="AF353" s="296" t="s">
        <v>193</v>
      </c>
      <c r="AG353" s="296">
        <v>0</v>
      </c>
      <c r="AH353" s="298">
        <v>45842</v>
      </c>
      <c r="AJ353" s="296" t="s">
        <v>194</v>
      </c>
      <c r="AK353" s="299">
        <f>COUNTIF($A$3:A$917,A353)</f>
        <v>3</v>
      </c>
    </row>
    <row r="354" spans="1:37" x14ac:dyDescent="0.25">
      <c r="A354" s="296">
        <v>206570600</v>
      </c>
      <c r="B354" s="296" t="s">
        <v>3245</v>
      </c>
      <c r="C354" s="296" t="s">
        <v>183</v>
      </c>
      <c r="D354" s="296" t="s">
        <v>183</v>
      </c>
      <c r="E354" s="296" t="s">
        <v>183</v>
      </c>
      <c r="F354" s="296" t="s">
        <v>3246</v>
      </c>
      <c r="G354" s="296" t="s">
        <v>183</v>
      </c>
      <c r="H354" s="296" t="s">
        <v>3247</v>
      </c>
      <c r="I354" s="296" t="s">
        <v>3147</v>
      </c>
      <c r="J354" s="296" t="s">
        <v>3248</v>
      </c>
      <c r="K354" s="296" t="s">
        <v>3249</v>
      </c>
      <c r="L354" s="296" t="s">
        <v>3250</v>
      </c>
      <c r="M354" s="296" t="s">
        <v>179</v>
      </c>
      <c r="N354" s="296" t="s">
        <v>3251</v>
      </c>
      <c r="O354" s="296" t="s">
        <v>278</v>
      </c>
      <c r="P354" s="296" t="s">
        <v>3252</v>
      </c>
      <c r="Q354" s="296" t="s">
        <v>183</v>
      </c>
      <c r="R354" s="296" t="s">
        <v>3253</v>
      </c>
      <c r="S354" s="296" t="s">
        <v>185</v>
      </c>
      <c r="T354" s="296" t="s">
        <v>185</v>
      </c>
      <c r="U354" s="296" t="s">
        <v>186</v>
      </c>
      <c r="V354" s="296" t="s">
        <v>187</v>
      </c>
      <c r="W354" s="296" t="s">
        <v>188</v>
      </c>
      <c r="X354" s="296" t="s">
        <v>188</v>
      </c>
      <c r="Y354" s="296" t="s">
        <v>183</v>
      </c>
      <c r="Z354" s="296" t="s">
        <v>183</v>
      </c>
      <c r="AA354" s="296" t="s">
        <v>183</v>
      </c>
      <c r="AB354" s="296" t="s">
        <v>183</v>
      </c>
      <c r="AC354" s="296" t="s">
        <v>3254</v>
      </c>
      <c r="AD354" s="296" t="s">
        <v>3255</v>
      </c>
      <c r="AE354" s="296" t="s">
        <v>192</v>
      </c>
      <c r="AF354" s="296" t="s">
        <v>193</v>
      </c>
      <c r="AG354" s="296">
        <v>0</v>
      </c>
      <c r="AH354" s="298">
        <v>45646</v>
      </c>
      <c r="AJ354" s="296" t="s">
        <v>194</v>
      </c>
      <c r="AK354" s="299">
        <f>COUNTIF($A$3:A$917,A354)</f>
        <v>1</v>
      </c>
    </row>
    <row r="355" spans="1:37" x14ac:dyDescent="0.25">
      <c r="A355" s="296">
        <v>503860404</v>
      </c>
      <c r="B355" s="296" t="s">
        <v>3256</v>
      </c>
      <c r="C355" s="296" t="s">
        <v>183</v>
      </c>
      <c r="D355" s="296" t="s">
        <v>183</v>
      </c>
      <c r="E355" s="296" t="s">
        <v>183</v>
      </c>
      <c r="F355" s="296" t="s">
        <v>3257</v>
      </c>
      <c r="G355" s="296" t="s">
        <v>183</v>
      </c>
      <c r="H355" s="296" t="s">
        <v>3258</v>
      </c>
      <c r="I355" s="296" t="s">
        <v>3147</v>
      </c>
      <c r="J355" s="296" t="s">
        <v>3259</v>
      </c>
      <c r="K355" s="296" t="s">
        <v>3260</v>
      </c>
      <c r="L355" s="296" t="s">
        <v>3256</v>
      </c>
      <c r="M355" s="296" t="s">
        <v>179</v>
      </c>
      <c r="N355" s="296" t="s">
        <v>3257</v>
      </c>
      <c r="O355" s="296" t="s">
        <v>183</v>
      </c>
      <c r="P355" s="296" t="s">
        <v>3258</v>
      </c>
      <c r="Q355" s="296" t="s">
        <v>183</v>
      </c>
      <c r="R355" s="296" t="s">
        <v>3261</v>
      </c>
      <c r="S355" s="296" t="s">
        <v>185</v>
      </c>
      <c r="T355" s="296" t="s">
        <v>185</v>
      </c>
      <c r="U355" s="296" t="s">
        <v>186</v>
      </c>
      <c r="V355" s="296" t="s">
        <v>187</v>
      </c>
      <c r="W355" s="296" t="s">
        <v>188</v>
      </c>
      <c r="X355" s="296" t="s">
        <v>256</v>
      </c>
      <c r="Y355" s="296" t="s">
        <v>183</v>
      </c>
      <c r="Z355" s="296" t="s">
        <v>183</v>
      </c>
      <c r="AA355" s="296" t="s">
        <v>183</v>
      </c>
      <c r="AB355" s="296" t="s">
        <v>183</v>
      </c>
      <c r="AC355" s="296" t="s">
        <v>3262</v>
      </c>
      <c r="AD355" s="296" t="s">
        <v>3263</v>
      </c>
      <c r="AE355" s="296" t="s">
        <v>192</v>
      </c>
      <c r="AF355" s="296" t="s">
        <v>193</v>
      </c>
      <c r="AG355" s="296">
        <v>0</v>
      </c>
      <c r="AH355" s="298">
        <v>45188</v>
      </c>
      <c r="AJ355" s="296" t="s">
        <v>194</v>
      </c>
      <c r="AK355" s="299">
        <f>COUNTIF($A$3:A$917,A355)</f>
        <v>1</v>
      </c>
    </row>
    <row r="356" spans="1:37" x14ac:dyDescent="0.25">
      <c r="A356" s="296">
        <v>503000872</v>
      </c>
      <c r="B356" s="296" t="s">
        <v>707</v>
      </c>
      <c r="C356" s="296" t="s">
        <v>183</v>
      </c>
      <c r="D356" s="296" t="s">
        <v>183</v>
      </c>
      <c r="E356" s="296" t="s">
        <v>183</v>
      </c>
      <c r="F356" s="296" t="s">
        <v>708</v>
      </c>
      <c r="G356" s="296" t="s">
        <v>183</v>
      </c>
      <c r="H356" s="296" t="s">
        <v>709</v>
      </c>
      <c r="I356" s="296" t="s">
        <v>3147</v>
      </c>
      <c r="J356" s="296" t="s">
        <v>3264</v>
      </c>
      <c r="K356" s="296" t="s">
        <v>711</v>
      </c>
      <c r="L356" s="296" t="s">
        <v>707</v>
      </c>
      <c r="M356" s="296" t="s">
        <v>179</v>
      </c>
      <c r="N356" s="296" t="s">
        <v>708</v>
      </c>
      <c r="O356" s="296" t="s">
        <v>183</v>
      </c>
      <c r="P356" s="296" t="s">
        <v>709</v>
      </c>
      <c r="Q356" s="296" t="s">
        <v>183</v>
      </c>
      <c r="R356" s="296" t="s">
        <v>712</v>
      </c>
      <c r="S356" s="296" t="s">
        <v>185</v>
      </c>
      <c r="T356" s="296" t="s">
        <v>185</v>
      </c>
      <c r="U356" s="296" t="s">
        <v>186</v>
      </c>
      <c r="V356" s="296" t="s">
        <v>187</v>
      </c>
      <c r="W356" s="296" t="s">
        <v>188</v>
      </c>
      <c r="X356" s="296" t="s">
        <v>246</v>
      </c>
      <c r="Y356" s="296" t="s">
        <v>183</v>
      </c>
      <c r="Z356" s="296" t="s">
        <v>183</v>
      </c>
      <c r="AA356" s="296" t="s">
        <v>183</v>
      </c>
      <c r="AB356" s="296" t="s">
        <v>183</v>
      </c>
      <c r="AC356" s="296" t="s">
        <v>713</v>
      </c>
      <c r="AD356" s="296" t="s">
        <v>3265</v>
      </c>
      <c r="AE356" s="296" t="s">
        <v>192</v>
      </c>
      <c r="AF356" s="296" t="s">
        <v>193</v>
      </c>
      <c r="AG356" s="296">
        <v>0</v>
      </c>
      <c r="AH356" s="298">
        <v>45119</v>
      </c>
      <c r="AJ356" s="296" t="s">
        <v>194</v>
      </c>
      <c r="AK356" s="299">
        <f>COUNTIF($A$3:A$917,A356)</f>
        <v>2</v>
      </c>
    </row>
    <row r="357" spans="1:37" x14ac:dyDescent="0.25">
      <c r="A357" s="296">
        <v>801110458</v>
      </c>
      <c r="B357" s="296" t="s">
        <v>3266</v>
      </c>
      <c r="C357" s="296" t="s">
        <v>183</v>
      </c>
      <c r="D357" s="296" t="s">
        <v>183</v>
      </c>
      <c r="E357" s="296" t="s">
        <v>183</v>
      </c>
      <c r="F357" s="296" t="s">
        <v>3267</v>
      </c>
      <c r="G357" s="296" t="s">
        <v>183</v>
      </c>
      <c r="H357" s="296" t="s">
        <v>3268</v>
      </c>
      <c r="I357" s="296" t="s">
        <v>3147</v>
      </c>
      <c r="J357" s="296" t="s">
        <v>3269</v>
      </c>
      <c r="K357" s="296" t="s">
        <v>3270</v>
      </c>
      <c r="L357" s="296" t="s">
        <v>3266</v>
      </c>
      <c r="M357" s="296" t="s">
        <v>179</v>
      </c>
      <c r="N357" s="296" t="s">
        <v>3267</v>
      </c>
      <c r="O357" s="296" t="s">
        <v>183</v>
      </c>
      <c r="P357" s="296" t="s">
        <v>3268</v>
      </c>
      <c r="Q357" s="296" t="s">
        <v>183</v>
      </c>
      <c r="R357" s="296" t="s">
        <v>3271</v>
      </c>
      <c r="S357" s="296" t="s">
        <v>185</v>
      </c>
      <c r="T357" s="296" t="s">
        <v>185</v>
      </c>
      <c r="U357" s="296" t="s">
        <v>186</v>
      </c>
      <c r="V357" s="296" t="s">
        <v>187</v>
      </c>
      <c r="W357" s="296" t="s">
        <v>188</v>
      </c>
      <c r="X357" s="296" t="s">
        <v>189</v>
      </c>
      <c r="Y357" s="296" t="s">
        <v>183</v>
      </c>
      <c r="Z357" s="296" t="s">
        <v>183</v>
      </c>
      <c r="AA357" s="296" t="s">
        <v>183</v>
      </c>
      <c r="AB357" s="296" t="s">
        <v>183</v>
      </c>
      <c r="AC357" s="296" t="s">
        <v>3272</v>
      </c>
      <c r="AD357" s="296" t="s">
        <v>3273</v>
      </c>
      <c r="AE357" s="296" t="s">
        <v>192</v>
      </c>
      <c r="AF357" s="296" t="s">
        <v>193</v>
      </c>
      <c r="AG357" s="296">
        <v>0</v>
      </c>
      <c r="AH357" s="298">
        <v>44433</v>
      </c>
      <c r="AJ357" s="296" t="s">
        <v>194</v>
      </c>
      <c r="AK357" s="299">
        <f>COUNTIF($A$3:A$917,A357)</f>
        <v>1</v>
      </c>
    </row>
    <row r="358" spans="1:37" x14ac:dyDescent="0.25">
      <c r="A358" s="296">
        <v>503070509</v>
      </c>
      <c r="B358" s="296" t="s">
        <v>3274</v>
      </c>
      <c r="C358" s="296" t="s">
        <v>183</v>
      </c>
      <c r="D358" s="296" t="s">
        <v>183</v>
      </c>
      <c r="E358" s="296" t="s">
        <v>183</v>
      </c>
      <c r="F358" s="296" t="s">
        <v>3275</v>
      </c>
      <c r="G358" s="296" t="s">
        <v>3275</v>
      </c>
      <c r="H358" s="296" t="s">
        <v>3276</v>
      </c>
      <c r="I358" s="296" t="s">
        <v>3147</v>
      </c>
      <c r="J358" s="296" t="s">
        <v>3277</v>
      </c>
      <c r="K358" s="296" t="s">
        <v>2110</v>
      </c>
      <c r="L358" s="296" t="s">
        <v>2111</v>
      </c>
      <c r="M358" s="296" t="s">
        <v>179</v>
      </c>
      <c r="N358" s="296" t="s">
        <v>2112</v>
      </c>
      <c r="O358" s="296" t="s">
        <v>183</v>
      </c>
      <c r="P358" s="296" t="s">
        <v>2113</v>
      </c>
      <c r="Q358" s="296" t="s">
        <v>183</v>
      </c>
      <c r="R358" s="296" t="s">
        <v>2114</v>
      </c>
      <c r="S358" s="296" t="s">
        <v>185</v>
      </c>
      <c r="T358" s="296" t="s">
        <v>185</v>
      </c>
      <c r="U358" s="296" t="s">
        <v>186</v>
      </c>
      <c r="V358" s="296" t="s">
        <v>187</v>
      </c>
      <c r="W358" s="296" t="s">
        <v>188</v>
      </c>
      <c r="X358" s="296" t="s">
        <v>189</v>
      </c>
      <c r="Y358" s="296" t="s">
        <v>183</v>
      </c>
      <c r="Z358" s="296" t="s">
        <v>183</v>
      </c>
      <c r="AA358" s="296" t="s">
        <v>183</v>
      </c>
      <c r="AB358" s="296" t="s">
        <v>183</v>
      </c>
      <c r="AC358" s="296" t="s">
        <v>2115</v>
      </c>
      <c r="AD358" s="296" t="s">
        <v>3278</v>
      </c>
      <c r="AE358" s="296" t="s">
        <v>192</v>
      </c>
      <c r="AF358" s="296" t="s">
        <v>193</v>
      </c>
      <c r="AG358" s="296">
        <v>73789</v>
      </c>
      <c r="AH358" s="298">
        <v>39674</v>
      </c>
      <c r="AJ358" s="296" t="s">
        <v>194</v>
      </c>
      <c r="AK358" s="299">
        <f>COUNTIF($A$3:A$917,A358)</f>
        <v>1</v>
      </c>
    </row>
    <row r="359" spans="1:37" x14ac:dyDescent="0.25">
      <c r="A359" s="296">
        <v>3101866506</v>
      </c>
      <c r="B359" s="296" t="s">
        <v>3279</v>
      </c>
      <c r="C359" s="296" t="s">
        <v>3280</v>
      </c>
      <c r="D359" s="296" t="s">
        <v>3281</v>
      </c>
      <c r="E359" s="296" t="s">
        <v>172</v>
      </c>
      <c r="F359" s="296" t="s">
        <v>3282</v>
      </c>
      <c r="G359" s="296" t="s">
        <v>183</v>
      </c>
      <c r="H359" s="296" t="s">
        <v>3283</v>
      </c>
      <c r="I359" s="296" t="s">
        <v>3147</v>
      </c>
      <c r="J359" s="296" t="s">
        <v>3284</v>
      </c>
      <c r="K359" s="296" t="s">
        <v>3285</v>
      </c>
      <c r="L359" s="296" t="s">
        <v>3286</v>
      </c>
      <c r="M359" s="296" t="s">
        <v>179</v>
      </c>
      <c r="N359" s="296" t="s">
        <v>3287</v>
      </c>
      <c r="O359" s="296" t="s">
        <v>278</v>
      </c>
      <c r="P359" s="296" t="s">
        <v>3288</v>
      </c>
      <c r="Q359" s="296" t="s">
        <v>183</v>
      </c>
      <c r="R359" s="296" t="s">
        <v>3289</v>
      </c>
      <c r="S359" s="296" t="s">
        <v>185</v>
      </c>
      <c r="T359" s="296" t="s">
        <v>185</v>
      </c>
      <c r="U359" s="296" t="s">
        <v>186</v>
      </c>
      <c r="V359" s="296" t="s">
        <v>187</v>
      </c>
      <c r="W359" s="296" t="s">
        <v>188</v>
      </c>
      <c r="X359" s="296" t="s">
        <v>189</v>
      </c>
      <c r="Y359" s="296" t="s">
        <v>183</v>
      </c>
      <c r="Z359" s="296" t="s">
        <v>183</v>
      </c>
      <c r="AA359" s="296" t="s">
        <v>183</v>
      </c>
      <c r="AB359" s="296" t="s">
        <v>183</v>
      </c>
      <c r="AC359" s="296" t="s">
        <v>3290</v>
      </c>
      <c r="AD359" s="296" t="s">
        <v>3291</v>
      </c>
      <c r="AE359" s="296" t="s">
        <v>192</v>
      </c>
      <c r="AF359" s="296" t="s">
        <v>193</v>
      </c>
      <c r="AG359" s="296">
        <v>0</v>
      </c>
      <c r="AH359" s="298">
        <v>45167</v>
      </c>
      <c r="AJ359" s="296" t="s">
        <v>194</v>
      </c>
      <c r="AK359" s="299">
        <f>COUNTIF($A$3:A$917,A359)</f>
        <v>3</v>
      </c>
    </row>
    <row r="360" spans="1:37" x14ac:dyDescent="0.25">
      <c r="A360" s="296">
        <v>3101666689</v>
      </c>
      <c r="B360" s="296" t="s">
        <v>3292</v>
      </c>
      <c r="C360" s="296" t="s">
        <v>663</v>
      </c>
      <c r="D360" s="296" t="s">
        <v>3293</v>
      </c>
      <c r="E360" s="296" t="s">
        <v>172</v>
      </c>
      <c r="F360" s="296" t="s">
        <v>826</v>
      </c>
      <c r="G360" s="296" t="s">
        <v>665</v>
      </c>
      <c r="H360" s="296" t="s">
        <v>666</v>
      </c>
      <c r="I360" s="296" t="s">
        <v>3147</v>
      </c>
      <c r="J360" s="296" t="s">
        <v>3294</v>
      </c>
      <c r="K360" s="296" t="s">
        <v>824</v>
      </c>
      <c r="L360" s="296" t="s">
        <v>825</v>
      </c>
      <c r="M360" s="296" t="s">
        <v>179</v>
      </c>
      <c r="N360" s="296" t="s">
        <v>826</v>
      </c>
      <c r="O360" s="296" t="s">
        <v>183</v>
      </c>
      <c r="P360" s="296" t="s">
        <v>827</v>
      </c>
      <c r="Q360" s="296" t="s">
        <v>183</v>
      </c>
      <c r="R360" s="296" t="s">
        <v>3295</v>
      </c>
      <c r="S360" s="296" t="s">
        <v>185</v>
      </c>
      <c r="T360" s="296" t="s">
        <v>185</v>
      </c>
      <c r="U360" s="296" t="s">
        <v>186</v>
      </c>
      <c r="V360" s="296" t="s">
        <v>187</v>
      </c>
      <c r="W360" s="296" t="s">
        <v>188</v>
      </c>
      <c r="X360" s="296" t="s">
        <v>189</v>
      </c>
      <c r="Y360" s="296" t="s">
        <v>183</v>
      </c>
      <c r="Z360" s="296" t="s">
        <v>183</v>
      </c>
      <c r="AA360" s="296" t="s">
        <v>183</v>
      </c>
      <c r="AB360" s="296" t="s">
        <v>183</v>
      </c>
      <c r="AC360" s="296" t="s">
        <v>3296</v>
      </c>
      <c r="AD360" s="296" t="s">
        <v>3297</v>
      </c>
      <c r="AE360" s="296" t="s">
        <v>192</v>
      </c>
      <c r="AF360" s="296" t="s">
        <v>193</v>
      </c>
      <c r="AG360" s="296">
        <v>0</v>
      </c>
      <c r="AH360" s="298">
        <v>45050</v>
      </c>
      <c r="AJ360" s="296" t="s">
        <v>194</v>
      </c>
      <c r="AK360" s="299">
        <f>COUNTIF($A$3:A$917,A360)</f>
        <v>4</v>
      </c>
    </row>
    <row r="361" spans="1:37" x14ac:dyDescent="0.25">
      <c r="A361" s="296">
        <v>3101666689</v>
      </c>
      <c r="B361" s="296" t="s">
        <v>3292</v>
      </c>
      <c r="C361" s="296" t="s">
        <v>663</v>
      </c>
      <c r="D361" s="296" t="s">
        <v>3293</v>
      </c>
      <c r="E361" s="296" t="s">
        <v>172</v>
      </c>
      <c r="F361" s="296" t="s">
        <v>826</v>
      </c>
      <c r="G361" s="296" t="s">
        <v>665</v>
      </c>
      <c r="H361" s="296" t="s">
        <v>666</v>
      </c>
      <c r="I361" s="296" t="s">
        <v>3147</v>
      </c>
      <c r="J361" s="296" t="s">
        <v>3298</v>
      </c>
      <c r="K361" s="296" t="s">
        <v>3299</v>
      </c>
      <c r="L361" s="296" t="s">
        <v>3300</v>
      </c>
      <c r="M361" s="296" t="s">
        <v>179</v>
      </c>
      <c r="N361" s="296" t="s">
        <v>3301</v>
      </c>
      <c r="O361" s="296" t="s">
        <v>3302</v>
      </c>
      <c r="P361" s="296" t="s">
        <v>3303</v>
      </c>
      <c r="Q361" s="296" t="s">
        <v>183</v>
      </c>
      <c r="R361" s="296" t="s">
        <v>3304</v>
      </c>
      <c r="S361" s="296" t="s">
        <v>185</v>
      </c>
      <c r="T361" s="296" t="s">
        <v>185</v>
      </c>
      <c r="U361" s="296" t="s">
        <v>186</v>
      </c>
      <c r="V361" s="296" t="s">
        <v>187</v>
      </c>
      <c r="W361" s="296" t="s">
        <v>188</v>
      </c>
      <c r="X361" s="296" t="s">
        <v>189</v>
      </c>
      <c r="Y361" s="296" t="s">
        <v>183</v>
      </c>
      <c r="Z361" s="296" t="s">
        <v>183</v>
      </c>
      <c r="AA361" s="296" t="s">
        <v>183</v>
      </c>
      <c r="AB361" s="296" t="s">
        <v>183</v>
      </c>
      <c r="AC361" s="296" t="s">
        <v>3305</v>
      </c>
      <c r="AD361" s="296" t="s">
        <v>3306</v>
      </c>
      <c r="AE361" s="296" t="s">
        <v>192</v>
      </c>
      <c r="AF361" s="296" t="s">
        <v>193</v>
      </c>
      <c r="AG361" s="296">
        <v>0</v>
      </c>
      <c r="AH361" s="298">
        <v>45057</v>
      </c>
      <c r="AJ361" s="296" t="s">
        <v>194</v>
      </c>
      <c r="AK361" s="299">
        <f>COUNTIF($A$3:A$917,A361)</f>
        <v>4</v>
      </c>
    </row>
    <row r="362" spans="1:37" x14ac:dyDescent="0.25">
      <c r="A362" s="296">
        <v>3101666689</v>
      </c>
      <c r="B362" s="296" t="s">
        <v>3292</v>
      </c>
      <c r="C362" s="296" t="s">
        <v>663</v>
      </c>
      <c r="D362" s="296" t="s">
        <v>3293</v>
      </c>
      <c r="E362" s="296" t="s">
        <v>172</v>
      </c>
      <c r="F362" s="296" t="s">
        <v>826</v>
      </c>
      <c r="G362" s="296" t="s">
        <v>665</v>
      </c>
      <c r="H362" s="296" t="s">
        <v>666</v>
      </c>
      <c r="I362" s="296" t="s">
        <v>3147</v>
      </c>
      <c r="J362" s="296" t="s">
        <v>3307</v>
      </c>
      <c r="K362" s="296" t="s">
        <v>3308</v>
      </c>
      <c r="L362" s="296" t="s">
        <v>3309</v>
      </c>
      <c r="M362" s="296" t="s">
        <v>179</v>
      </c>
      <c r="N362" s="296" t="s">
        <v>3310</v>
      </c>
      <c r="O362" s="296" t="s">
        <v>3311</v>
      </c>
      <c r="P362" s="296" t="s">
        <v>3312</v>
      </c>
      <c r="Q362" s="296" t="s">
        <v>183</v>
      </c>
      <c r="R362" s="296" t="s">
        <v>3313</v>
      </c>
      <c r="S362" s="296" t="s">
        <v>185</v>
      </c>
      <c r="T362" s="296" t="s">
        <v>185</v>
      </c>
      <c r="U362" s="296" t="s">
        <v>186</v>
      </c>
      <c r="V362" s="296" t="s">
        <v>187</v>
      </c>
      <c r="W362" s="296" t="s">
        <v>188</v>
      </c>
      <c r="X362" s="296" t="s">
        <v>189</v>
      </c>
      <c r="Y362" s="296" t="s">
        <v>183</v>
      </c>
      <c r="Z362" s="296" t="s">
        <v>183</v>
      </c>
      <c r="AA362" s="296" t="s">
        <v>183</v>
      </c>
      <c r="AB362" s="296" t="s">
        <v>183</v>
      </c>
      <c r="AC362" s="296" t="s">
        <v>3314</v>
      </c>
      <c r="AD362" s="296" t="s">
        <v>3315</v>
      </c>
      <c r="AE362" s="296" t="s">
        <v>192</v>
      </c>
      <c r="AF362" s="296" t="s">
        <v>193</v>
      </c>
      <c r="AG362" s="296">
        <v>0</v>
      </c>
      <c r="AH362" s="298">
        <v>45065</v>
      </c>
      <c r="AJ362" s="296" t="s">
        <v>194</v>
      </c>
      <c r="AK362" s="299">
        <f>COUNTIF($A$3:A$917,A362)</f>
        <v>4</v>
      </c>
    </row>
    <row r="363" spans="1:37" x14ac:dyDescent="0.25">
      <c r="A363" s="296">
        <v>3101666689</v>
      </c>
      <c r="B363" s="296" t="s">
        <v>3292</v>
      </c>
      <c r="C363" s="296" t="s">
        <v>663</v>
      </c>
      <c r="D363" s="296" t="s">
        <v>3293</v>
      </c>
      <c r="E363" s="296" t="s">
        <v>172</v>
      </c>
      <c r="F363" s="296" t="s">
        <v>826</v>
      </c>
      <c r="G363" s="296" t="s">
        <v>665</v>
      </c>
      <c r="H363" s="296" t="s">
        <v>666</v>
      </c>
      <c r="I363" s="296" t="s">
        <v>3147</v>
      </c>
      <c r="J363" s="296" t="s">
        <v>3316</v>
      </c>
      <c r="K363" s="296" t="s">
        <v>3317</v>
      </c>
      <c r="L363" s="296" t="s">
        <v>1941</v>
      </c>
      <c r="M363" s="296" t="s">
        <v>179</v>
      </c>
      <c r="N363" s="296" t="s">
        <v>1914</v>
      </c>
      <c r="O363" s="296" t="s">
        <v>3318</v>
      </c>
      <c r="P363" s="296" t="s">
        <v>1915</v>
      </c>
      <c r="Q363" s="296" t="s">
        <v>183</v>
      </c>
      <c r="R363" s="296" t="s">
        <v>3319</v>
      </c>
      <c r="S363" s="296" t="s">
        <v>185</v>
      </c>
      <c r="T363" s="296" t="s">
        <v>185</v>
      </c>
      <c r="U363" s="296" t="s">
        <v>186</v>
      </c>
      <c r="V363" s="296" t="s">
        <v>187</v>
      </c>
      <c r="W363" s="296" t="s">
        <v>188</v>
      </c>
      <c r="X363" s="296" t="s">
        <v>189</v>
      </c>
      <c r="Y363" s="296" t="s">
        <v>183</v>
      </c>
      <c r="Z363" s="296" t="s">
        <v>183</v>
      </c>
      <c r="AA363" s="296" t="s">
        <v>183</v>
      </c>
      <c r="AB363" s="296" t="s">
        <v>183</v>
      </c>
      <c r="AC363" s="296" t="s">
        <v>3320</v>
      </c>
      <c r="AD363" s="296" t="s">
        <v>3321</v>
      </c>
      <c r="AE363" s="296" t="s">
        <v>192</v>
      </c>
      <c r="AF363" s="296" t="s">
        <v>193</v>
      </c>
      <c r="AG363" s="296">
        <v>0</v>
      </c>
      <c r="AH363" s="298">
        <v>45993</v>
      </c>
      <c r="AJ363" s="296" t="s">
        <v>194</v>
      </c>
      <c r="AK363" s="299">
        <f>COUNTIF($A$3:A$917,A363)</f>
        <v>4</v>
      </c>
    </row>
    <row r="364" spans="1:37" x14ac:dyDescent="0.25">
      <c r="A364" s="296">
        <v>504010892</v>
      </c>
      <c r="B364" s="296" t="s">
        <v>3322</v>
      </c>
      <c r="C364" s="296" t="s">
        <v>183</v>
      </c>
      <c r="D364" s="296" t="s">
        <v>183</v>
      </c>
      <c r="E364" s="296" t="s">
        <v>183</v>
      </c>
      <c r="F364" s="296" t="s">
        <v>3323</v>
      </c>
      <c r="G364" s="296" t="s">
        <v>3323</v>
      </c>
      <c r="H364" s="296" t="s">
        <v>3324</v>
      </c>
      <c r="I364" s="296" t="s">
        <v>3147</v>
      </c>
      <c r="J364" s="296" t="s">
        <v>3325</v>
      </c>
      <c r="K364" s="296" t="s">
        <v>3326</v>
      </c>
      <c r="L364" s="296" t="s">
        <v>3322</v>
      </c>
      <c r="M364" s="296" t="s">
        <v>179</v>
      </c>
      <c r="N364" s="296" t="s">
        <v>3323</v>
      </c>
      <c r="O364" s="296" t="s">
        <v>3323</v>
      </c>
      <c r="P364" s="296" t="s">
        <v>3324</v>
      </c>
      <c r="Q364" s="296" t="s">
        <v>183</v>
      </c>
      <c r="R364" s="296" t="s">
        <v>3327</v>
      </c>
      <c r="S364" s="296" t="s">
        <v>185</v>
      </c>
      <c r="T364" s="296" t="s">
        <v>185</v>
      </c>
      <c r="U364" s="296" t="s">
        <v>186</v>
      </c>
      <c r="V364" s="296" t="s">
        <v>187</v>
      </c>
      <c r="W364" s="296" t="s">
        <v>188</v>
      </c>
      <c r="X364" s="296" t="s">
        <v>573</v>
      </c>
      <c r="Y364" s="296" t="s">
        <v>183</v>
      </c>
      <c r="Z364" s="296" t="s">
        <v>183</v>
      </c>
      <c r="AA364" s="296" t="s">
        <v>183</v>
      </c>
      <c r="AB364" s="296" t="s">
        <v>183</v>
      </c>
      <c r="AC364" s="296" t="s">
        <v>3328</v>
      </c>
      <c r="AD364" s="296" t="s">
        <v>3329</v>
      </c>
      <c r="AE364" s="296" t="s">
        <v>192</v>
      </c>
      <c r="AF364" s="296" t="s">
        <v>193</v>
      </c>
      <c r="AG364" s="296">
        <v>0</v>
      </c>
      <c r="AH364" s="298">
        <v>44927</v>
      </c>
      <c r="AJ364" s="296" t="s">
        <v>194</v>
      </c>
      <c r="AK364" s="299">
        <f>COUNTIF($A$3:A$917,A364)</f>
        <v>1</v>
      </c>
    </row>
    <row r="365" spans="1:37" x14ac:dyDescent="0.25">
      <c r="A365" s="296">
        <v>208190130</v>
      </c>
      <c r="B365" s="296" t="s">
        <v>3330</v>
      </c>
      <c r="C365" s="296" t="s">
        <v>183</v>
      </c>
      <c r="D365" s="296" t="s">
        <v>183</v>
      </c>
      <c r="E365" s="296" t="s">
        <v>183</v>
      </c>
      <c r="F365" s="296" t="s">
        <v>3331</v>
      </c>
      <c r="G365" s="296" t="s">
        <v>3332</v>
      </c>
      <c r="H365" s="296" t="s">
        <v>3333</v>
      </c>
      <c r="I365" s="296" t="s">
        <v>3147</v>
      </c>
      <c r="J365" s="296" t="s">
        <v>3334</v>
      </c>
      <c r="K365" s="296" t="s">
        <v>3335</v>
      </c>
      <c r="L365" s="296" t="s">
        <v>3330</v>
      </c>
      <c r="M365" s="296" t="s">
        <v>179</v>
      </c>
      <c r="N365" s="296" t="s">
        <v>3331</v>
      </c>
      <c r="O365" s="296" t="s">
        <v>3332</v>
      </c>
      <c r="P365" s="296" t="s">
        <v>3333</v>
      </c>
      <c r="Q365" s="296" t="s">
        <v>183</v>
      </c>
      <c r="R365" s="296" t="s">
        <v>3336</v>
      </c>
      <c r="S365" s="296" t="s">
        <v>185</v>
      </c>
      <c r="T365" s="296" t="s">
        <v>185</v>
      </c>
      <c r="U365" s="296" t="s">
        <v>186</v>
      </c>
      <c r="V365" s="296" t="s">
        <v>187</v>
      </c>
      <c r="W365" s="296" t="s">
        <v>188</v>
      </c>
      <c r="X365" s="296" t="s">
        <v>189</v>
      </c>
      <c r="Y365" s="296" t="s">
        <v>183</v>
      </c>
      <c r="Z365" s="296" t="s">
        <v>183</v>
      </c>
      <c r="AA365" s="296" t="s">
        <v>183</v>
      </c>
      <c r="AB365" s="296" t="s">
        <v>183</v>
      </c>
      <c r="AC365" s="296" t="s">
        <v>3337</v>
      </c>
      <c r="AD365" s="296" t="s">
        <v>3338</v>
      </c>
      <c r="AE365" s="296" t="s">
        <v>192</v>
      </c>
      <c r="AF365" s="296" t="s">
        <v>193</v>
      </c>
      <c r="AG365" s="296">
        <v>0</v>
      </c>
      <c r="AH365" s="298">
        <v>44697</v>
      </c>
      <c r="AJ365" s="296" t="s">
        <v>194</v>
      </c>
      <c r="AK365" s="299">
        <f>COUNTIF($A$3:A$917,A365)</f>
        <v>1</v>
      </c>
    </row>
    <row r="366" spans="1:37" x14ac:dyDescent="0.25">
      <c r="A366" s="296">
        <v>502950167</v>
      </c>
      <c r="B366" s="296" t="s">
        <v>1121</v>
      </c>
      <c r="C366" s="296" t="s">
        <v>183</v>
      </c>
      <c r="D366" s="296" t="s">
        <v>183</v>
      </c>
      <c r="E366" s="296" t="s">
        <v>183</v>
      </c>
      <c r="F366" s="296" t="s">
        <v>1122</v>
      </c>
      <c r="G366" s="296" t="s">
        <v>1122</v>
      </c>
      <c r="H366" s="296" t="s">
        <v>1123</v>
      </c>
      <c r="I366" s="296" t="s">
        <v>3147</v>
      </c>
      <c r="J366" s="296" t="s">
        <v>3339</v>
      </c>
      <c r="K366" s="296" t="s">
        <v>1120</v>
      </c>
      <c r="L366" s="296" t="s">
        <v>1121</v>
      </c>
      <c r="M366" s="296" t="s">
        <v>179</v>
      </c>
      <c r="N366" s="296" t="s">
        <v>1122</v>
      </c>
      <c r="O366" s="296" t="s">
        <v>1122</v>
      </c>
      <c r="P366" s="296" t="s">
        <v>1123</v>
      </c>
      <c r="Q366" s="296" t="s">
        <v>183</v>
      </c>
      <c r="R366" s="296" t="s">
        <v>3340</v>
      </c>
      <c r="S366" s="296" t="s">
        <v>185</v>
      </c>
      <c r="T366" s="296" t="s">
        <v>185</v>
      </c>
      <c r="U366" s="296" t="s">
        <v>186</v>
      </c>
      <c r="V366" s="296" t="s">
        <v>187</v>
      </c>
      <c r="W366" s="296" t="s">
        <v>188</v>
      </c>
      <c r="X366" s="296" t="s">
        <v>224</v>
      </c>
      <c r="Y366" s="296" t="s">
        <v>183</v>
      </c>
      <c r="Z366" s="296" t="s">
        <v>183</v>
      </c>
      <c r="AA366" s="296" t="s">
        <v>183</v>
      </c>
      <c r="AB366" s="296" t="s">
        <v>183</v>
      </c>
      <c r="AC366" s="296" t="s">
        <v>3341</v>
      </c>
      <c r="AD366" s="296" t="s">
        <v>3342</v>
      </c>
      <c r="AE366" s="296" t="s">
        <v>192</v>
      </c>
      <c r="AF366" s="296" t="s">
        <v>193</v>
      </c>
      <c r="AG366" s="296">
        <v>0</v>
      </c>
      <c r="AH366" s="298">
        <v>45548</v>
      </c>
      <c r="AJ366" s="296" t="s">
        <v>194</v>
      </c>
      <c r="AK366" s="299">
        <f>COUNTIF($A$3:A$917,A366)</f>
        <v>1</v>
      </c>
    </row>
    <row r="367" spans="1:37" x14ac:dyDescent="0.25">
      <c r="A367" s="296">
        <v>204830163</v>
      </c>
      <c r="B367" s="296" t="s">
        <v>3343</v>
      </c>
      <c r="C367" s="296" t="s">
        <v>183</v>
      </c>
      <c r="D367" s="296" t="s">
        <v>183</v>
      </c>
      <c r="E367" s="296" t="s">
        <v>183</v>
      </c>
      <c r="F367" s="296" t="s">
        <v>3344</v>
      </c>
      <c r="G367" s="296" t="s">
        <v>183</v>
      </c>
      <c r="H367" s="296" t="s">
        <v>3345</v>
      </c>
      <c r="I367" s="296" t="s">
        <v>3147</v>
      </c>
      <c r="J367" s="296" t="s">
        <v>3346</v>
      </c>
      <c r="K367" s="296" t="s">
        <v>3347</v>
      </c>
      <c r="L367" s="296" t="s">
        <v>3348</v>
      </c>
      <c r="M367" s="296" t="s">
        <v>179</v>
      </c>
      <c r="N367" s="296" t="s">
        <v>3349</v>
      </c>
      <c r="O367" s="296" t="s">
        <v>3350</v>
      </c>
      <c r="P367" s="296" t="s">
        <v>3351</v>
      </c>
      <c r="Q367" s="296" t="s">
        <v>183</v>
      </c>
      <c r="R367" s="296" t="s">
        <v>3352</v>
      </c>
      <c r="S367" s="296" t="s">
        <v>185</v>
      </c>
      <c r="T367" s="296" t="s">
        <v>185</v>
      </c>
      <c r="U367" s="296" t="s">
        <v>186</v>
      </c>
      <c r="V367" s="296" t="s">
        <v>187</v>
      </c>
      <c r="W367" s="296" t="s">
        <v>188</v>
      </c>
      <c r="X367" s="296" t="s">
        <v>256</v>
      </c>
      <c r="Y367" s="296" t="s">
        <v>183</v>
      </c>
      <c r="Z367" s="296" t="s">
        <v>183</v>
      </c>
      <c r="AA367" s="296" t="s">
        <v>183</v>
      </c>
      <c r="AB367" s="296" t="s">
        <v>183</v>
      </c>
      <c r="AC367" s="296" t="s">
        <v>3353</v>
      </c>
      <c r="AD367" s="296" t="s">
        <v>3354</v>
      </c>
      <c r="AE367" s="296" t="s">
        <v>192</v>
      </c>
      <c r="AF367" s="296" t="s">
        <v>193</v>
      </c>
      <c r="AG367" s="296">
        <v>0</v>
      </c>
      <c r="AH367" s="298">
        <v>45407</v>
      </c>
      <c r="AJ367" s="296" t="s">
        <v>194</v>
      </c>
      <c r="AK367" s="299">
        <f>COUNTIF($A$3:A$917,A367)</f>
        <v>1</v>
      </c>
    </row>
    <row r="368" spans="1:37" x14ac:dyDescent="0.25">
      <c r="A368" s="296">
        <v>504340926</v>
      </c>
      <c r="B368" s="296" t="s">
        <v>1974</v>
      </c>
      <c r="C368" s="296" t="s">
        <v>183</v>
      </c>
      <c r="D368" s="296" t="s">
        <v>183</v>
      </c>
      <c r="E368" s="296" t="s">
        <v>183</v>
      </c>
      <c r="F368" s="296" t="s">
        <v>1975</v>
      </c>
      <c r="G368" s="296" t="s">
        <v>183</v>
      </c>
      <c r="H368" s="296" t="s">
        <v>1976</v>
      </c>
      <c r="I368" s="296" t="s">
        <v>3147</v>
      </c>
      <c r="J368" s="296" t="s">
        <v>3355</v>
      </c>
      <c r="K368" s="296" t="s">
        <v>1978</v>
      </c>
      <c r="L368" s="296" t="s">
        <v>1979</v>
      </c>
      <c r="M368" s="296" t="s">
        <v>179</v>
      </c>
      <c r="N368" s="296" t="s">
        <v>1980</v>
      </c>
      <c r="O368" s="296" t="s">
        <v>1980</v>
      </c>
      <c r="P368" s="296" t="s">
        <v>1981</v>
      </c>
      <c r="Q368" s="296" t="s">
        <v>183</v>
      </c>
      <c r="R368" s="296" t="s">
        <v>1982</v>
      </c>
      <c r="S368" s="296" t="s">
        <v>185</v>
      </c>
      <c r="T368" s="296" t="s">
        <v>185</v>
      </c>
      <c r="U368" s="296" t="s">
        <v>186</v>
      </c>
      <c r="V368" s="296" t="s">
        <v>187</v>
      </c>
      <c r="W368" s="296" t="s">
        <v>188</v>
      </c>
      <c r="X368" s="296" t="s">
        <v>189</v>
      </c>
      <c r="Y368" s="296" t="s">
        <v>183</v>
      </c>
      <c r="Z368" s="296" t="s">
        <v>183</v>
      </c>
      <c r="AA368" s="296" t="s">
        <v>183</v>
      </c>
      <c r="AB368" s="296" t="s">
        <v>183</v>
      </c>
      <c r="AC368" s="296" t="s">
        <v>1983</v>
      </c>
      <c r="AD368" s="296" t="s">
        <v>3356</v>
      </c>
      <c r="AE368" s="296" t="s">
        <v>192</v>
      </c>
      <c r="AF368" s="296" t="s">
        <v>193</v>
      </c>
      <c r="AG368" s="296">
        <v>0</v>
      </c>
      <c r="AH368" s="298">
        <v>44649</v>
      </c>
      <c r="AJ368" s="296" t="s">
        <v>194</v>
      </c>
      <c r="AK368" s="299">
        <f>COUNTIF($A$3:A$917,A368)</f>
        <v>2</v>
      </c>
    </row>
    <row r="369" spans="1:37" x14ac:dyDescent="0.25">
      <c r="A369" s="296">
        <v>503810920</v>
      </c>
      <c r="B369" s="296" t="s">
        <v>3357</v>
      </c>
      <c r="C369" s="296" t="s">
        <v>183</v>
      </c>
      <c r="D369" s="296" t="s">
        <v>183</v>
      </c>
      <c r="E369" s="296" t="s">
        <v>183</v>
      </c>
      <c r="F369" s="296" t="s">
        <v>3358</v>
      </c>
      <c r="G369" s="296" t="s">
        <v>3358</v>
      </c>
      <c r="H369" s="296" t="s">
        <v>3359</v>
      </c>
      <c r="I369" s="296" t="s">
        <v>3147</v>
      </c>
      <c r="J369" s="296" t="s">
        <v>3360</v>
      </c>
      <c r="K369" s="296" t="s">
        <v>3361</v>
      </c>
      <c r="L369" s="296" t="s">
        <v>3362</v>
      </c>
      <c r="M369" s="296" t="s">
        <v>179</v>
      </c>
      <c r="N369" s="296" t="s">
        <v>3363</v>
      </c>
      <c r="O369" s="296" t="s">
        <v>183</v>
      </c>
      <c r="P369" s="296" t="s">
        <v>1647</v>
      </c>
      <c r="Q369" s="296" t="s">
        <v>183</v>
      </c>
      <c r="R369" s="296" t="s">
        <v>3364</v>
      </c>
      <c r="S369" s="296" t="s">
        <v>185</v>
      </c>
      <c r="T369" s="296" t="s">
        <v>185</v>
      </c>
      <c r="U369" s="296" t="s">
        <v>186</v>
      </c>
      <c r="V369" s="296" t="s">
        <v>187</v>
      </c>
      <c r="W369" s="296" t="s">
        <v>188</v>
      </c>
      <c r="X369" s="296" t="s">
        <v>256</v>
      </c>
      <c r="Y369" s="296" t="s">
        <v>183</v>
      </c>
      <c r="Z369" s="296" t="s">
        <v>183</v>
      </c>
      <c r="AA369" s="296" t="s">
        <v>183</v>
      </c>
      <c r="AB369" s="296" t="s">
        <v>183</v>
      </c>
      <c r="AC369" s="296" t="s">
        <v>3365</v>
      </c>
      <c r="AD369" s="296" t="s">
        <v>3366</v>
      </c>
      <c r="AE369" s="296" t="s">
        <v>192</v>
      </c>
      <c r="AF369" s="296" t="s">
        <v>193</v>
      </c>
      <c r="AG369" s="296">
        <v>0</v>
      </c>
      <c r="AH369" s="298">
        <v>45448</v>
      </c>
      <c r="AJ369" s="296" t="s">
        <v>194</v>
      </c>
      <c r="AK369" s="299">
        <f>COUNTIF($A$3:A$917,A369)</f>
        <v>2</v>
      </c>
    </row>
    <row r="370" spans="1:37" x14ac:dyDescent="0.25">
      <c r="A370" s="296">
        <v>502110679</v>
      </c>
      <c r="B370" s="296" t="s">
        <v>3218</v>
      </c>
      <c r="C370" s="296" t="s">
        <v>183</v>
      </c>
      <c r="D370" s="296" t="s">
        <v>183</v>
      </c>
      <c r="E370" s="296" t="s">
        <v>183</v>
      </c>
      <c r="F370" s="296" t="s">
        <v>3219</v>
      </c>
      <c r="G370" s="296" t="s">
        <v>3219</v>
      </c>
      <c r="H370" s="296" t="s">
        <v>3220</v>
      </c>
      <c r="I370" s="296" t="s">
        <v>3147</v>
      </c>
      <c r="J370" s="296" t="s">
        <v>3367</v>
      </c>
      <c r="K370" s="296" t="s">
        <v>3217</v>
      </c>
      <c r="L370" s="296" t="s">
        <v>3218</v>
      </c>
      <c r="M370" s="296" t="s">
        <v>179</v>
      </c>
      <c r="N370" s="296" t="s">
        <v>3219</v>
      </c>
      <c r="O370" s="296" t="s">
        <v>3219</v>
      </c>
      <c r="P370" s="296" t="s">
        <v>3220</v>
      </c>
      <c r="Q370" s="296" t="s">
        <v>183</v>
      </c>
      <c r="R370" s="296" t="s">
        <v>3368</v>
      </c>
      <c r="S370" s="296" t="s">
        <v>185</v>
      </c>
      <c r="T370" s="296" t="s">
        <v>185</v>
      </c>
      <c r="U370" s="296" t="s">
        <v>186</v>
      </c>
      <c r="V370" s="296" t="s">
        <v>187</v>
      </c>
      <c r="W370" s="296" t="s">
        <v>188</v>
      </c>
      <c r="X370" s="296" t="s">
        <v>224</v>
      </c>
      <c r="Y370" s="296" t="s">
        <v>183</v>
      </c>
      <c r="Z370" s="296" t="s">
        <v>183</v>
      </c>
      <c r="AA370" s="296" t="s">
        <v>183</v>
      </c>
      <c r="AB370" s="296" t="s">
        <v>183</v>
      </c>
      <c r="AC370" s="296" t="s">
        <v>3369</v>
      </c>
      <c r="AD370" s="296" t="s">
        <v>3370</v>
      </c>
      <c r="AE370" s="296" t="s">
        <v>192</v>
      </c>
      <c r="AF370" s="296" t="s">
        <v>193</v>
      </c>
      <c r="AG370" s="296">
        <v>0</v>
      </c>
      <c r="AH370" s="298">
        <v>45777</v>
      </c>
      <c r="AJ370" s="296" t="s">
        <v>194</v>
      </c>
      <c r="AK370" s="299">
        <f>COUNTIF($A$3:A$917,A370)</f>
        <v>1</v>
      </c>
    </row>
    <row r="371" spans="1:37" x14ac:dyDescent="0.25">
      <c r="A371" s="296">
        <v>115600651325</v>
      </c>
      <c r="B371" s="296" t="s">
        <v>3371</v>
      </c>
      <c r="C371" s="296" t="s">
        <v>183</v>
      </c>
      <c r="D371" s="296" t="s">
        <v>183</v>
      </c>
      <c r="E371" s="296" t="s">
        <v>183</v>
      </c>
      <c r="F371" s="296" t="s">
        <v>3372</v>
      </c>
      <c r="G371" s="296" t="s">
        <v>183</v>
      </c>
      <c r="H371" s="296" t="s">
        <v>3373</v>
      </c>
      <c r="I371" s="296" t="s">
        <v>3147</v>
      </c>
      <c r="J371" s="296" t="s">
        <v>3374</v>
      </c>
      <c r="K371" s="296" t="s">
        <v>3375</v>
      </c>
      <c r="L371" s="296" t="s">
        <v>3376</v>
      </c>
      <c r="M371" s="296" t="s">
        <v>179</v>
      </c>
      <c r="N371" s="296" t="s">
        <v>3377</v>
      </c>
      <c r="O371" s="296" t="s">
        <v>183</v>
      </c>
      <c r="P371" s="296" t="s">
        <v>3378</v>
      </c>
      <c r="Q371" s="296" t="s">
        <v>183</v>
      </c>
      <c r="R371" s="296" t="s">
        <v>3379</v>
      </c>
      <c r="S371" s="296" t="s">
        <v>185</v>
      </c>
      <c r="T371" s="296" t="s">
        <v>185</v>
      </c>
      <c r="U371" s="296" t="s">
        <v>186</v>
      </c>
      <c r="V371" s="296" t="s">
        <v>187</v>
      </c>
      <c r="W371" s="296" t="s">
        <v>188</v>
      </c>
      <c r="X371" s="296" t="s">
        <v>224</v>
      </c>
      <c r="Y371" s="296" t="s">
        <v>183</v>
      </c>
      <c r="Z371" s="296" t="s">
        <v>183</v>
      </c>
      <c r="AA371" s="296" t="s">
        <v>183</v>
      </c>
      <c r="AB371" s="296" t="s">
        <v>183</v>
      </c>
      <c r="AC371" s="296" t="s">
        <v>3380</v>
      </c>
      <c r="AD371" s="296" t="s">
        <v>3381</v>
      </c>
      <c r="AE371" s="296" t="s">
        <v>192</v>
      </c>
      <c r="AF371" s="296" t="s">
        <v>193</v>
      </c>
      <c r="AG371" s="296">
        <v>0</v>
      </c>
      <c r="AH371" s="298">
        <v>45925</v>
      </c>
      <c r="AJ371" s="296" t="s">
        <v>194</v>
      </c>
      <c r="AK371" s="299">
        <f>COUNTIF($A$3:A$917,A371)</f>
        <v>1</v>
      </c>
    </row>
    <row r="372" spans="1:37" x14ac:dyDescent="0.25">
      <c r="A372" s="296">
        <v>602640997</v>
      </c>
      <c r="B372" s="296" t="s">
        <v>3382</v>
      </c>
      <c r="C372" s="296" t="s">
        <v>183</v>
      </c>
      <c r="D372" s="296" t="s">
        <v>183</v>
      </c>
      <c r="E372" s="296" t="s">
        <v>183</v>
      </c>
      <c r="F372" s="296" t="s">
        <v>3383</v>
      </c>
      <c r="G372" s="296" t="s">
        <v>3383</v>
      </c>
      <c r="H372" s="296" t="s">
        <v>3384</v>
      </c>
      <c r="I372" s="296" t="s">
        <v>3147</v>
      </c>
      <c r="J372" s="296" t="s">
        <v>3385</v>
      </c>
      <c r="K372" s="296" t="s">
        <v>812</v>
      </c>
      <c r="L372" s="296" t="s">
        <v>813</v>
      </c>
      <c r="M372" s="296" t="s">
        <v>179</v>
      </c>
      <c r="N372" s="296" t="s">
        <v>604</v>
      </c>
      <c r="O372" s="296" t="s">
        <v>604</v>
      </c>
      <c r="P372" s="296" t="s">
        <v>605</v>
      </c>
      <c r="Q372" s="296" t="s">
        <v>183</v>
      </c>
      <c r="R372" s="296" t="s">
        <v>3386</v>
      </c>
      <c r="S372" s="296" t="s">
        <v>185</v>
      </c>
      <c r="T372" s="296" t="s">
        <v>185</v>
      </c>
      <c r="U372" s="296" t="s">
        <v>186</v>
      </c>
      <c r="V372" s="296" t="s">
        <v>187</v>
      </c>
      <c r="W372" s="296" t="s">
        <v>188</v>
      </c>
      <c r="X372" s="296" t="s">
        <v>189</v>
      </c>
      <c r="Y372" s="296" t="s">
        <v>183</v>
      </c>
      <c r="Z372" s="296" t="s">
        <v>183</v>
      </c>
      <c r="AA372" s="296" t="s">
        <v>183</v>
      </c>
      <c r="AB372" s="296" t="s">
        <v>183</v>
      </c>
      <c r="AC372" s="296" t="s">
        <v>3387</v>
      </c>
      <c r="AD372" s="296" t="s">
        <v>3388</v>
      </c>
      <c r="AE372" s="296" t="s">
        <v>192</v>
      </c>
      <c r="AF372" s="296" t="s">
        <v>193</v>
      </c>
      <c r="AG372" s="296">
        <v>0</v>
      </c>
      <c r="AH372" s="298">
        <v>44827</v>
      </c>
      <c r="AJ372" s="296" t="s">
        <v>194</v>
      </c>
      <c r="AK372" s="299">
        <f>COUNTIF($A$3:A$917,A372)</f>
        <v>1</v>
      </c>
    </row>
    <row r="373" spans="1:37" x14ac:dyDescent="0.25">
      <c r="A373" s="296">
        <v>503610662</v>
      </c>
      <c r="B373" s="296" t="s">
        <v>3389</v>
      </c>
      <c r="C373" s="296" t="s">
        <v>183</v>
      </c>
      <c r="D373" s="296" t="s">
        <v>183</v>
      </c>
      <c r="E373" s="296" t="s">
        <v>183</v>
      </c>
      <c r="F373" s="296" t="s">
        <v>3390</v>
      </c>
      <c r="G373" s="296" t="s">
        <v>278</v>
      </c>
      <c r="H373" s="296" t="s">
        <v>3391</v>
      </c>
      <c r="I373" s="296" t="s">
        <v>3147</v>
      </c>
      <c r="J373" s="296" t="s">
        <v>3392</v>
      </c>
      <c r="K373" s="296" t="s">
        <v>3393</v>
      </c>
      <c r="L373" s="296" t="s">
        <v>3394</v>
      </c>
      <c r="M373" s="296" t="s">
        <v>179</v>
      </c>
      <c r="N373" s="296" t="s">
        <v>1615</v>
      </c>
      <c r="O373" s="296" t="s">
        <v>3395</v>
      </c>
      <c r="P373" s="296" t="s">
        <v>3396</v>
      </c>
      <c r="Q373" s="296" t="s">
        <v>183</v>
      </c>
      <c r="R373" s="296" t="s">
        <v>3397</v>
      </c>
      <c r="S373" s="296" t="s">
        <v>185</v>
      </c>
      <c r="T373" s="296" t="s">
        <v>185</v>
      </c>
      <c r="U373" s="296" t="s">
        <v>186</v>
      </c>
      <c r="V373" s="296" t="s">
        <v>187</v>
      </c>
      <c r="W373" s="296" t="s">
        <v>188</v>
      </c>
      <c r="X373" s="296" t="s">
        <v>256</v>
      </c>
      <c r="Y373" s="296" t="s">
        <v>183</v>
      </c>
      <c r="Z373" s="296" t="s">
        <v>183</v>
      </c>
      <c r="AA373" s="296" t="s">
        <v>183</v>
      </c>
      <c r="AB373" s="296" t="s">
        <v>183</v>
      </c>
      <c r="AC373" s="296" t="s">
        <v>3398</v>
      </c>
      <c r="AD373" s="296" t="s">
        <v>3399</v>
      </c>
      <c r="AE373" s="296" t="s">
        <v>192</v>
      </c>
      <c r="AF373" s="296" t="s">
        <v>193</v>
      </c>
      <c r="AG373" s="296">
        <v>0</v>
      </c>
      <c r="AH373" s="298">
        <v>45587</v>
      </c>
      <c r="AJ373" s="296" t="s">
        <v>194</v>
      </c>
      <c r="AK373" s="299">
        <f>COUNTIF($A$3:A$917,A373)</f>
        <v>1</v>
      </c>
    </row>
    <row r="374" spans="1:37" x14ac:dyDescent="0.25">
      <c r="A374" s="296">
        <v>504080246</v>
      </c>
      <c r="B374" s="296" t="s">
        <v>3400</v>
      </c>
      <c r="C374" s="296" t="s">
        <v>183</v>
      </c>
      <c r="D374" s="296" t="s">
        <v>183</v>
      </c>
      <c r="E374" s="296" t="s">
        <v>183</v>
      </c>
      <c r="F374" s="296" t="s">
        <v>3401</v>
      </c>
      <c r="G374" s="296" t="s">
        <v>3401</v>
      </c>
      <c r="H374" s="296" t="s">
        <v>3402</v>
      </c>
      <c r="I374" s="296" t="s">
        <v>3147</v>
      </c>
      <c r="J374" s="296" t="s">
        <v>3403</v>
      </c>
      <c r="K374" s="296" t="s">
        <v>1269</v>
      </c>
      <c r="L374" s="296" t="s">
        <v>1270</v>
      </c>
      <c r="M374" s="296" t="s">
        <v>179</v>
      </c>
      <c r="N374" s="296" t="s">
        <v>1271</v>
      </c>
      <c r="O374" s="296" t="s">
        <v>1272</v>
      </c>
      <c r="P374" s="296" t="s">
        <v>1273</v>
      </c>
      <c r="Q374" s="296" t="s">
        <v>183</v>
      </c>
      <c r="R374" s="296" t="s">
        <v>1274</v>
      </c>
      <c r="S374" s="296" t="s">
        <v>185</v>
      </c>
      <c r="T374" s="296" t="s">
        <v>185</v>
      </c>
      <c r="U374" s="296" t="s">
        <v>186</v>
      </c>
      <c r="V374" s="296" t="s">
        <v>187</v>
      </c>
      <c r="W374" s="296" t="s">
        <v>188</v>
      </c>
      <c r="X374" s="296" t="s">
        <v>189</v>
      </c>
      <c r="Y374" s="296" t="s">
        <v>183</v>
      </c>
      <c r="Z374" s="296" t="s">
        <v>183</v>
      </c>
      <c r="AA374" s="296" t="s">
        <v>183</v>
      </c>
      <c r="AB374" s="296" t="s">
        <v>183</v>
      </c>
      <c r="AC374" s="296" t="s">
        <v>1275</v>
      </c>
      <c r="AD374" s="296" t="s">
        <v>3404</v>
      </c>
      <c r="AE374" s="296" t="s">
        <v>192</v>
      </c>
      <c r="AF374" s="296" t="s">
        <v>193</v>
      </c>
      <c r="AG374" s="296">
        <v>0</v>
      </c>
      <c r="AH374" s="298">
        <v>45418</v>
      </c>
      <c r="AJ374" s="296" t="s">
        <v>194</v>
      </c>
      <c r="AK374" s="299">
        <f>COUNTIF($A$3:A$917,A374)</f>
        <v>1</v>
      </c>
    </row>
    <row r="375" spans="1:37" x14ac:dyDescent="0.25">
      <c r="A375" s="296">
        <v>503470454</v>
      </c>
      <c r="B375" s="296" t="s">
        <v>3405</v>
      </c>
      <c r="C375" s="296" t="s">
        <v>183</v>
      </c>
      <c r="D375" s="296" t="s">
        <v>183</v>
      </c>
      <c r="E375" s="296" t="s">
        <v>183</v>
      </c>
      <c r="F375" s="296" t="s">
        <v>3406</v>
      </c>
      <c r="G375" s="296" t="s">
        <v>183</v>
      </c>
      <c r="H375" s="296" t="s">
        <v>3407</v>
      </c>
      <c r="I375" s="296" t="s">
        <v>3147</v>
      </c>
      <c r="J375" s="296" t="s">
        <v>3408</v>
      </c>
      <c r="K375" s="296" t="s">
        <v>3409</v>
      </c>
      <c r="L375" s="296" t="s">
        <v>3405</v>
      </c>
      <c r="M375" s="296" t="s">
        <v>179</v>
      </c>
      <c r="N375" s="296" t="s">
        <v>3406</v>
      </c>
      <c r="O375" s="296" t="s">
        <v>183</v>
      </c>
      <c r="P375" s="296" t="s">
        <v>3407</v>
      </c>
      <c r="Q375" s="296" t="s">
        <v>183</v>
      </c>
      <c r="R375" s="296" t="s">
        <v>3410</v>
      </c>
      <c r="S375" s="296" t="s">
        <v>185</v>
      </c>
      <c r="T375" s="296" t="s">
        <v>185</v>
      </c>
      <c r="U375" s="296" t="s">
        <v>186</v>
      </c>
      <c r="V375" s="296" t="s">
        <v>187</v>
      </c>
      <c r="W375" s="296" t="s">
        <v>188</v>
      </c>
      <c r="X375" s="296" t="s">
        <v>256</v>
      </c>
      <c r="Y375" s="296" t="s">
        <v>183</v>
      </c>
      <c r="Z375" s="296" t="s">
        <v>183</v>
      </c>
      <c r="AA375" s="296" t="s">
        <v>183</v>
      </c>
      <c r="AB375" s="296" t="s">
        <v>183</v>
      </c>
      <c r="AC375" s="296" t="s">
        <v>3411</v>
      </c>
      <c r="AD375" s="296" t="s">
        <v>3412</v>
      </c>
      <c r="AE375" s="296" t="s">
        <v>192</v>
      </c>
      <c r="AF375" s="296" t="s">
        <v>193</v>
      </c>
      <c r="AG375" s="296">
        <v>0</v>
      </c>
      <c r="AH375" s="298">
        <v>45755</v>
      </c>
      <c r="AJ375" s="296" t="s">
        <v>194</v>
      </c>
      <c r="AK375" s="299">
        <f>COUNTIF($A$3:A$917,A375)</f>
        <v>1</v>
      </c>
    </row>
    <row r="376" spans="1:37" x14ac:dyDescent="0.25">
      <c r="A376" s="296">
        <v>111570820</v>
      </c>
      <c r="B376" s="296" t="s">
        <v>3413</v>
      </c>
      <c r="C376" s="296" t="s">
        <v>183</v>
      </c>
      <c r="D376" s="296" t="s">
        <v>183</v>
      </c>
      <c r="E376" s="296" t="s">
        <v>183</v>
      </c>
      <c r="F376" s="296" t="s">
        <v>3414</v>
      </c>
      <c r="G376" s="296" t="s">
        <v>3415</v>
      </c>
      <c r="H376" s="296" t="s">
        <v>3416</v>
      </c>
      <c r="I376" s="296" t="s">
        <v>3147</v>
      </c>
      <c r="J376" s="296" t="s">
        <v>3417</v>
      </c>
      <c r="K376" s="296" t="s">
        <v>3418</v>
      </c>
      <c r="L376" s="296" t="s">
        <v>3419</v>
      </c>
      <c r="M376" s="296" t="s">
        <v>179</v>
      </c>
      <c r="N376" s="296" t="s">
        <v>3420</v>
      </c>
      <c r="O376" s="296" t="s">
        <v>3421</v>
      </c>
      <c r="P376" s="296" t="s">
        <v>3422</v>
      </c>
      <c r="Q376" s="296" t="s">
        <v>183</v>
      </c>
      <c r="R376" s="296" t="s">
        <v>3423</v>
      </c>
      <c r="S376" s="296" t="s">
        <v>185</v>
      </c>
      <c r="T376" s="296" t="s">
        <v>185</v>
      </c>
      <c r="U376" s="296" t="s">
        <v>186</v>
      </c>
      <c r="V376" s="296" t="s">
        <v>187</v>
      </c>
      <c r="W376" s="296" t="s">
        <v>188</v>
      </c>
      <c r="X376" s="296" t="s">
        <v>573</v>
      </c>
      <c r="Y376" s="296" t="s">
        <v>183</v>
      </c>
      <c r="Z376" s="296" t="s">
        <v>183</v>
      </c>
      <c r="AA376" s="296" t="s">
        <v>183</v>
      </c>
      <c r="AB376" s="296" t="s">
        <v>183</v>
      </c>
      <c r="AC376" s="296" t="s">
        <v>3424</v>
      </c>
      <c r="AD376" s="296" t="s">
        <v>3425</v>
      </c>
      <c r="AE376" s="296" t="s">
        <v>192</v>
      </c>
      <c r="AF376" s="296" t="s">
        <v>193</v>
      </c>
      <c r="AG376" s="296">
        <v>0</v>
      </c>
      <c r="AH376" s="298">
        <v>44966</v>
      </c>
      <c r="AJ376" s="296" t="s">
        <v>194</v>
      </c>
      <c r="AK376" s="299">
        <f>COUNTIF($A$3:A$917,A376)</f>
        <v>1</v>
      </c>
    </row>
    <row r="377" spans="1:37" x14ac:dyDescent="0.25">
      <c r="A377" s="296">
        <v>3101708335</v>
      </c>
      <c r="B377" s="296" t="s">
        <v>3426</v>
      </c>
      <c r="C377" s="296" t="s">
        <v>183</v>
      </c>
      <c r="D377" s="296" t="s">
        <v>183</v>
      </c>
      <c r="E377" s="296" t="s">
        <v>183</v>
      </c>
      <c r="F377" s="296" t="s">
        <v>3427</v>
      </c>
      <c r="G377" s="296" t="s">
        <v>3428</v>
      </c>
      <c r="H377" s="296" t="s">
        <v>183</v>
      </c>
      <c r="I377" s="296" t="s">
        <v>3147</v>
      </c>
      <c r="J377" s="296" t="s">
        <v>3429</v>
      </c>
      <c r="K377" s="296" t="s">
        <v>2616</v>
      </c>
      <c r="L377" s="296" t="s">
        <v>2610</v>
      </c>
      <c r="M377" s="296" t="s">
        <v>179</v>
      </c>
      <c r="N377" s="296" t="s">
        <v>2084</v>
      </c>
      <c r="O377" s="296" t="s">
        <v>2617</v>
      </c>
      <c r="P377" s="296" t="s">
        <v>2618</v>
      </c>
      <c r="Q377" s="296" t="s">
        <v>183</v>
      </c>
      <c r="R377" s="296" t="s">
        <v>2619</v>
      </c>
      <c r="S377" s="296" t="s">
        <v>185</v>
      </c>
      <c r="T377" s="296" t="s">
        <v>185</v>
      </c>
      <c r="U377" s="296" t="s">
        <v>186</v>
      </c>
      <c r="V377" s="296" t="s">
        <v>187</v>
      </c>
      <c r="W377" s="296" t="s">
        <v>188</v>
      </c>
      <c r="X377" s="296" t="s">
        <v>189</v>
      </c>
      <c r="Y377" s="296" t="s">
        <v>183</v>
      </c>
      <c r="Z377" s="296" t="s">
        <v>183</v>
      </c>
      <c r="AA377" s="296" t="s">
        <v>183</v>
      </c>
      <c r="AB377" s="296" t="s">
        <v>183</v>
      </c>
      <c r="AC377" s="296" t="s">
        <v>2620</v>
      </c>
      <c r="AD377" s="296" t="s">
        <v>3430</v>
      </c>
      <c r="AE377" s="296" t="s">
        <v>192</v>
      </c>
      <c r="AF377" s="296" t="s">
        <v>193</v>
      </c>
      <c r="AG377" s="296">
        <v>0</v>
      </c>
      <c r="AH377" s="298">
        <v>44203</v>
      </c>
      <c r="AJ377" s="296" t="s">
        <v>194</v>
      </c>
      <c r="AK377" s="299">
        <f>COUNTIF($A$3:A$917,A377)</f>
        <v>1</v>
      </c>
    </row>
    <row r="378" spans="1:37" x14ac:dyDescent="0.25">
      <c r="A378" s="296">
        <v>3101635977</v>
      </c>
      <c r="B378" s="296" t="s">
        <v>3431</v>
      </c>
      <c r="C378" s="296" t="s">
        <v>3432</v>
      </c>
      <c r="D378" s="296" t="s">
        <v>3433</v>
      </c>
      <c r="E378" s="296" t="s">
        <v>172</v>
      </c>
      <c r="F378" s="296" t="s">
        <v>3434</v>
      </c>
      <c r="G378" s="296" t="s">
        <v>3435</v>
      </c>
      <c r="H378" s="296" t="s">
        <v>3436</v>
      </c>
      <c r="I378" s="296" t="s">
        <v>3147</v>
      </c>
      <c r="J378" s="296" t="s">
        <v>3437</v>
      </c>
      <c r="K378" s="296" t="s">
        <v>2566</v>
      </c>
      <c r="L378" s="296" t="s">
        <v>2562</v>
      </c>
      <c r="M378" s="296" t="s">
        <v>179</v>
      </c>
      <c r="N378" s="296" t="s">
        <v>2563</v>
      </c>
      <c r="O378" s="296" t="s">
        <v>2563</v>
      </c>
      <c r="P378" s="296" t="s">
        <v>2564</v>
      </c>
      <c r="Q378" s="296" t="s">
        <v>183</v>
      </c>
      <c r="R378" s="296" t="s">
        <v>2567</v>
      </c>
      <c r="S378" s="296" t="s">
        <v>185</v>
      </c>
      <c r="T378" s="296" t="s">
        <v>185</v>
      </c>
      <c r="U378" s="296" t="s">
        <v>186</v>
      </c>
      <c r="V378" s="296" t="s">
        <v>187</v>
      </c>
      <c r="W378" s="296" t="s">
        <v>188</v>
      </c>
      <c r="X378" s="296" t="s">
        <v>404</v>
      </c>
      <c r="Y378" s="296" t="s">
        <v>183</v>
      </c>
      <c r="Z378" s="296" t="s">
        <v>183</v>
      </c>
      <c r="AA378" s="296" t="s">
        <v>183</v>
      </c>
      <c r="AB378" s="296" t="s">
        <v>183</v>
      </c>
      <c r="AC378" s="296" t="s">
        <v>2568</v>
      </c>
      <c r="AD378" s="296" t="s">
        <v>3438</v>
      </c>
      <c r="AE378" s="296" t="s">
        <v>192</v>
      </c>
      <c r="AF378" s="296" t="s">
        <v>193</v>
      </c>
      <c r="AG378" s="296">
        <v>0</v>
      </c>
      <c r="AH378" s="298">
        <v>42758</v>
      </c>
      <c r="AJ378" s="296" t="s">
        <v>194</v>
      </c>
      <c r="AK378" s="299">
        <f>COUNTIF($A$3:A$917,A378)</f>
        <v>1</v>
      </c>
    </row>
    <row r="379" spans="1:37" x14ac:dyDescent="0.25">
      <c r="A379" s="296">
        <v>504530608</v>
      </c>
      <c r="B379" s="296" t="s">
        <v>3439</v>
      </c>
      <c r="C379" s="296" t="s">
        <v>183</v>
      </c>
      <c r="D379" s="296" t="s">
        <v>183</v>
      </c>
      <c r="E379" s="296" t="s">
        <v>183</v>
      </c>
      <c r="F379" s="296" t="s">
        <v>3440</v>
      </c>
      <c r="G379" s="296" t="s">
        <v>183</v>
      </c>
      <c r="H379" s="296" t="s">
        <v>3441</v>
      </c>
      <c r="I379" s="296" t="s">
        <v>3147</v>
      </c>
      <c r="J379" s="296" t="s">
        <v>3442</v>
      </c>
      <c r="K379" s="296" t="s">
        <v>3443</v>
      </c>
      <c r="L379" s="296" t="s">
        <v>3444</v>
      </c>
      <c r="M379" s="296" t="s">
        <v>179</v>
      </c>
      <c r="N379" s="296" t="s">
        <v>1609</v>
      </c>
      <c r="O379" s="296" t="s">
        <v>183</v>
      </c>
      <c r="P379" s="296" t="s">
        <v>3445</v>
      </c>
      <c r="Q379" s="296" t="s">
        <v>183</v>
      </c>
      <c r="R379" s="296" t="s">
        <v>3446</v>
      </c>
      <c r="S379" s="296" t="s">
        <v>185</v>
      </c>
      <c r="T379" s="296" t="s">
        <v>185</v>
      </c>
      <c r="U379" s="296" t="s">
        <v>186</v>
      </c>
      <c r="V379" s="296" t="s">
        <v>187</v>
      </c>
      <c r="W379" s="296" t="s">
        <v>188</v>
      </c>
      <c r="X379" s="296" t="s">
        <v>189</v>
      </c>
      <c r="Y379" s="296" t="s">
        <v>183</v>
      </c>
      <c r="Z379" s="296" t="s">
        <v>183</v>
      </c>
      <c r="AA379" s="296" t="s">
        <v>183</v>
      </c>
      <c r="AB379" s="296" t="s">
        <v>183</v>
      </c>
      <c r="AC379" s="296" t="s">
        <v>3447</v>
      </c>
      <c r="AD379" s="296" t="s">
        <v>3448</v>
      </c>
      <c r="AE379" s="296" t="s">
        <v>192</v>
      </c>
      <c r="AF379" s="296" t="s">
        <v>193</v>
      </c>
      <c r="AG379" s="296">
        <v>0</v>
      </c>
      <c r="AH379" s="298">
        <v>45891</v>
      </c>
      <c r="AJ379" s="296" t="s">
        <v>194</v>
      </c>
      <c r="AK379" s="299">
        <f>COUNTIF($A$3:A$917,A379)</f>
        <v>1</v>
      </c>
    </row>
    <row r="380" spans="1:37" x14ac:dyDescent="0.25">
      <c r="A380" s="296">
        <v>503640271</v>
      </c>
      <c r="B380" s="296" t="s">
        <v>3449</v>
      </c>
      <c r="C380" s="296" t="s">
        <v>183</v>
      </c>
      <c r="D380" s="296" t="s">
        <v>183</v>
      </c>
      <c r="E380" s="296" t="s">
        <v>183</v>
      </c>
      <c r="F380" s="296" t="s">
        <v>3450</v>
      </c>
      <c r="G380" s="296" t="s">
        <v>3450</v>
      </c>
      <c r="H380" s="296" t="s">
        <v>3451</v>
      </c>
      <c r="I380" s="296" t="s">
        <v>3147</v>
      </c>
      <c r="J380" s="296" t="s">
        <v>3452</v>
      </c>
      <c r="K380" s="296" t="s">
        <v>3453</v>
      </c>
      <c r="L380" s="296" t="s">
        <v>3454</v>
      </c>
      <c r="M380" s="296" t="s">
        <v>179</v>
      </c>
      <c r="N380" s="296" t="s">
        <v>3455</v>
      </c>
      <c r="O380" s="296" t="s">
        <v>3456</v>
      </c>
      <c r="P380" s="296" t="s">
        <v>3451</v>
      </c>
      <c r="Q380" s="296" t="s">
        <v>183</v>
      </c>
      <c r="R380" s="296" t="s">
        <v>3457</v>
      </c>
      <c r="S380" s="296" t="s">
        <v>185</v>
      </c>
      <c r="T380" s="296" t="s">
        <v>185</v>
      </c>
      <c r="U380" s="296" t="s">
        <v>186</v>
      </c>
      <c r="V380" s="296" t="s">
        <v>187</v>
      </c>
      <c r="W380" s="296" t="s">
        <v>188</v>
      </c>
      <c r="X380" s="296" t="s">
        <v>188</v>
      </c>
      <c r="Y380" s="296" t="s">
        <v>183</v>
      </c>
      <c r="Z380" s="296" t="s">
        <v>183</v>
      </c>
      <c r="AA380" s="296" t="s">
        <v>183</v>
      </c>
      <c r="AB380" s="296" t="s">
        <v>183</v>
      </c>
      <c r="AC380" s="296" t="s">
        <v>3458</v>
      </c>
      <c r="AD380" s="296" t="s">
        <v>3459</v>
      </c>
      <c r="AE380" s="296" t="s">
        <v>192</v>
      </c>
      <c r="AF380" s="296" t="s">
        <v>193</v>
      </c>
      <c r="AG380" s="296">
        <v>38504</v>
      </c>
      <c r="AH380" s="298">
        <v>43472</v>
      </c>
      <c r="AJ380" s="296" t="s">
        <v>194</v>
      </c>
      <c r="AK380" s="299">
        <f>COUNTIF($A$3:A$917,A380)</f>
        <v>1</v>
      </c>
    </row>
    <row r="381" spans="1:37" x14ac:dyDescent="0.25">
      <c r="A381" s="296">
        <v>3102840703</v>
      </c>
      <c r="B381" s="296" t="s">
        <v>3460</v>
      </c>
      <c r="C381" s="296" t="s">
        <v>183</v>
      </c>
      <c r="D381" s="296" t="s">
        <v>183</v>
      </c>
      <c r="E381" s="296" t="s">
        <v>183</v>
      </c>
      <c r="F381" s="296" t="s">
        <v>3461</v>
      </c>
      <c r="G381" s="296" t="s">
        <v>183</v>
      </c>
      <c r="H381" s="296" t="s">
        <v>3462</v>
      </c>
      <c r="I381" s="296" t="s">
        <v>3147</v>
      </c>
      <c r="J381" s="296" t="s">
        <v>3463</v>
      </c>
      <c r="K381" s="296" t="s">
        <v>3464</v>
      </c>
      <c r="L381" s="296" t="s">
        <v>3465</v>
      </c>
      <c r="M381" s="296" t="s">
        <v>179</v>
      </c>
      <c r="N381" s="296" t="s">
        <v>3267</v>
      </c>
      <c r="O381" s="296" t="s">
        <v>3267</v>
      </c>
      <c r="P381" s="296" t="s">
        <v>3268</v>
      </c>
      <c r="Q381" s="296" t="s">
        <v>183</v>
      </c>
      <c r="R381" s="296" t="s">
        <v>3466</v>
      </c>
      <c r="S381" s="296" t="s">
        <v>185</v>
      </c>
      <c r="T381" s="296" t="s">
        <v>185</v>
      </c>
      <c r="U381" s="296" t="s">
        <v>186</v>
      </c>
      <c r="V381" s="296" t="s">
        <v>187</v>
      </c>
      <c r="W381" s="296" t="s">
        <v>188</v>
      </c>
      <c r="X381" s="296" t="s">
        <v>189</v>
      </c>
      <c r="Y381" s="296" t="s">
        <v>183</v>
      </c>
      <c r="Z381" s="296" t="s">
        <v>183</v>
      </c>
      <c r="AA381" s="296" t="s">
        <v>183</v>
      </c>
      <c r="AB381" s="296" t="s">
        <v>183</v>
      </c>
      <c r="AC381" s="296" t="s">
        <v>3467</v>
      </c>
      <c r="AD381" s="296" t="s">
        <v>3468</v>
      </c>
      <c r="AE381" s="296" t="s">
        <v>192</v>
      </c>
      <c r="AF381" s="296" t="s">
        <v>193</v>
      </c>
      <c r="AG381" s="296">
        <v>0</v>
      </c>
      <c r="AH381" s="298">
        <v>44705</v>
      </c>
      <c r="AJ381" s="296" t="s">
        <v>194</v>
      </c>
      <c r="AK381" s="299">
        <f>COUNTIF($A$3:A$917,A381)</f>
        <v>1</v>
      </c>
    </row>
    <row r="382" spans="1:37" x14ac:dyDescent="0.25">
      <c r="A382" s="296">
        <v>504060144</v>
      </c>
      <c r="B382" s="296" t="s">
        <v>3469</v>
      </c>
      <c r="C382" s="296" t="s">
        <v>183</v>
      </c>
      <c r="D382" s="296" t="s">
        <v>183</v>
      </c>
      <c r="E382" s="296" t="s">
        <v>183</v>
      </c>
      <c r="F382" s="296" t="s">
        <v>3470</v>
      </c>
      <c r="G382" s="296" t="s">
        <v>183</v>
      </c>
      <c r="H382" s="296" t="s">
        <v>3471</v>
      </c>
      <c r="I382" s="296" t="s">
        <v>3472</v>
      </c>
      <c r="J382" s="296" t="s">
        <v>3473</v>
      </c>
      <c r="K382" s="296" t="s">
        <v>3474</v>
      </c>
      <c r="L382" s="296" t="s">
        <v>3469</v>
      </c>
      <c r="M382" s="296" t="s">
        <v>179</v>
      </c>
      <c r="N382" s="296" t="s">
        <v>3470</v>
      </c>
      <c r="O382" s="296" t="s">
        <v>183</v>
      </c>
      <c r="P382" s="296" t="s">
        <v>3471</v>
      </c>
      <c r="Q382" s="296" t="s">
        <v>183</v>
      </c>
      <c r="R382" s="296" t="s">
        <v>3475</v>
      </c>
      <c r="S382" s="296" t="s">
        <v>185</v>
      </c>
      <c r="T382" s="296" t="s">
        <v>185</v>
      </c>
      <c r="U382" s="296" t="s">
        <v>186</v>
      </c>
      <c r="V382" s="296" t="s">
        <v>187</v>
      </c>
      <c r="W382" s="296" t="s">
        <v>188</v>
      </c>
      <c r="X382" s="296" t="s">
        <v>189</v>
      </c>
      <c r="Y382" s="296" t="s">
        <v>183</v>
      </c>
      <c r="Z382" s="296" t="s">
        <v>183</v>
      </c>
      <c r="AA382" s="296" t="s">
        <v>183</v>
      </c>
      <c r="AB382" s="296" t="s">
        <v>183</v>
      </c>
      <c r="AC382" s="296" t="s">
        <v>3476</v>
      </c>
      <c r="AD382" s="296" t="s">
        <v>3477</v>
      </c>
      <c r="AE382" s="296" t="s">
        <v>192</v>
      </c>
      <c r="AF382" s="296" t="s">
        <v>193</v>
      </c>
      <c r="AG382" s="296">
        <v>0</v>
      </c>
      <c r="AH382" s="298">
        <v>45699</v>
      </c>
      <c r="AJ382" s="296" t="s">
        <v>194</v>
      </c>
      <c r="AK382" s="299">
        <f>COUNTIF($A$3:A$917,A382)</f>
        <v>1</v>
      </c>
    </row>
    <row r="383" spans="1:37" x14ac:dyDescent="0.25">
      <c r="A383" s="296">
        <v>109840106</v>
      </c>
      <c r="B383" s="296" t="s">
        <v>3478</v>
      </c>
      <c r="C383" s="296" t="s">
        <v>183</v>
      </c>
      <c r="D383" s="296" t="s">
        <v>183</v>
      </c>
      <c r="E383" s="296" t="s">
        <v>183</v>
      </c>
      <c r="F383" s="296" t="s">
        <v>3479</v>
      </c>
      <c r="G383" s="296" t="s">
        <v>3479</v>
      </c>
      <c r="H383" s="296" t="s">
        <v>3480</v>
      </c>
      <c r="I383" s="296" t="s">
        <v>3472</v>
      </c>
      <c r="J383" s="296" t="s">
        <v>3481</v>
      </c>
      <c r="K383" s="296" t="s">
        <v>3482</v>
      </c>
      <c r="L383" s="296" t="s">
        <v>3483</v>
      </c>
      <c r="M383" s="296" t="s">
        <v>179</v>
      </c>
      <c r="N383" s="296" t="s">
        <v>3110</v>
      </c>
      <c r="O383" s="296" t="s">
        <v>183</v>
      </c>
      <c r="P383" s="296" t="s">
        <v>3484</v>
      </c>
      <c r="Q383" s="296" t="s">
        <v>183</v>
      </c>
      <c r="R383" s="296" t="s">
        <v>3485</v>
      </c>
      <c r="S383" s="296" t="s">
        <v>185</v>
      </c>
      <c r="T383" s="296" t="s">
        <v>185</v>
      </c>
      <c r="U383" s="296" t="s">
        <v>186</v>
      </c>
      <c r="V383" s="296" t="s">
        <v>187</v>
      </c>
      <c r="W383" s="296" t="s">
        <v>188</v>
      </c>
      <c r="X383" s="296" t="s">
        <v>256</v>
      </c>
      <c r="Y383" s="296" t="s">
        <v>183</v>
      </c>
      <c r="Z383" s="296" t="s">
        <v>183</v>
      </c>
      <c r="AA383" s="296" t="s">
        <v>183</v>
      </c>
      <c r="AB383" s="296" t="s">
        <v>183</v>
      </c>
      <c r="AC383" s="296" t="s">
        <v>3486</v>
      </c>
      <c r="AD383" s="296" t="s">
        <v>3487</v>
      </c>
      <c r="AE383" s="296" t="s">
        <v>192</v>
      </c>
      <c r="AF383" s="296" t="s">
        <v>193</v>
      </c>
      <c r="AG383" s="296">
        <v>0</v>
      </c>
      <c r="AH383" s="298">
        <v>45365</v>
      </c>
      <c r="AJ383" s="296" t="s">
        <v>194</v>
      </c>
      <c r="AK383" s="299">
        <f>COUNTIF($A$3:A$917,A383)</f>
        <v>1</v>
      </c>
    </row>
    <row r="384" spans="1:37" x14ac:dyDescent="0.25">
      <c r="A384" s="296">
        <v>503780256</v>
      </c>
      <c r="B384" s="296" t="s">
        <v>3488</v>
      </c>
      <c r="C384" s="296" t="s">
        <v>183</v>
      </c>
      <c r="D384" s="296" t="s">
        <v>183</v>
      </c>
      <c r="E384" s="296" t="s">
        <v>183</v>
      </c>
      <c r="F384" s="296" t="s">
        <v>3489</v>
      </c>
      <c r="G384" s="296" t="s">
        <v>3490</v>
      </c>
      <c r="H384" s="296" t="s">
        <v>3491</v>
      </c>
      <c r="I384" s="296" t="s">
        <v>3472</v>
      </c>
      <c r="J384" s="296" t="s">
        <v>3492</v>
      </c>
      <c r="K384" s="296" t="s">
        <v>3493</v>
      </c>
      <c r="L384" s="296" t="s">
        <v>3488</v>
      </c>
      <c r="M384" s="296" t="s">
        <v>179</v>
      </c>
      <c r="N384" s="296" t="s">
        <v>3489</v>
      </c>
      <c r="O384" s="296" t="s">
        <v>3490</v>
      </c>
      <c r="P384" s="296" t="s">
        <v>3491</v>
      </c>
      <c r="Q384" s="296" t="s">
        <v>183</v>
      </c>
      <c r="R384" s="296" t="s">
        <v>3494</v>
      </c>
      <c r="S384" s="296" t="s">
        <v>185</v>
      </c>
      <c r="T384" s="296" t="s">
        <v>185</v>
      </c>
      <c r="U384" s="296" t="s">
        <v>186</v>
      </c>
      <c r="V384" s="296" t="s">
        <v>187</v>
      </c>
      <c r="W384" s="296" t="s">
        <v>188</v>
      </c>
      <c r="X384" s="296" t="s">
        <v>189</v>
      </c>
      <c r="Y384" s="296" t="s">
        <v>183</v>
      </c>
      <c r="Z384" s="296" t="s">
        <v>183</v>
      </c>
      <c r="AA384" s="296" t="s">
        <v>183</v>
      </c>
      <c r="AB384" s="296" t="s">
        <v>183</v>
      </c>
      <c r="AC384" s="296" t="s">
        <v>3495</v>
      </c>
      <c r="AD384" s="296" t="s">
        <v>3496</v>
      </c>
      <c r="AE384" s="296" t="s">
        <v>192</v>
      </c>
      <c r="AF384" s="296" t="s">
        <v>193</v>
      </c>
      <c r="AG384" s="296">
        <v>0</v>
      </c>
      <c r="AH384" s="298">
        <v>45504</v>
      </c>
      <c r="AJ384" s="296" t="s">
        <v>194</v>
      </c>
      <c r="AK384" s="299">
        <f>COUNTIF($A$3:A$917,A384)</f>
        <v>1</v>
      </c>
    </row>
    <row r="385" spans="1:37" x14ac:dyDescent="0.25">
      <c r="A385" s="296">
        <v>402080585</v>
      </c>
      <c r="B385" s="296" t="s">
        <v>3497</v>
      </c>
      <c r="C385" s="296" t="s">
        <v>183</v>
      </c>
      <c r="D385" s="296" t="s">
        <v>183</v>
      </c>
      <c r="E385" s="296" t="s">
        <v>183</v>
      </c>
      <c r="F385" s="296" t="s">
        <v>3498</v>
      </c>
      <c r="G385" s="296" t="s">
        <v>183</v>
      </c>
      <c r="H385" s="296" t="s">
        <v>3499</v>
      </c>
      <c r="I385" s="296" t="s">
        <v>3472</v>
      </c>
      <c r="J385" s="296" t="s">
        <v>3500</v>
      </c>
      <c r="K385" s="296" t="s">
        <v>183</v>
      </c>
      <c r="L385" s="296" t="s">
        <v>183</v>
      </c>
      <c r="M385" s="296" t="s">
        <v>183</v>
      </c>
      <c r="N385" s="296" t="s">
        <v>3501</v>
      </c>
      <c r="O385" s="296" t="s">
        <v>183</v>
      </c>
      <c r="P385" s="296" t="s">
        <v>183</v>
      </c>
      <c r="Q385" s="296" t="s">
        <v>183</v>
      </c>
      <c r="R385" s="296" t="s">
        <v>183</v>
      </c>
      <c r="S385" s="296" t="s">
        <v>183</v>
      </c>
      <c r="T385" s="296" t="s">
        <v>183</v>
      </c>
      <c r="U385" s="296" t="s">
        <v>183</v>
      </c>
      <c r="V385" s="296" t="s">
        <v>183</v>
      </c>
      <c r="W385" s="296" t="s">
        <v>183</v>
      </c>
      <c r="X385" s="296" t="s">
        <v>183</v>
      </c>
      <c r="Y385" s="296" t="s">
        <v>183</v>
      </c>
      <c r="Z385" s="296" t="s">
        <v>183</v>
      </c>
      <c r="AA385" s="296" t="s">
        <v>183</v>
      </c>
      <c r="AB385" s="296" t="s">
        <v>183</v>
      </c>
      <c r="AC385" s="296" t="s">
        <v>183</v>
      </c>
      <c r="AD385" s="296" t="s">
        <v>3502</v>
      </c>
      <c r="AE385" s="296" t="s">
        <v>192</v>
      </c>
      <c r="AF385" s="296" t="s">
        <v>193</v>
      </c>
      <c r="AG385" s="296">
        <v>0</v>
      </c>
      <c r="AH385" s="298">
        <v>44914</v>
      </c>
      <c r="AJ385" s="296" t="s">
        <v>194</v>
      </c>
      <c r="AK385" s="299">
        <f>COUNTIF($A$3:A$917,A385)</f>
        <v>1</v>
      </c>
    </row>
    <row r="386" spans="1:37" x14ac:dyDescent="0.25">
      <c r="A386" s="296">
        <v>204740957</v>
      </c>
      <c r="B386" s="296" t="s">
        <v>3503</v>
      </c>
      <c r="C386" s="296" t="s">
        <v>183</v>
      </c>
      <c r="D386" s="296" t="s">
        <v>183</v>
      </c>
      <c r="E386" s="296" t="s">
        <v>183</v>
      </c>
      <c r="F386" s="296" t="s">
        <v>3504</v>
      </c>
      <c r="G386" s="296" t="s">
        <v>183</v>
      </c>
      <c r="H386" s="296" t="s">
        <v>3505</v>
      </c>
      <c r="I386" s="296" t="s">
        <v>3472</v>
      </c>
      <c r="J386" s="296" t="s">
        <v>3506</v>
      </c>
      <c r="K386" s="296" t="s">
        <v>3507</v>
      </c>
      <c r="L386" s="296" t="s">
        <v>3508</v>
      </c>
      <c r="M386" s="296" t="s">
        <v>179</v>
      </c>
      <c r="N386" s="296" t="s">
        <v>3509</v>
      </c>
      <c r="O386" s="296" t="s">
        <v>3510</v>
      </c>
      <c r="P386" s="296" t="s">
        <v>183</v>
      </c>
      <c r="Q386" s="296" t="s">
        <v>183</v>
      </c>
      <c r="R386" s="296" t="s">
        <v>3511</v>
      </c>
      <c r="S386" s="296" t="s">
        <v>185</v>
      </c>
      <c r="T386" s="296" t="s">
        <v>185</v>
      </c>
      <c r="U386" s="296" t="s">
        <v>186</v>
      </c>
      <c r="V386" s="296" t="s">
        <v>187</v>
      </c>
      <c r="W386" s="296" t="s">
        <v>188</v>
      </c>
      <c r="X386" s="296" t="s">
        <v>189</v>
      </c>
      <c r="Y386" s="296" t="s">
        <v>183</v>
      </c>
      <c r="Z386" s="296" t="s">
        <v>183</v>
      </c>
      <c r="AA386" s="296" t="s">
        <v>183</v>
      </c>
      <c r="AB386" s="296" t="s">
        <v>183</v>
      </c>
      <c r="AC386" s="296" t="s">
        <v>3512</v>
      </c>
      <c r="AD386" s="296" t="s">
        <v>3513</v>
      </c>
      <c r="AE386" s="296" t="s">
        <v>192</v>
      </c>
      <c r="AF386" s="296" t="s">
        <v>193</v>
      </c>
      <c r="AG386" s="296">
        <v>0</v>
      </c>
      <c r="AH386" s="298">
        <v>44299</v>
      </c>
      <c r="AJ386" s="296" t="s">
        <v>194</v>
      </c>
      <c r="AK386" s="299">
        <f>COUNTIF($A$3:A$917,A386)</f>
        <v>1</v>
      </c>
    </row>
    <row r="387" spans="1:37" x14ac:dyDescent="0.25">
      <c r="A387" s="296">
        <v>501710086</v>
      </c>
      <c r="B387" s="296" t="s">
        <v>3514</v>
      </c>
      <c r="C387" s="296" t="s">
        <v>183</v>
      </c>
      <c r="D387" s="296" t="s">
        <v>183</v>
      </c>
      <c r="E387" s="296" t="s">
        <v>183</v>
      </c>
      <c r="F387" s="296" t="s">
        <v>3515</v>
      </c>
      <c r="G387" s="296" t="s">
        <v>3516</v>
      </c>
      <c r="H387" s="296" t="s">
        <v>3517</v>
      </c>
      <c r="I387" s="296" t="s">
        <v>3472</v>
      </c>
      <c r="J387" s="296" t="s">
        <v>3518</v>
      </c>
      <c r="K387" s="296" t="s">
        <v>3519</v>
      </c>
      <c r="L387" s="296" t="s">
        <v>3520</v>
      </c>
      <c r="M387" s="296" t="s">
        <v>179</v>
      </c>
      <c r="N387" s="296" t="s">
        <v>3521</v>
      </c>
      <c r="O387" s="296" t="s">
        <v>3522</v>
      </c>
      <c r="P387" s="296" t="s">
        <v>3523</v>
      </c>
      <c r="Q387" s="296" t="s">
        <v>183</v>
      </c>
      <c r="R387" s="296" t="s">
        <v>3524</v>
      </c>
      <c r="S387" s="296" t="s">
        <v>185</v>
      </c>
      <c r="T387" s="296" t="s">
        <v>185</v>
      </c>
      <c r="U387" s="296" t="s">
        <v>186</v>
      </c>
      <c r="V387" s="296" t="s">
        <v>187</v>
      </c>
      <c r="W387" s="296" t="s">
        <v>188</v>
      </c>
      <c r="X387" s="296" t="s">
        <v>188</v>
      </c>
      <c r="Y387" s="296" t="s">
        <v>183</v>
      </c>
      <c r="Z387" s="296" t="s">
        <v>183</v>
      </c>
      <c r="AA387" s="296" t="s">
        <v>183</v>
      </c>
      <c r="AB387" s="296" t="s">
        <v>183</v>
      </c>
      <c r="AC387" s="296" t="s">
        <v>3525</v>
      </c>
      <c r="AD387" s="296" t="s">
        <v>3526</v>
      </c>
      <c r="AE387" s="296" t="s">
        <v>192</v>
      </c>
      <c r="AF387" s="296" t="s">
        <v>193</v>
      </c>
      <c r="AG387" s="296">
        <v>0</v>
      </c>
      <c r="AH387" s="298">
        <v>45406</v>
      </c>
      <c r="AJ387" s="296" t="s">
        <v>194</v>
      </c>
      <c r="AK387" s="299">
        <f>COUNTIF($A$3:A$917,A387)</f>
        <v>1</v>
      </c>
    </row>
    <row r="388" spans="1:37" x14ac:dyDescent="0.25">
      <c r="A388" s="296">
        <v>502660061</v>
      </c>
      <c r="B388" s="296" t="s">
        <v>3527</v>
      </c>
      <c r="C388" s="296" t="s">
        <v>183</v>
      </c>
      <c r="D388" s="296" t="s">
        <v>183</v>
      </c>
      <c r="E388" s="296" t="s">
        <v>183</v>
      </c>
      <c r="F388" s="296" t="s">
        <v>3528</v>
      </c>
      <c r="G388" s="296" t="s">
        <v>183</v>
      </c>
      <c r="H388" s="296" t="s">
        <v>3529</v>
      </c>
      <c r="I388" s="296" t="s">
        <v>3472</v>
      </c>
      <c r="J388" s="296" t="s">
        <v>3530</v>
      </c>
      <c r="K388" s="296" t="s">
        <v>3531</v>
      </c>
      <c r="L388" s="296" t="s">
        <v>3532</v>
      </c>
      <c r="M388" s="296" t="s">
        <v>179</v>
      </c>
      <c r="N388" s="296" t="s">
        <v>3533</v>
      </c>
      <c r="O388" s="296" t="s">
        <v>3534</v>
      </c>
      <c r="P388" s="296" t="s">
        <v>3535</v>
      </c>
      <c r="Q388" s="296" t="s">
        <v>183</v>
      </c>
      <c r="R388" s="296" t="s">
        <v>3536</v>
      </c>
      <c r="S388" s="296" t="s">
        <v>185</v>
      </c>
      <c r="T388" s="296" t="s">
        <v>185</v>
      </c>
      <c r="U388" s="296" t="s">
        <v>186</v>
      </c>
      <c r="V388" s="296" t="s">
        <v>187</v>
      </c>
      <c r="W388" s="296" t="s">
        <v>188</v>
      </c>
      <c r="X388" s="296" t="s">
        <v>189</v>
      </c>
      <c r="Y388" s="296" t="s">
        <v>183</v>
      </c>
      <c r="Z388" s="296" t="s">
        <v>183</v>
      </c>
      <c r="AA388" s="296" t="s">
        <v>183</v>
      </c>
      <c r="AB388" s="296" t="s">
        <v>183</v>
      </c>
      <c r="AC388" s="296" t="s">
        <v>3537</v>
      </c>
      <c r="AD388" s="296" t="s">
        <v>3538</v>
      </c>
      <c r="AE388" s="296" t="s">
        <v>192</v>
      </c>
      <c r="AF388" s="296" t="s">
        <v>193</v>
      </c>
      <c r="AG388" s="296">
        <v>0</v>
      </c>
      <c r="AH388" s="298">
        <v>45777</v>
      </c>
      <c r="AJ388" s="296" t="s">
        <v>194</v>
      </c>
      <c r="AK388" s="299">
        <f>COUNTIF($A$3:A$917,A388)</f>
        <v>1</v>
      </c>
    </row>
    <row r="389" spans="1:37" x14ac:dyDescent="0.25">
      <c r="A389" s="296">
        <v>503570445</v>
      </c>
      <c r="B389" s="296" t="s">
        <v>3539</v>
      </c>
      <c r="C389" s="296" t="s">
        <v>183</v>
      </c>
      <c r="D389" s="296" t="s">
        <v>183</v>
      </c>
      <c r="E389" s="296" t="s">
        <v>183</v>
      </c>
      <c r="F389" s="296" t="s">
        <v>3540</v>
      </c>
      <c r="G389" s="296" t="s">
        <v>278</v>
      </c>
      <c r="H389" s="296" t="s">
        <v>3541</v>
      </c>
      <c r="I389" s="296" t="s">
        <v>3472</v>
      </c>
      <c r="J389" s="296" t="s">
        <v>3542</v>
      </c>
      <c r="K389" s="296" t="s">
        <v>3543</v>
      </c>
      <c r="L389" s="296" t="s">
        <v>3539</v>
      </c>
      <c r="M389" s="296" t="s">
        <v>179</v>
      </c>
      <c r="N389" s="296" t="s">
        <v>3540</v>
      </c>
      <c r="O389" s="296" t="s">
        <v>278</v>
      </c>
      <c r="P389" s="296" t="s">
        <v>3541</v>
      </c>
      <c r="Q389" s="296" t="s">
        <v>183</v>
      </c>
      <c r="R389" s="296" t="s">
        <v>3544</v>
      </c>
      <c r="S389" s="296" t="s">
        <v>185</v>
      </c>
      <c r="T389" s="296" t="s">
        <v>185</v>
      </c>
      <c r="U389" s="296" t="s">
        <v>186</v>
      </c>
      <c r="V389" s="296" t="s">
        <v>187</v>
      </c>
      <c r="W389" s="296" t="s">
        <v>188</v>
      </c>
      <c r="X389" s="296" t="s">
        <v>189</v>
      </c>
      <c r="Y389" s="296" t="s">
        <v>183</v>
      </c>
      <c r="Z389" s="296" t="s">
        <v>183</v>
      </c>
      <c r="AA389" s="296" t="s">
        <v>183</v>
      </c>
      <c r="AB389" s="296" t="s">
        <v>183</v>
      </c>
      <c r="AC389" s="296" t="s">
        <v>3545</v>
      </c>
      <c r="AD389" s="296" t="s">
        <v>3546</v>
      </c>
      <c r="AE389" s="296" t="s">
        <v>192</v>
      </c>
      <c r="AF389" s="296" t="s">
        <v>193</v>
      </c>
      <c r="AG389" s="296">
        <v>0</v>
      </c>
      <c r="AH389" s="298">
        <v>45581</v>
      </c>
      <c r="AJ389" s="296" t="s">
        <v>194</v>
      </c>
      <c r="AK389" s="299">
        <f>COUNTIF($A$3:A$917,A389)</f>
        <v>1</v>
      </c>
    </row>
    <row r="390" spans="1:37" x14ac:dyDescent="0.25">
      <c r="A390" s="296">
        <v>504180481</v>
      </c>
      <c r="B390" s="296" t="s">
        <v>3547</v>
      </c>
      <c r="C390" s="296" t="s">
        <v>183</v>
      </c>
      <c r="D390" s="296" t="s">
        <v>183</v>
      </c>
      <c r="E390" s="296" t="s">
        <v>183</v>
      </c>
      <c r="F390" s="296" t="s">
        <v>3548</v>
      </c>
      <c r="G390" s="296" t="s">
        <v>183</v>
      </c>
      <c r="H390" s="296" t="s">
        <v>3549</v>
      </c>
      <c r="I390" s="296" t="s">
        <v>3472</v>
      </c>
      <c r="J390" s="296" t="s">
        <v>3550</v>
      </c>
      <c r="K390" s="296" t="s">
        <v>3551</v>
      </c>
      <c r="L390" s="296" t="s">
        <v>3552</v>
      </c>
      <c r="M390" s="296" t="s">
        <v>179</v>
      </c>
      <c r="N390" s="296" t="s">
        <v>3553</v>
      </c>
      <c r="O390" s="296" t="s">
        <v>183</v>
      </c>
      <c r="P390" s="296" t="s">
        <v>3554</v>
      </c>
      <c r="Q390" s="296" t="s">
        <v>183</v>
      </c>
      <c r="R390" s="296" t="s">
        <v>3555</v>
      </c>
      <c r="S390" s="296" t="s">
        <v>185</v>
      </c>
      <c r="T390" s="296" t="s">
        <v>185</v>
      </c>
      <c r="U390" s="296" t="s">
        <v>186</v>
      </c>
      <c r="V390" s="296" t="s">
        <v>187</v>
      </c>
      <c r="W390" s="296" t="s">
        <v>188</v>
      </c>
      <c r="X390" s="296" t="s">
        <v>188</v>
      </c>
      <c r="Y390" s="296" t="s">
        <v>183</v>
      </c>
      <c r="Z390" s="296" t="s">
        <v>183</v>
      </c>
      <c r="AA390" s="296" t="s">
        <v>183</v>
      </c>
      <c r="AB390" s="296" t="s">
        <v>183</v>
      </c>
      <c r="AC390" s="296" t="s">
        <v>3556</v>
      </c>
      <c r="AD390" s="296" t="s">
        <v>3557</v>
      </c>
      <c r="AE390" s="296" t="s">
        <v>192</v>
      </c>
      <c r="AF390" s="296" t="s">
        <v>193</v>
      </c>
      <c r="AG390" s="296">
        <v>0</v>
      </c>
      <c r="AH390" s="298">
        <v>45400</v>
      </c>
      <c r="AJ390" s="296" t="s">
        <v>194</v>
      </c>
      <c r="AK390" s="299">
        <f>COUNTIF($A$3:A$917,A390)</f>
        <v>1</v>
      </c>
    </row>
    <row r="391" spans="1:37" x14ac:dyDescent="0.25">
      <c r="A391" s="296">
        <v>602980554</v>
      </c>
      <c r="B391" s="296" t="s">
        <v>3558</v>
      </c>
      <c r="C391" s="296" t="s">
        <v>183</v>
      </c>
      <c r="D391" s="296" t="s">
        <v>183</v>
      </c>
      <c r="E391" s="296" t="s">
        <v>183</v>
      </c>
      <c r="F391" s="296" t="s">
        <v>3559</v>
      </c>
      <c r="G391" s="296" t="s">
        <v>278</v>
      </c>
      <c r="H391" s="296" t="s">
        <v>3560</v>
      </c>
      <c r="I391" s="296" t="s">
        <v>3472</v>
      </c>
      <c r="J391" s="296" t="s">
        <v>3561</v>
      </c>
      <c r="K391" s="296" t="s">
        <v>3562</v>
      </c>
      <c r="L391" s="296" t="s">
        <v>3563</v>
      </c>
      <c r="M391" s="296" t="s">
        <v>179</v>
      </c>
      <c r="N391" s="296" t="s">
        <v>3564</v>
      </c>
      <c r="O391" s="296" t="s">
        <v>278</v>
      </c>
      <c r="P391" s="296" t="s">
        <v>3565</v>
      </c>
      <c r="Q391" s="296" t="s">
        <v>183</v>
      </c>
      <c r="R391" s="296" t="s">
        <v>3566</v>
      </c>
      <c r="S391" s="296" t="s">
        <v>185</v>
      </c>
      <c r="T391" s="296" t="s">
        <v>185</v>
      </c>
      <c r="U391" s="296" t="s">
        <v>186</v>
      </c>
      <c r="V391" s="296" t="s">
        <v>187</v>
      </c>
      <c r="W391" s="296" t="s">
        <v>188</v>
      </c>
      <c r="X391" s="296" t="s">
        <v>189</v>
      </c>
      <c r="Y391" s="296" t="s">
        <v>183</v>
      </c>
      <c r="Z391" s="296" t="s">
        <v>183</v>
      </c>
      <c r="AA391" s="296" t="s">
        <v>183</v>
      </c>
      <c r="AB391" s="296" t="s">
        <v>183</v>
      </c>
      <c r="AC391" s="296" t="s">
        <v>3567</v>
      </c>
      <c r="AD391" s="296" t="s">
        <v>3568</v>
      </c>
      <c r="AE391" s="296" t="s">
        <v>192</v>
      </c>
      <c r="AF391" s="296" t="s">
        <v>193</v>
      </c>
      <c r="AG391" s="296">
        <v>0</v>
      </c>
      <c r="AH391" s="298">
        <v>44708</v>
      </c>
      <c r="AJ391" s="296" t="s">
        <v>194</v>
      </c>
      <c r="AK391" s="299">
        <f>COUNTIF($A$3:A$917,A391)</f>
        <v>1</v>
      </c>
    </row>
    <row r="392" spans="1:37" x14ac:dyDescent="0.25">
      <c r="A392" s="296">
        <v>3101850542</v>
      </c>
      <c r="B392" s="296" t="s">
        <v>3569</v>
      </c>
      <c r="C392" s="296" t="s">
        <v>183</v>
      </c>
      <c r="D392" s="296" t="s">
        <v>183</v>
      </c>
      <c r="E392" s="296" t="s">
        <v>183</v>
      </c>
      <c r="F392" s="296" t="s">
        <v>3570</v>
      </c>
      <c r="G392" s="296" t="s">
        <v>278</v>
      </c>
      <c r="H392" s="296" t="s">
        <v>3571</v>
      </c>
      <c r="I392" s="296" t="s">
        <v>3572</v>
      </c>
      <c r="J392" s="296" t="s">
        <v>3573</v>
      </c>
      <c r="K392" s="296" t="s">
        <v>3574</v>
      </c>
      <c r="L392" s="296" t="s">
        <v>3575</v>
      </c>
      <c r="M392" s="296" t="s">
        <v>179</v>
      </c>
      <c r="N392" s="296" t="s">
        <v>3576</v>
      </c>
      <c r="O392" s="296" t="s">
        <v>3570</v>
      </c>
      <c r="P392" s="296" t="s">
        <v>3571</v>
      </c>
      <c r="Q392" s="296" t="s">
        <v>183</v>
      </c>
      <c r="R392" s="296" t="s">
        <v>3577</v>
      </c>
      <c r="S392" s="296" t="s">
        <v>185</v>
      </c>
      <c r="T392" s="296" t="s">
        <v>185</v>
      </c>
      <c r="U392" s="296" t="s">
        <v>186</v>
      </c>
      <c r="V392" s="296" t="s">
        <v>187</v>
      </c>
      <c r="W392" s="296" t="s">
        <v>188</v>
      </c>
      <c r="X392" s="296" t="s">
        <v>189</v>
      </c>
      <c r="Y392" s="296" t="s">
        <v>183</v>
      </c>
      <c r="Z392" s="296" t="s">
        <v>183</v>
      </c>
      <c r="AA392" s="296" t="s">
        <v>183</v>
      </c>
      <c r="AB392" s="296" t="s">
        <v>183</v>
      </c>
      <c r="AC392" s="296" t="s">
        <v>3578</v>
      </c>
      <c r="AD392" s="296" t="s">
        <v>3579</v>
      </c>
      <c r="AE392" s="296" t="s">
        <v>192</v>
      </c>
      <c r="AF392" s="296" t="s">
        <v>193</v>
      </c>
      <c r="AG392" s="296">
        <v>0</v>
      </c>
      <c r="AH392" s="298">
        <v>44830</v>
      </c>
      <c r="AJ392" s="296" t="s">
        <v>194</v>
      </c>
      <c r="AK392" s="299">
        <f>COUNTIF($A$3:A$917,A392)</f>
        <v>1</v>
      </c>
    </row>
    <row r="393" spans="1:37" x14ac:dyDescent="0.25">
      <c r="A393" s="296">
        <v>3101931351</v>
      </c>
      <c r="B393" s="296" t="s">
        <v>3580</v>
      </c>
      <c r="C393" s="296" t="s">
        <v>183</v>
      </c>
      <c r="D393" s="296" t="s">
        <v>183</v>
      </c>
      <c r="E393" s="296" t="s">
        <v>183</v>
      </c>
      <c r="F393" s="296" t="s">
        <v>3470</v>
      </c>
      <c r="G393" s="296" t="s">
        <v>183</v>
      </c>
      <c r="H393" s="296" t="s">
        <v>3581</v>
      </c>
      <c r="I393" s="296" t="s">
        <v>3572</v>
      </c>
      <c r="J393" s="296" t="s">
        <v>3582</v>
      </c>
      <c r="K393" s="296" t="s">
        <v>3474</v>
      </c>
      <c r="L393" s="296" t="s">
        <v>3469</v>
      </c>
      <c r="M393" s="296" t="s">
        <v>179</v>
      </c>
      <c r="N393" s="296" t="s">
        <v>3470</v>
      </c>
      <c r="O393" s="296" t="s">
        <v>183</v>
      </c>
      <c r="P393" s="296" t="s">
        <v>3471</v>
      </c>
      <c r="Q393" s="296" t="s">
        <v>183</v>
      </c>
      <c r="R393" s="296" t="s">
        <v>3475</v>
      </c>
      <c r="S393" s="296" t="s">
        <v>185</v>
      </c>
      <c r="T393" s="296" t="s">
        <v>185</v>
      </c>
      <c r="U393" s="296" t="s">
        <v>186</v>
      </c>
      <c r="V393" s="296" t="s">
        <v>187</v>
      </c>
      <c r="W393" s="296" t="s">
        <v>188</v>
      </c>
      <c r="X393" s="296" t="s">
        <v>189</v>
      </c>
      <c r="Y393" s="296" t="s">
        <v>183</v>
      </c>
      <c r="Z393" s="296" t="s">
        <v>183</v>
      </c>
      <c r="AA393" s="296" t="s">
        <v>183</v>
      </c>
      <c r="AB393" s="296" t="s">
        <v>183</v>
      </c>
      <c r="AC393" s="296" t="s">
        <v>3476</v>
      </c>
      <c r="AD393" s="296" t="s">
        <v>3583</v>
      </c>
      <c r="AE393" s="296" t="s">
        <v>192</v>
      </c>
      <c r="AF393" s="296" t="s">
        <v>193</v>
      </c>
      <c r="AG393" s="296">
        <v>0</v>
      </c>
      <c r="AH393" s="298">
        <v>45838</v>
      </c>
      <c r="AJ393" s="296" t="s">
        <v>194</v>
      </c>
      <c r="AK393" s="299">
        <f>COUNTIF($A$3:A$917,A393)</f>
        <v>1</v>
      </c>
    </row>
    <row r="394" spans="1:37" x14ac:dyDescent="0.25">
      <c r="A394" s="296">
        <v>3102875001</v>
      </c>
      <c r="B394" s="296" t="s">
        <v>3584</v>
      </c>
      <c r="C394" s="296" t="s">
        <v>183</v>
      </c>
      <c r="D394" s="296" t="s">
        <v>183</v>
      </c>
      <c r="E394" s="296" t="s">
        <v>183</v>
      </c>
      <c r="F394" s="296" t="s">
        <v>3585</v>
      </c>
      <c r="G394" s="296" t="s">
        <v>183</v>
      </c>
      <c r="H394" s="296" t="s">
        <v>3586</v>
      </c>
      <c r="I394" s="296" t="s">
        <v>3572</v>
      </c>
      <c r="J394" s="296" t="s">
        <v>3587</v>
      </c>
      <c r="K394" s="296" t="s">
        <v>183</v>
      </c>
      <c r="L394" s="296" t="s">
        <v>183</v>
      </c>
      <c r="M394" s="296" t="s">
        <v>183</v>
      </c>
      <c r="N394" s="296" t="s">
        <v>219</v>
      </c>
      <c r="O394" s="296" t="s">
        <v>183</v>
      </c>
      <c r="P394" s="296" t="s">
        <v>183</v>
      </c>
      <c r="Q394" s="296" t="s">
        <v>183</v>
      </c>
      <c r="R394" s="296" t="s">
        <v>183</v>
      </c>
      <c r="S394" s="296" t="s">
        <v>183</v>
      </c>
      <c r="T394" s="296" t="s">
        <v>183</v>
      </c>
      <c r="U394" s="296" t="s">
        <v>183</v>
      </c>
      <c r="V394" s="296" t="s">
        <v>183</v>
      </c>
      <c r="W394" s="296" t="s">
        <v>183</v>
      </c>
      <c r="X394" s="296" t="s">
        <v>183</v>
      </c>
      <c r="Y394" s="296" t="s">
        <v>183</v>
      </c>
      <c r="Z394" s="296" t="s">
        <v>183</v>
      </c>
      <c r="AA394" s="296" t="s">
        <v>183</v>
      </c>
      <c r="AB394" s="296" t="s">
        <v>183</v>
      </c>
      <c r="AC394" s="296" t="s">
        <v>183</v>
      </c>
      <c r="AD394" s="296" t="s">
        <v>3588</v>
      </c>
      <c r="AE394" s="296" t="s">
        <v>192</v>
      </c>
      <c r="AF394" s="296" t="s">
        <v>193</v>
      </c>
      <c r="AG394" s="296">
        <v>0</v>
      </c>
      <c r="AH394" s="298">
        <v>45093</v>
      </c>
      <c r="AJ394" s="296" t="s">
        <v>194</v>
      </c>
      <c r="AK394" s="299">
        <f>COUNTIF($A$3:A$917,A394)</f>
        <v>2</v>
      </c>
    </row>
    <row r="395" spans="1:37" x14ac:dyDescent="0.25">
      <c r="A395" s="296">
        <v>3102875001</v>
      </c>
      <c r="B395" s="296" t="s">
        <v>3584</v>
      </c>
      <c r="C395" s="296" t="s">
        <v>183</v>
      </c>
      <c r="D395" s="296" t="s">
        <v>183</v>
      </c>
      <c r="E395" s="296" t="s">
        <v>183</v>
      </c>
      <c r="F395" s="296" t="s">
        <v>3585</v>
      </c>
      <c r="G395" s="296" t="s">
        <v>183</v>
      </c>
      <c r="H395" s="296" t="s">
        <v>3586</v>
      </c>
      <c r="I395" s="296" t="s">
        <v>3572</v>
      </c>
      <c r="J395" s="296" t="s">
        <v>3589</v>
      </c>
      <c r="K395" s="296" t="s">
        <v>1330</v>
      </c>
      <c r="L395" s="296" t="s">
        <v>1331</v>
      </c>
      <c r="M395" s="296" t="s">
        <v>179</v>
      </c>
      <c r="N395" s="296" t="s">
        <v>1332</v>
      </c>
      <c r="O395" s="296" t="s">
        <v>183</v>
      </c>
      <c r="P395" s="296" t="s">
        <v>1333</v>
      </c>
      <c r="Q395" s="296" t="s">
        <v>183</v>
      </c>
      <c r="R395" s="296" t="s">
        <v>3590</v>
      </c>
      <c r="S395" s="296" t="s">
        <v>185</v>
      </c>
      <c r="T395" s="296" t="s">
        <v>185</v>
      </c>
      <c r="U395" s="296" t="s">
        <v>186</v>
      </c>
      <c r="V395" s="296" t="s">
        <v>187</v>
      </c>
      <c r="W395" s="296" t="s">
        <v>188</v>
      </c>
      <c r="X395" s="296" t="s">
        <v>189</v>
      </c>
      <c r="Y395" s="296" t="s">
        <v>183</v>
      </c>
      <c r="Z395" s="296" t="s">
        <v>183</v>
      </c>
      <c r="AA395" s="296" t="s">
        <v>183</v>
      </c>
      <c r="AB395" s="296" t="s">
        <v>183</v>
      </c>
      <c r="AC395" s="296" t="s">
        <v>3591</v>
      </c>
      <c r="AD395" s="296" t="s">
        <v>3592</v>
      </c>
      <c r="AE395" s="296" t="s">
        <v>192</v>
      </c>
      <c r="AF395" s="296" t="s">
        <v>193</v>
      </c>
      <c r="AG395" s="296">
        <v>0</v>
      </c>
      <c r="AH395" s="298">
        <v>46010</v>
      </c>
      <c r="AJ395" s="296" t="s">
        <v>194</v>
      </c>
      <c r="AK395" s="299">
        <f>COUNTIF($A$3:A$917,A395)</f>
        <v>2</v>
      </c>
    </row>
    <row r="396" spans="1:37" x14ac:dyDescent="0.25">
      <c r="A396" s="296">
        <v>603300928</v>
      </c>
      <c r="B396" s="296" t="s">
        <v>3593</v>
      </c>
      <c r="C396" s="296" t="s">
        <v>183</v>
      </c>
      <c r="D396" s="296" t="s">
        <v>183</v>
      </c>
      <c r="E396" s="296" t="s">
        <v>183</v>
      </c>
      <c r="F396" s="296" t="s">
        <v>3594</v>
      </c>
      <c r="G396" s="296" t="s">
        <v>183</v>
      </c>
      <c r="H396" s="296" t="s">
        <v>3595</v>
      </c>
      <c r="I396" s="296" t="s">
        <v>3572</v>
      </c>
      <c r="J396" s="296" t="s">
        <v>3596</v>
      </c>
      <c r="K396" s="296" t="s">
        <v>3597</v>
      </c>
      <c r="L396" s="296" t="s">
        <v>3593</v>
      </c>
      <c r="M396" s="296" t="s">
        <v>179</v>
      </c>
      <c r="N396" s="296" t="s">
        <v>3594</v>
      </c>
      <c r="O396" s="296" t="s">
        <v>183</v>
      </c>
      <c r="P396" s="296" t="s">
        <v>3595</v>
      </c>
      <c r="Q396" s="296" t="s">
        <v>183</v>
      </c>
      <c r="R396" s="296" t="s">
        <v>3598</v>
      </c>
      <c r="S396" s="296" t="s">
        <v>185</v>
      </c>
      <c r="T396" s="296" t="s">
        <v>185</v>
      </c>
      <c r="U396" s="296" t="s">
        <v>186</v>
      </c>
      <c r="V396" s="296" t="s">
        <v>187</v>
      </c>
      <c r="W396" s="296" t="s">
        <v>188</v>
      </c>
      <c r="X396" s="296" t="s">
        <v>189</v>
      </c>
      <c r="Y396" s="296" t="s">
        <v>183</v>
      </c>
      <c r="Z396" s="296" t="s">
        <v>183</v>
      </c>
      <c r="AA396" s="296" t="s">
        <v>183</v>
      </c>
      <c r="AB396" s="296" t="s">
        <v>183</v>
      </c>
      <c r="AC396" s="296" t="s">
        <v>3599</v>
      </c>
      <c r="AD396" s="296" t="s">
        <v>3600</v>
      </c>
      <c r="AE396" s="296" t="s">
        <v>192</v>
      </c>
      <c r="AF396" s="296" t="s">
        <v>193</v>
      </c>
      <c r="AG396" s="296">
        <v>0</v>
      </c>
      <c r="AH396" s="298">
        <v>45300</v>
      </c>
      <c r="AJ396" s="296" t="s">
        <v>194</v>
      </c>
      <c r="AK396" s="299">
        <f>COUNTIF($A$3:A$917,A396)</f>
        <v>1</v>
      </c>
    </row>
    <row r="397" spans="1:37" x14ac:dyDescent="0.25">
      <c r="A397" s="296">
        <v>3101864696</v>
      </c>
      <c r="B397" s="296" t="s">
        <v>3601</v>
      </c>
      <c r="C397" s="296" t="s">
        <v>3602</v>
      </c>
      <c r="D397" s="296" t="s">
        <v>3603</v>
      </c>
      <c r="E397" s="296" t="s">
        <v>172</v>
      </c>
      <c r="F397" s="296" t="s">
        <v>3604</v>
      </c>
      <c r="G397" s="296" t="s">
        <v>183</v>
      </c>
      <c r="H397" s="296" t="s">
        <v>3605</v>
      </c>
      <c r="I397" s="296" t="s">
        <v>3572</v>
      </c>
      <c r="J397" s="296" t="s">
        <v>3606</v>
      </c>
      <c r="K397" s="296" t="s">
        <v>887</v>
      </c>
      <c r="L397" s="296" t="s">
        <v>888</v>
      </c>
      <c r="M397" s="296" t="s">
        <v>179</v>
      </c>
      <c r="N397" s="296" t="s">
        <v>604</v>
      </c>
      <c r="O397" s="296" t="s">
        <v>604</v>
      </c>
      <c r="P397" s="296" t="s">
        <v>889</v>
      </c>
      <c r="Q397" s="296" t="s">
        <v>183</v>
      </c>
      <c r="R397" s="296" t="s">
        <v>3607</v>
      </c>
      <c r="S397" s="296" t="s">
        <v>185</v>
      </c>
      <c r="T397" s="296" t="s">
        <v>185</v>
      </c>
      <c r="U397" s="296" t="s">
        <v>186</v>
      </c>
      <c r="V397" s="296" t="s">
        <v>187</v>
      </c>
      <c r="W397" s="296" t="s">
        <v>188</v>
      </c>
      <c r="X397" s="296" t="s">
        <v>189</v>
      </c>
      <c r="Y397" s="296" t="s">
        <v>183</v>
      </c>
      <c r="Z397" s="296" t="s">
        <v>183</v>
      </c>
      <c r="AA397" s="296" t="s">
        <v>183</v>
      </c>
      <c r="AB397" s="296" t="s">
        <v>183</v>
      </c>
      <c r="AC397" s="296" t="s">
        <v>3608</v>
      </c>
      <c r="AD397" s="296" t="s">
        <v>3609</v>
      </c>
      <c r="AE397" s="296" t="s">
        <v>192</v>
      </c>
      <c r="AF397" s="296" t="s">
        <v>193</v>
      </c>
      <c r="AG397" s="296">
        <v>0</v>
      </c>
      <c r="AH397" s="298">
        <v>44991</v>
      </c>
      <c r="AJ397" s="296" t="s">
        <v>194</v>
      </c>
      <c r="AK397" s="299">
        <f>COUNTIF($A$3:A$917,A397)</f>
        <v>2</v>
      </c>
    </row>
    <row r="398" spans="1:37" x14ac:dyDescent="0.25">
      <c r="A398" s="296">
        <v>3101725021</v>
      </c>
      <c r="B398" s="296" t="s">
        <v>3610</v>
      </c>
      <c r="C398" s="296" t="s">
        <v>3611</v>
      </c>
      <c r="D398" s="296" t="s">
        <v>3612</v>
      </c>
      <c r="E398" s="296" t="s">
        <v>172</v>
      </c>
      <c r="F398" s="296" t="s">
        <v>3613</v>
      </c>
      <c r="G398" s="296" t="s">
        <v>183</v>
      </c>
      <c r="H398" s="296" t="s">
        <v>3614</v>
      </c>
      <c r="I398" s="296" t="s">
        <v>3615</v>
      </c>
      <c r="J398" s="296" t="s">
        <v>3616</v>
      </c>
      <c r="K398" s="296" t="s">
        <v>580</v>
      </c>
      <c r="L398" s="296" t="s">
        <v>581</v>
      </c>
      <c r="M398" s="296" t="s">
        <v>179</v>
      </c>
      <c r="N398" s="296" t="s">
        <v>582</v>
      </c>
      <c r="O398" s="296" t="s">
        <v>583</v>
      </c>
      <c r="P398" s="296" t="s">
        <v>584</v>
      </c>
      <c r="Q398" s="296" t="s">
        <v>183</v>
      </c>
      <c r="R398" s="296" t="s">
        <v>3617</v>
      </c>
      <c r="S398" s="296" t="s">
        <v>185</v>
      </c>
      <c r="T398" s="296" t="s">
        <v>185</v>
      </c>
      <c r="U398" s="296" t="s">
        <v>186</v>
      </c>
      <c r="V398" s="296" t="s">
        <v>187</v>
      </c>
      <c r="W398" s="296" t="s">
        <v>188</v>
      </c>
      <c r="X398" s="296" t="s">
        <v>404</v>
      </c>
      <c r="Y398" s="296" t="s">
        <v>183</v>
      </c>
      <c r="Z398" s="296" t="s">
        <v>183</v>
      </c>
      <c r="AA398" s="296" t="s">
        <v>183</v>
      </c>
      <c r="AB398" s="296" t="s">
        <v>183</v>
      </c>
      <c r="AC398" s="296" t="s">
        <v>3618</v>
      </c>
      <c r="AD398" s="296" t="s">
        <v>3619</v>
      </c>
      <c r="AE398" s="296" t="s">
        <v>192</v>
      </c>
      <c r="AF398" s="296" t="s">
        <v>193</v>
      </c>
      <c r="AG398" s="296">
        <v>0</v>
      </c>
      <c r="AH398" s="298">
        <v>44799</v>
      </c>
      <c r="AJ398" s="296" t="s">
        <v>194</v>
      </c>
      <c r="AK398" s="299">
        <f>COUNTIF($A$3:A$917,A398)</f>
        <v>1</v>
      </c>
    </row>
    <row r="399" spans="1:37" x14ac:dyDescent="0.25">
      <c r="A399" s="296">
        <v>3102847939</v>
      </c>
      <c r="B399" s="296" t="s">
        <v>3620</v>
      </c>
      <c r="C399" s="296" t="s">
        <v>183</v>
      </c>
      <c r="D399" s="296" t="s">
        <v>183</v>
      </c>
      <c r="E399" s="296" t="s">
        <v>183</v>
      </c>
      <c r="F399" s="296" t="s">
        <v>3621</v>
      </c>
      <c r="G399" s="296" t="s">
        <v>183</v>
      </c>
      <c r="H399" s="296" t="s">
        <v>3622</v>
      </c>
      <c r="I399" s="296" t="s">
        <v>3615</v>
      </c>
      <c r="J399" s="296" t="s">
        <v>3623</v>
      </c>
      <c r="K399" s="296" t="s">
        <v>3624</v>
      </c>
      <c r="L399" s="296" t="s">
        <v>3625</v>
      </c>
      <c r="M399" s="296" t="s">
        <v>179</v>
      </c>
      <c r="N399" s="296" t="s">
        <v>3626</v>
      </c>
      <c r="O399" s="296" t="s">
        <v>3626</v>
      </c>
      <c r="P399" s="296" t="s">
        <v>3627</v>
      </c>
      <c r="Q399" s="296" t="s">
        <v>183</v>
      </c>
      <c r="R399" s="296" t="s">
        <v>3628</v>
      </c>
      <c r="S399" s="296" t="s">
        <v>185</v>
      </c>
      <c r="T399" s="296" t="s">
        <v>185</v>
      </c>
      <c r="U399" s="296" t="s">
        <v>186</v>
      </c>
      <c r="V399" s="296" t="s">
        <v>187</v>
      </c>
      <c r="W399" s="296" t="s">
        <v>188</v>
      </c>
      <c r="X399" s="296" t="s">
        <v>189</v>
      </c>
      <c r="Y399" s="296" t="s">
        <v>183</v>
      </c>
      <c r="Z399" s="296" t="s">
        <v>183</v>
      </c>
      <c r="AA399" s="296" t="s">
        <v>183</v>
      </c>
      <c r="AB399" s="296" t="s">
        <v>183</v>
      </c>
      <c r="AC399" s="296" t="s">
        <v>3629</v>
      </c>
      <c r="AD399" s="296" t="s">
        <v>3630</v>
      </c>
      <c r="AE399" s="296" t="s">
        <v>192</v>
      </c>
      <c r="AF399" s="296" t="s">
        <v>193</v>
      </c>
      <c r="AG399" s="296">
        <v>0</v>
      </c>
      <c r="AH399" s="298">
        <v>44657</v>
      </c>
      <c r="AJ399" s="296" t="s">
        <v>194</v>
      </c>
      <c r="AK399" s="299">
        <f>COUNTIF($A$3:A$917,A399)</f>
        <v>1</v>
      </c>
    </row>
    <row r="400" spans="1:37" x14ac:dyDescent="0.25">
      <c r="A400" s="296">
        <v>3101658888</v>
      </c>
      <c r="B400" s="296" t="s">
        <v>3631</v>
      </c>
      <c r="C400" s="296" t="s">
        <v>183</v>
      </c>
      <c r="D400" s="296" t="s">
        <v>183</v>
      </c>
      <c r="E400" s="296" t="s">
        <v>183</v>
      </c>
      <c r="F400" s="296" t="s">
        <v>3632</v>
      </c>
      <c r="G400" s="296" t="s">
        <v>3632</v>
      </c>
      <c r="H400" s="296" t="s">
        <v>3633</v>
      </c>
      <c r="I400" s="296" t="s">
        <v>3615</v>
      </c>
      <c r="J400" s="296" t="s">
        <v>3634</v>
      </c>
      <c r="K400" s="296" t="s">
        <v>3635</v>
      </c>
      <c r="L400" s="296" t="s">
        <v>3636</v>
      </c>
      <c r="M400" s="296" t="s">
        <v>179</v>
      </c>
      <c r="N400" s="296" t="s">
        <v>3632</v>
      </c>
      <c r="O400" s="296" t="s">
        <v>3637</v>
      </c>
      <c r="P400" s="296" t="s">
        <v>3638</v>
      </c>
      <c r="Q400" s="296" t="s">
        <v>183</v>
      </c>
      <c r="R400" s="296" t="s">
        <v>3639</v>
      </c>
      <c r="S400" s="296" t="s">
        <v>185</v>
      </c>
      <c r="T400" s="296" t="s">
        <v>185</v>
      </c>
      <c r="U400" s="296" t="s">
        <v>186</v>
      </c>
      <c r="V400" s="296" t="s">
        <v>187</v>
      </c>
      <c r="W400" s="296" t="s">
        <v>188</v>
      </c>
      <c r="X400" s="296" t="s">
        <v>224</v>
      </c>
      <c r="Y400" s="296" t="s">
        <v>183</v>
      </c>
      <c r="Z400" s="296" t="s">
        <v>183</v>
      </c>
      <c r="AA400" s="296" t="s">
        <v>183</v>
      </c>
      <c r="AB400" s="296" t="s">
        <v>183</v>
      </c>
      <c r="AC400" s="296" t="s">
        <v>3640</v>
      </c>
      <c r="AD400" s="296" t="s">
        <v>3641</v>
      </c>
      <c r="AE400" s="296" t="s">
        <v>192</v>
      </c>
      <c r="AF400" s="296" t="s">
        <v>193</v>
      </c>
      <c r="AG400" s="296">
        <v>0</v>
      </c>
      <c r="AH400" s="298">
        <v>44295</v>
      </c>
      <c r="AJ400" s="296" t="s">
        <v>194</v>
      </c>
      <c r="AK400" s="299">
        <f>COUNTIF($A$3:A$917,A400)</f>
        <v>1</v>
      </c>
    </row>
    <row r="401" spans="1:37" x14ac:dyDescent="0.25">
      <c r="A401" s="296">
        <v>503430617</v>
      </c>
      <c r="B401" s="296" t="s">
        <v>3642</v>
      </c>
      <c r="C401" s="296" t="s">
        <v>183</v>
      </c>
      <c r="D401" s="296" t="s">
        <v>183</v>
      </c>
      <c r="E401" s="296" t="s">
        <v>183</v>
      </c>
      <c r="F401" s="296" t="s">
        <v>3643</v>
      </c>
      <c r="G401" s="296" t="s">
        <v>3643</v>
      </c>
      <c r="H401" s="296" t="s">
        <v>3644</v>
      </c>
      <c r="I401" s="296" t="s">
        <v>3615</v>
      </c>
      <c r="J401" s="296" t="s">
        <v>3645</v>
      </c>
      <c r="K401" s="296" t="s">
        <v>3646</v>
      </c>
      <c r="L401" s="296" t="s">
        <v>3647</v>
      </c>
      <c r="M401" s="296" t="s">
        <v>179</v>
      </c>
      <c r="N401" s="296" t="s">
        <v>3648</v>
      </c>
      <c r="O401" s="296" t="s">
        <v>183</v>
      </c>
      <c r="P401" s="296" t="s">
        <v>3649</v>
      </c>
      <c r="Q401" s="296" t="s">
        <v>183</v>
      </c>
      <c r="R401" s="296" t="s">
        <v>3650</v>
      </c>
      <c r="S401" s="296" t="s">
        <v>185</v>
      </c>
      <c r="T401" s="296" t="s">
        <v>185</v>
      </c>
      <c r="U401" s="296" t="s">
        <v>186</v>
      </c>
      <c r="V401" s="296" t="s">
        <v>187</v>
      </c>
      <c r="W401" s="296" t="s">
        <v>188</v>
      </c>
      <c r="X401" s="296" t="s">
        <v>246</v>
      </c>
      <c r="Y401" s="296" t="s">
        <v>183</v>
      </c>
      <c r="Z401" s="296" t="s">
        <v>183</v>
      </c>
      <c r="AA401" s="296" t="s">
        <v>183</v>
      </c>
      <c r="AB401" s="296" t="s">
        <v>183</v>
      </c>
      <c r="AC401" s="296" t="s">
        <v>3651</v>
      </c>
      <c r="AD401" s="296" t="s">
        <v>3652</v>
      </c>
      <c r="AE401" s="296" t="s">
        <v>192</v>
      </c>
      <c r="AF401" s="296" t="s">
        <v>193</v>
      </c>
      <c r="AG401" s="296">
        <v>0</v>
      </c>
      <c r="AH401" s="298">
        <v>44095</v>
      </c>
      <c r="AJ401" s="296" t="s">
        <v>194</v>
      </c>
      <c r="AK401" s="299">
        <f>COUNTIF($A$3:A$917,A401)</f>
        <v>2</v>
      </c>
    </row>
    <row r="402" spans="1:37" x14ac:dyDescent="0.25">
      <c r="A402" s="296">
        <v>3101176412</v>
      </c>
      <c r="B402" s="296" t="s">
        <v>3653</v>
      </c>
      <c r="C402" s="296" t="s">
        <v>183</v>
      </c>
      <c r="D402" s="296" t="s">
        <v>183</v>
      </c>
      <c r="E402" s="296" t="s">
        <v>183</v>
      </c>
      <c r="F402" s="296" t="s">
        <v>3654</v>
      </c>
      <c r="G402" s="296" t="s">
        <v>3655</v>
      </c>
      <c r="H402" s="296" t="s">
        <v>3656</v>
      </c>
      <c r="I402" s="296" t="s">
        <v>3615</v>
      </c>
      <c r="J402" s="296" t="s">
        <v>3657</v>
      </c>
      <c r="K402" s="296" t="s">
        <v>3658</v>
      </c>
      <c r="L402" s="296" t="s">
        <v>3659</v>
      </c>
      <c r="M402" s="296" t="s">
        <v>179</v>
      </c>
      <c r="N402" s="296" t="s">
        <v>3660</v>
      </c>
      <c r="O402" s="296" t="s">
        <v>183</v>
      </c>
      <c r="P402" s="296" t="s">
        <v>262</v>
      </c>
      <c r="Q402" s="296" t="s">
        <v>183</v>
      </c>
      <c r="R402" s="296" t="s">
        <v>3661</v>
      </c>
      <c r="S402" s="296" t="s">
        <v>185</v>
      </c>
      <c r="T402" s="296" t="s">
        <v>185</v>
      </c>
      <c r="U402" s="296" t="s">
        <v>186</v>
      </c>
      <c r="V402" s="296" t="s">
        <v>187</v>
      </c>
      <c r="W402" s="296" t="s">
        <v>188</v>
      </c>
      <c r="X402" s="296" t="s">
        <v>224</v>
      </c>
      <c r="Y402" s="296" t="s">
        <v>183</v>
      </c>
      <c r="Z402" s="296" t="s">
        <v>183</v>
      </c>
      <c r="AA402" s="296" t="s">
        <v>183</v>
      </c>
      <c r="AB402" s="296" t="s">
        <v>183</v>
      </c>
      <c r="AC402" s="296" t="s">
        <v>3662</v>
      </c>
      <c r="AD402" s="296" t="s">
        <v>3663</v>
      </c>
      <c r="AE402" s="296" t="s">
        <v>192</v>
      </c>
      <c r="AF402" s="296" t="s">
        <v>193</v>
      </c>
      <c r="AG402" s="296">
        <v>0</v>
      </c>
      <c r="AH402" s="298">
        <v>45565</v>
      </c>
      <c r="AJ402" s="296" t="s">
        <v>194</v>
      </c>
      <c r="AK402" s="299">
        <f>COUNTIF($A$3:A$917,A402)</f>
        <v>1</v>
      </c>
    </row>
    <row r="403" spans="1:37" x14ac:dyDescent="0.25">
      <c r="A403" s="296">
        <v>504040028</v>
      </c>
      <c r="B403" s="296" t="s">
        <v>3664</v>
      </c>
      <c r="C403" s="296" t="s">
        <v>183</v>
      </c>
      <c r="D403" s="296" t="s">
        <v>183</v>
      </c>
      <c r="E403" s="296" t="s">
        <v>183</v>
      </c>
      <c r="F403" s="296" t="s">
        <v>3665</v>
      </c>
      <c r="G403" s="296" t="s">
        <v>183</v>
      </c>
      <c r="H403" s="296" t="s">
        <v>3666</v>
      </c>
      <c r="I403" s="296" t="s">
        <v>3615</v>
      </c>
      <c r="J403" s="296" t="s">
        <v>3667</v>
      </c>
      <c r="K403" s="296" t="s">
        <v>2250</v>
      </c>
      <c r="L403" s="296" t="s">
        <v>2251</v>
      </c>
      <c r="M403" s="296" t="s">
        <v>179</v>
      </c>
      <c r="N403" s="296" t="s">
        <v>2252</v>
      </c>
      <c r="O403" s="296" t="s">
        <v>2252</v>
      </c>
      <c r="P403" s="296" t="s">
        <v>2253</v>
      </c>
      <c r="Q403" s="296" t="s">
        <v>183</v>
      </c>
      <c r="R403" s="296" t="s">
        <v>3668</v>
      </c>
      <c r="S403" s="296" t="s">
        <v>1041</v>
      </c>
      <c r="T403" s="296" t="s">
        <v>185</v>
      </c>
      <c r="U403" s="296" t="s">
        <v>186</v>
      </c>
      <c r="V403" s="296" t="s">
        <v>187</v>
      </c>
      <c r="W403" s="296" t="s">
        <v>188</v>
      </c>
      <c r="X403" s="296" t="s">
        <v>189</v>
      </c>
      <c r="Y403" s="296" t="s">
        <v>183</v>
      </c>
      <c r="Z403" s="296" t="s">
        <v>183</v>
      </c>
      <c r="AA403" s="296" t="s">
        <v>183</v>
      </c>
      <c r="AB403" s="296" t="s">
        <v>183</v>
      </c>
      <c r="AC403" s="296" t="s">
        <v>3669</v>
      </c>
      <c r="AD403" s="296" t="s">
        <v>3670</v>
      </c>
      <c r="AE403" s="296" t="s">
        <v>192</v>
      </c>
      <c r="AF403" s="296" t="s">
        <v>193</v>
      </c>
      <c r="AG403" s="296">
        <v>0</v>
      </c>
      <c r="AH403" s="298">
        <v>44670</v>
      </c>
      <c r="AJ403" s="296" t="s">
        <v>194</v>
      </c>
      <c r="AK403" s="299">
        <f>COUNTIF($A$3:A$917,A403)</f>
        <v>1</v>
      </c>
    </row>
    <row r="404" spans="1:37" x14ac:dyDescent="0.25">
      <c r="A404" s="296">
        <v>112920762</v>
      </c>
      <c r="B404" s="296" t="s">
        <v>3671</v>
      </c>
      <c r="C404" s="296" t="s">
        <v>183</v>
      </c>
      <c r="D404" s="296" t="s">
        <v>183</v>
      </c>
      <c r="E404" s="296" t="s">
        <v>183</v>
      </c>
      <c r="F404" s="296" t="s">
        <v>3672</v>
      </c>
      <c r="G404" s="296" t="s">
        <v>3672</v>
      </c>
      <c r="H404" s="296" t="s">
        <v>3673</v>
      </c>
      <c r="I404" s="296" t="s">
        <v>3615</v>
      </c>
      <c r="J404" s="296" t="s">
        <v>3674</v>
      </c>
      <c r="K404" s="296" t="s">
        <v>602</v>
      </c>
      <c r="L404" s="296" t="s">
        <v>603</v>
      </c>
      <c r="M404" s="296" t="s">
        <v>179</v>
      </c>
      <c r="N404" s="296" t="s">
        <v>604</v>
      </c>
      <c r="O404" s="296" t="s">
        <v>604</v>
      </c>
      <c r="P404" s="296" t="s">
        <v>605</v>
      </c>
      <c r="Q404" s="296" t="s">
        <v>183</v>
      </c>
      <c r="R404" s="296" t="s">
        <v>606</v>
      </c>
      <c r="S404" s="296" t="s">
        <v>185</v>
      </c>
      <c r="T404" s="296" t="s">
        <v>185</v>
      </c>
      <c r="U404" s="296" t="s">
        <v>186</v>
      </c>
      <c r="V404" s="296" t="s">
        <v>187</v>
      </c>
      <c r="W404" s="296" t="s">
        <v>188</v>
      </c>
      <c r="X404" s="296" t="s">
        <v>189</v>
      </c>
      <c r="Y404" s="296" t="s">
        <v>183</v>
      </c>
      <c r="Z404" s="296" t="s">
        <v>183</v>
      </c>
      <c r="AA404" s="296" t="s">
        <v>183</v>
      </c>
      <c r="AB404" s="296" t="s">
        <v>183</v>
      </c>
      <c r="AC404" s="296" t="s">
        <v>607</v>
      </c>
      <c r="AD404" s="296" t="s">
        <v>3675</v>
      </c>
      <c r="AE404" s="296" t="s">
        <v>192</v>
      </c>
      <c r="AF404" s="296" t="s">
        <v>193</v>
      </c>
      <c r="AG404" s="296">
        <v>0</v>
      </c>
      <c r="AH404" s="298">
        <v>44074</v>
      </c>
      <c r="AJ404" s="296" t="s">
        <v>194</v>
      </c>
      <c r="AK404" s="299">
        <f>COUNTIF($A$3:A$917,A404)</f>
        <v>1</v>
      </c>
    </row>
    <row r="405" spans="1:37" x14ac:dyDescent="0.25">
      <c r="A405" s="296">
        <v>504180592</v>
      </c>
      <c r="B405" s="296" t="s">
        <v>3676</v>
      </c>
      <c r="C405" s="296" t="s">
        <v>183</v>
      </c>
      <c r="D405" s="296" t="s">
        <v>183</v>
      </c>
      <c r="E405" s="296" t="s">
        <v>183</v>
      </c>
      <c r="F405" s="296" t="s">
        <v>3677</v>
      </c>
      <c r="G405" s="296" t="s">
        <v>183</v>
      </c>
      <c r="H405" s="296" t="s">
        <v>3678</v>
      </c>
      <c r="I405" s="296" t="s">
        <v>3615</v>
      </c>
      <c r="J405" s="296" t="s">
        <v>3679</v>
      </c>
      <c r="K405" s="296" t="s">
        <v>355</v>
      </c>
      <c r="L405" s="296" t="s">
        <v>356</v>
      </c>
      <c r="M405" s="296" t="s">
        <v>179</v>
      </c>
      <c r="N405" s="296" t="s">
        <v>278</v>
      </c>
      <c r="O405" s="296" t="s">
        <v>278</v>
      </c>
      <c r="P405" s="296" t="s">
        <v>183</v>
      </c>
      <c r="Q405" s="296" t="s">
        <v>183</v>
      </c>
      <c r="R405" s="296" t="s">
        <v>357</v>
      </c>
      <c r="S405" s="296" t="s">
        <v>185</v>
      </c>
      <c r="T405" s="296" t="s">
        <v>185</v>
      </c>
      <c r="U405" s="296" t="s">
        <v>186</v>
      </c>
      <c r="V405" s="296" t="s">
        <v>187</v>
      </c>
      <c r="W405" s="296" t="s">
        <v>188</v>
      </c>
      <c r="X405" s="296" t="s">
        <v>189</v>
      </c>
      <c r="Y405" s="296" t="s">
        <v>183</v>
      </c>
      <c r="Z405" s="296" t="s">
        <v>183</v>
      </c>
      <c r="AA405" s="296" t="s">
        <v>183</v>
      </c>
      <c r="AB405" s="296" t="s">
        <v>183</v>
      </c>
      <c r="AC405" s="296" t="s">
        <v>358</v>
      </c>
      <c r="AD405" s="296" t="s">
        <v>3680</v>
      </c>
      <c r="AE405" s="296" t="s">
        <v>192</v>
      </c>
      <c r="AF405" s="296" t="s">
        <v>193</v>
      </c>
      <c r="AG405" s="296">
        <v>0</v>
      </c>
      <c r="AH405" s="298">
        <v>44750</v>
      </c>
      <c r="AJ405" s="296" t="s">
        <v>194</v>
      </c>
      <c r="AK405" s="299">
        <f>COUNTIF($A$3:A$917,A405)</f>
        <v>2</v>
      </c>
    </row>
    <row r="406" spans="1:37" x14ac:dyDescent="0.25">
      <c r="A406" s="296">
        <v>3102854027</v>
      </c>
      <c r="B406" s="296" t="s">
        <v>3681</v>
      </c>
      <c r="C406" s="296" t="s">
        <v>3682</v>
      </c>
      <c r="D406" s="296" t="s">
        <v>3683</v>
      </c>
      <c r="E406" s="296" t="s">
        <v>172</v>
      </c>
      <c r="F406" s="296" t="s">
        <v>3684</v>
      </c>
      <c r="G406" s="296" t="s">
        <v>278</v>
      </c>
      <c r="H406" s="296" t="s">
        <v>3685</v>
      </c>
      <c r="I406" s="296" t="s">
        <v>3615</v>
      </c>
      <c r="J406" s="296" t="s">
        <v>3686</v>
      </c>
      <c r="K406" s="296" t="s">
        <v>3687</v>
      </c>
      <c r="L406" s="296" t="s">
        <v>3688</v>
      </c>
      <c r="M406" s="296" t="s">
        <v>179</v>
      </c>
      <c r="N406" s="296" t="s">
        <v>3689</v>
      </c>
      <c r="O406" s="296" t="s">
        <v>3689</v>
      </c>
      <c r="P406" s="296" t="s">
        <v>3690</v>
      </c>
      <c r="Q406" s="296" t="s">
        <v>183</v>
      </c>
      <c r="R406" s="296" t="s">
        <v>3691</v>
      </c>
      <c r="S406" s="296" t="s">
        <v>185</v>
      </c>
      <c r="T406" s="296" t="s">
        <v>185</v>
      </c>
      <c r="U406" s="296" t="s">
        <v>186</v>
      </c>
      <c r="V406" s="296" t="s">
        <v>187</v>
      </c>
      <c r="W406" s="296" t="s">
        <v>188</v>
      </c>
      <c r="X406" s="296" t="s">
        <v>308</v>
      </c>
      <c r="Y406" s="296" t="s">
        <v>183</v>
      </c>
      <c r="Z406" s="296" t="s">
        <v>183</v>
      </c>
      <c r="AA406" s="296" t="s">
        <v>183</v>
      </c>
      <c r="AB406" s="296" t="s">
        <v>183</v>
      </c>
      <c r="AC406" s="296" t="s">
        <v>3692</v>
      </c>
      <c r="AD406" s="296" t="s">
        <v>3693</v>
      </c>
      <c r="AE406" s="296" t="s">
        <v>192</v>
      </c>
      <c r="AF406" s="296" t="s">
        <v>193</v>
      </c>
      <c r="AG406" s="296">
        <v>0</v>
      </c>
      <c r="AH406" s="298">
        <v>45104</v>
      </c>
      <c r="AJ406" s="296" t="s">
        <v>194</v>
      </c>
      <c r="AK406" s="299">
        <f>COUNTIF($A$3:A$917,A406)</f>
        <v>1</v>
      </c>
    </row>
    <row r="407" spans="1:37" x14ac:dyDescent="0.25">
      <c r="A407" s="296">
        <v>501490163</v>
      </c>
      <c r="B407" s="296" t="s">
        <v>3694</v>
      </c>
      <c r="C407" s="296" t="s">
        <v>183</v>
      </c>
      <c r="D407" s="296" t="s">
        <v>183</v>
      </c>
      <c r="E407" s="296" t="s">
        <v>183</v>
      </c>
      <c r="F407" s="296" t="s">
        <v>3695</v>
      </c>
      <c r="G407" s="296" t="s">
        <v>3696</v>
      </c>
      <c r="H407" s="296" t="s">
        <v>3697</v>
      </c>
      <c r="I407" s="296" t="s">
        <v>3615</v>
      </c>
      <c r="J407" s="296" t="s">
        <v>3698</v>
      </c>
      <c r="K407" s="296" t="s">
        <v>3699</v>
      </c>
      <c r="L407" s="296" t="s">
        <v>3700</v>
      </c>
      <c r="M407" s="296" t="s">
        <v>179</v>
      </c>
      <c r="N407" s="296" t="s">
        <v>3696</v>
      </c>
      <c r="O407" s="296" t="s">
        <v>183</v>
      </c>
      <c r="P407" s="296" t="s">
        <v>3697</v>
      </c>
      <c r="Q407" s="296" t="s">
        <v>183</v>
      </c>
      <c r="R407" s="296" t="s">
        <v>3701</v>
      </c>
      <c r="S407" s="296" t="s">
        <v>185</v>
      </c>
      <c r="T407" s="296" t="s">
        <v>185</v>
      </c>
      <c r="U407" s="296" t="s">
        <v>186</v>
      </c>
      <c r="V407" s="296" t="s">
        <v>187</v>
      </c>
      <c r="W407" s="296" t="s">
        <v>188</v>
      </c>
      <c r="X407" s="296" t="s">
        <v>246</v>
      </c>
      <c r="Y407" s="296" t="s">
        <v>183</v>
      </c>
      <c r="Z407" s="296" t="s">
        <v>183</v>
      </c>
      <c r="AA407" s="296" t="s">
        <v>183</v>
      </c>
      <c r="AB407" s="296" t="s">
        <v>183</v>
      </c>
      <c r="AC407" s="296" t="s">
        <v>3702</v>
      </c>
      <c r="AD407" s="296" t="s">
        <v>3703</v>
      </c>
      <c r="AE407" s="296" t="s">
        <v>192</v>
      </c>
      <c r="AF407" s="296" t="s">
        <v>193</v>
      </c>
      <c r="AG407" s="296">
        <v>13384</v>
      </c>
      <c r="AH407" s="298">
        <v>43273</v>
      </c>
      <c r="AJ407" s="296" t="s">
        <v>194</v>
      </c>
      <c r="AK407" s="299">
        <f>COUNTIF($A$3:A$917,A407)</f>
        <v>2</v>
      </c>
    </row>
    <row r="408" spans="1:37" x14ac:dyDescent="0.25">
      <c r="A408" s="296">
        <v>3101451890</v>
      </c>
      <c r="B408" s="296" t="s">
        <v>3704</v>
      </c>
      <c r="C408" s="296" t="s">
        <v>183</v>
      </c>
      <c r="D408" s="296" t="s">
        <v>183</v>
      </c>
      <c r="E408" s="296" t="s">
        <v>183</v>
      </c>
      <c r="F408" s="296" t="s">
        <v>3705</v>
      </c>
      <c r="G408" s="296" t="s">
        <v>278</v>
      </c>
      <c r="H408" s="296" t="s">
        <v>3706</v>
      </c>
      <c r="I408" s="296" t="s">
        <v>3615</v>
      </c>
      <c r="J408" s="296" t="s">
        <v>3707</v>
      </c>
      <c r="K408" s="296" t="s">
        <v>3708</v>
      </c>
      <c r="L408" s="296" t="s">
        <v>3709</v>
      </c>
      <c r="M408" s="296" t="s">
        <v>179</v>
      </c>
      <c r="N408" s="296" t="s">
        <v>3710</v>
      </c>
      <c r="O408" s="296" t="s">
        <v>3710</v>
      </c>
      <c r="P408" s="296" t="s">
        <v>3706</v>
      </c>
      <c r="Q408" s="296" t="s">
        <v>183</v>
      </c>
      <c r="R408" s="296" t="s">
        <v>3711</v>
      </c>
      <c r="S408" s="296" t="s">
        <v>185</v>
      </c>
      <c r="T408" s="296" t="s">
        <v>185</v>
      </c>
      <c r="U408" s="296" t="s">
        <v>186</v>
      </c>
      <c r="V408" s="296" t="s">
        <v>187</v>
      </c>
      <c r="W408" s="296" t="s">
        <v>188</v>
      </c>
      <c r="X408" s="296" t="s">
        <v>246</v>
      </c>
      <c r="Y408" s="296" t="s">
        <v>183</v>
      </c>
      <c r="Z408" s="296" t="s">
        <v>183</v>
      </c>
      <c r="AA408" s="296" t="s">
        <v>183</v>
      </c>
      <c r="AB408" s="296" t="s">
        <v>183</v>
      </c>
      <c r="AC408" s="296" t="s">
        <v>3712</v>
      </c>
      <c r="AD408" s="296" t="s">
        <v>3713</v>
      </c>
      <c r="AE408" s="296" t="s">
        <v>192</v>
      </c>
      <c r="AF408" s="296" t="s">
        <v>193</v>
      </c>
      <c r="AG408" s="296">
        <v>28546</v>
      </c>
      <c r="AH408" s="298">
        <v>43117</v>
      </c>
      <c r="AJ408" s="296" t="s">
        <v>194</v>
      </c>
      <c r="AK408" s="299">
        <f>COUNTIF($A$3:A$917,A408)</f>
        <v>1</v>
      </c>
    </row>
    <row r="409" spans="1:37" x14ac:dyDescent="0.25">
      <c r="A409" s="296">
        <v>503780159</v>
      </c>
      <c r="B409" s="296" t="s">
        <v>3714</v>
      </c>
      <c r="C409" s="296" t="s">
        <v>183</v>
      </c>
      <c r="D409" s="296" t="s">
        <v>183</v>
      </c>
      <c r="E409" s="296" t="s">
        <v>183</v>
      </c>
      <c r="F409" s="296" t="s">
        <v>3715</v>
      </c>
      <c r="G409" s="296" t="s">
        <v>3715</v>
      </c>
      <c r="H409" s="296" t="s">
        <v>3716</v>
      </c>
      <c r="I409" s="296" t="s">
        <v>3615</v>
      </c>
      <c r="J409" s="296" t="s">
        <v>3717</v>
      </c>
      <c r="K409" s="296" t="s">
        <v>812</v>
      </c>
      <c r="L409" s="296" t="s">
        <v>813</v>
      </c>
      <c r="M409" s="296" t="s">
        <v>179</v>
      </c>
      <c r="N409" s="296" t="s">
        <v>604</v>
      </c>
      <c r="O409" s="296" t="s">
        <v>604</v>
      </c>
      <c r="P409" s="296" t="s">
        <v>605</v>
      </c>
      <c r="Q409" s="296" t="s">
        <v>183</v>
      </c>
      <c r="R409" s="296" t="s">
        <v>3718</v>
      </c>
      <c r="S409" s="296" t="s">
        <v>185</v>
      </c>
      <c r="T409" s="296" t="s">
        <v>185</v>
      </c>
      <c r="U409" s="296" t="s">
        <v>186</v>
      </c>
      <c r="V409" s="296" t="s">
        <v>187</v>
      </c>
      <c r="W409" s="296" t="s">
        <v>188</v>
      </c>
      <c r="X409" s="296" t="s">
        <v>189</v>
      </c>
      <c r="Y409" s="296" t="s">
        <v>183</v>
      </c>
      <c r="Z409" s="296" t="s">
        <v>183</v>
      </c>
      <c r="AA409" s="296" t="s">
        <v>183</v>
      </c>
      <c r="AB409" s="296" t="s">
        <v>183</v>
      </c>
      <c r="AC409" s="296" t="s">
        <v>3719</v>
      </c>
      <c r="AD409" s="296" t="s">
        <v>3720</v>
      </c>
      <c r="AE409" s="296" t="s">
        <v>192</v>
      </c>
      <c r="AF409" s="296" t="s">
        <v>193</v>
      </c>
      <c r="AG409" s="296">
        <v>0</v>
      </c>
      <c r="AH409" s="298">
        <v>44109</v>
      </c>
      <c r="AJ409" s="296" t="s">
        <v>194</v>
      </c>
      <c r="AK409" s="299">
        <f>COUNTIF($A$3:A$917,A409)</f>
        <v>1</v>
      </c>
    </row>
    <row r="410" spans="1:37" x14ac:dyDescent="0.25">
      <c r="A410" s="296">
        <v>3101192978</v>
      </c>
      <c r="B410" s="296" t="s">
        <v>3721</v>
      </c>
      <c r="C410" s="296" t="s">
        <v>183</v>
      </c>
      <c r="D410" s="296" t="s">
        <v>183</v>
      </c>
      <c r="E410" s="296" t="s">
        <v>183</v>
      </c>
      <c r="F410" s="296" t="s">
        <v>3722</v>
      </c>
      <c r="G410" s="296" t="s">
        <v>3722</v>
      </c>
      <c r="H410" s="296" t="s">
        <v>3723</v>
      </c>
      <c r="I410" s="296" t="s">
        <v>3615</v>
      </c>
      <c r="J410" s="296" t="s">
        <v>3724</v>
      </c>
      <c r="K410" s="296" t="s">
        <v>3725</v>
      </c>
      <c r="L410" s="296" t="s">
        <v>3726</v>
      </c>
      <c r="M410" s="296" t="s">
        <v>179</v>
      </c>
      <c r="N410" s="296" t="s">
        <v>3727</v>
      </c>
      <c r="O410" s="296" t="s">
        <v>278</v>
      </c>
      <c r="P410" s="296" t="s">
        <v>183</v>
      </c>
      <c r="Q410" s="296" t="s">
        <v>183</v>
      </c>
      <c r="R410" s="296" t="s">
        <v>3728</v>
      </c>
      <c r="S410" s="296" t="s">
        <v>185</v>
      </c>
      <c r="T410" s="296" t="s">
        <v>185</v>
      </c>
      <c r="U410" s="296" t="s">
        <v>186</v>
      </c>
      <c r="V410" s="296" t="s">
        <v>187</v>
      </c>
      <c r="W410" s="296" t="s">
        <v>188</v>
      </c>
      <c r="X410" s="296" t="s">
        <v>189</v>
      </c>
      <c r="Y410" s="296" t="s">
        <v>183</v>
      </c>
      <c r="Z410" s="296" t="s">
        <v>183</v>
      </c>
      <c r="AA410" s="296" t="s">
        <v>183</v>
      </c>
      <c r="AB410" s="296" t="s">
        <v>183</v>
      </c>
      <c r="AC410" s="296" t="s">
        <v>3729</v>
      </c>
      <c r="AD410" s="296" t="s">
        <v>3730</v>
      </c>
      <c r="AE410" s="296" t="s">
        <v>192</v>
      </c>
      <c r="AF410" s="296" t="s">
        <v>193</v>
      </c>
      <c r="AG410" s="296">
        <v>0</v>
      </c>
      <c r="AH410" s="298">
        <v>43675</v>
      </c>
      <c r="AJ410" s="296" t="s">
        <v>194</v>
      </c>
      <c r="AK410" s="299">
        <f>COUNTIF($A$3:A$917,A410)</f>
        <v>1</v>
      </c>
    </row>
    <row r="411" spans="1:37" x14ac:dyDescent="0.25">
      <c r="A411" s="296">
        <v>3004045290</v>
      </c>
      <c r="B411" s="296" t="s">
        <v>3731</v>
      </c>
      <c r="C411" s="296" t="s">
        <v>3732</v>
      </c>
      <c r="D411" s="296" t="s">
        <v>3733</v>
      </c>
      <c r="E411" s="296" t="s">
        <v>172</v>
      </c>
      <c r="F411" s="296" t="s">
        <v>3734</v>
      </c>
      <c r="G411" s="296" t="s">
        <v>278</v>
      </c>
      <c r="H411" s="296" t="s">
        <v>3735</v>
      </c>
      <c r="I411" s="296" t="s">
        <v>3615</v>
      </c>
      <c r="J411" s="296" t="s">
        <v>3736</v>
      </c>
      <c r="K411" s="296" t="s">
        <v>1085</v>
      </c>
      <c r="L411" s="296" t="s">
        <v>1086</v>
      </c>
      <c r="M411" s="296" t="s">
        <v>179</v>
      </c>
      <c r="N411" s="296" t="s">
        <v>1087</v>
      </c>
      <c r="O411" s="296" t="s">
        <v>1088</v>
      </c>
      <c r="P411" s="296" t="s">
        <v>1089</v>
      </c>
      <c r="Q411" s="296" t="s">
        <v>183</v>
      </c>
      <c r="R411" s="296" t="s">
        <v>3737</v>
      </c>
      <c r="S411" s="296" t="s">
        <v>185</v>
      </c>
      <c r="T411" s="296" t="s">
        <v>185</v>
      </c>
      <c r="U411" s="296" t="s">
        <v>186</v>
      </c>
      <c r="V411" s="296" t="s">
        <v>187</v>
      </c>
      <c r="W411" s="296" t="s">
        <v>188</v>
      </c>
      <c r="X411" s="296" t="s">
        <v>189</v>
      </c>
      <c r="Y411" s="296" t="s">
        <v>183</v>
      </c>
      <c r="Z411" s="296" t="s">
        <v>183</v>
      </c>
      <c r="AA411" s="296" t="s">
        <v>183</v>
      </c>
      <c r="AB411" s="296" t="s">
        <v>183</v>
      </c>
      <c r="AC411" s="296" t="s">
        <v>3738</v>
      </c>
      <c r="AD411" s="296" t="s">
        <v>3739</v>
      </c>
      <c r="AE411" s="296" t="s">
        <v>192</v>
      </c>
      <c r="AF411" s="296" t="s">
        <v>193</v>
      </c>
      <c r="AG411" s="296">
        <v>0</v>
      </c>
      <c r="AH411" s="298">
        <v>45950</v>
      </c>
      <c r="AJ411" s="296" t="s">
        <v>194</v>
      </c>
      <c r="AK411" s="299">
        <f>COUNTIF($A$3:A$917,A411)</f>
        <v>1</v>
      </c>
    </row>
    <row r="412" spans="1:37" x14ac:dyDescent="0.25">
      <c r="A412" s="296">
        <v>3004045952</v>
      </c>
      <c r="B412" s="296" t="s">
        <v>844</v>
      </c>
      <c r="C412" s="296" t="s">
        <v>845</v>
      </c>
      <c r="D412" s="296" t="s">
        <v>846</v>
      </c>
      <c r="E412" s="296" t="s">
        <v>172</v>
      </c>
      <c r="F412" s="296" t="s">
        <v>847</v>
      </c>
      <c r="G412" s="296" t="s">
        <v>278</v>
      </c>
      <c r="H412" s="296" t="s">
        <v>848</v>
      </c>
      <c r="I412" s="296" t="s">
        <v>3615</v>
      </c>
      <c r="J412" s="296" t="s">
        <v>3740</v>
      </c>
      <c r="K412" s="296" t="s">
        <v>850</v>
      </c>
      <c r="L412" s="296" t="s">
        <v>851</v>
      </c>
      <c r="M412" s="296" t="s">
        <v>179</v>
      </c>
      <c r="N412" s="296" t="s">
        <v>852</v>
      </c>
      <c r="O412" s="296" t="s">
        <v>852</v>
      </c>
      <c r="P412" s="296" t="s">
        <v>853</v>
      </c>
      <c r="Q412" s="296" t="s">
        <v>183</v>
      </c>
      <c r="R412" s="296" t="s">
        <v>854</v>
      </c>
      <c r="S412" s="296" t="s">
        <v>194</v>
      </c>
      <c r="T412" s="296" t="s">
        <v>185</v>
      </c>
      <c r="U412" s="296" t="s">
        <v>186</v>
      </c>
      <c r="V412" s="296" t="s">
        <v>187</v>
      </c>
      <c r="W412" s="296" t="s">
        <v>188</v>
      </c>
      <c r="X412" s="296" t="s">
        <v>246</v>
      </c>
      <c r="Y412" s="296" t="s">
        <v>183</v>
      </c>
      <c r="Z412" s="296" t="s">
        <v>183</v>
      </c>
      <c r="AA412" s="296" t="s">
        <v>183</v>
      </c>
      <c r="AB412" s="296" t="s">
        <v>183</v>
      </c>
      <c r="AC412" s="296" t="s">
        <v>855</v>
      </c>
      <c r="AD412" s="296" t="s">
        <v>3741</v>
      </c>
      <c r="AE412" s="296" t="s">
        <v>192</v>
      </c>
      <c r="AF412" s="296" t="s">
        <v>193</v>
      </c>
      <c r="AG412" s="296">
        <v>0</v>
      </c>
      <c r="AH412" s="298">
        <v>39191</v>
      </c>
      <c r="AJ412" s="296" t="s">
        <v>194</v>
      </c>
      <c r="AK412" s="299">
        <f>COUNTIF($A$3:A$917,A412)</f>
        <v>2</v>
      </c>
    </row>
    <row r="413" spans="1:37" x14ac:dyDescent="0.25">
      <c r="A413" s="296">
        <v>3101654590</v>
      </c>
      <c r="B413" s="296" t="s">
        <v>3742</v>
      </c>
      <c r="C413" s="296" t="s">
        <v>183</v>
      </c>
      <c r="D413" s="296" t="s">
        <v>183</v>
      </c>
      <c r="E413" s="296" t="s">
        <v>183</v>
      </c>
      <c r="F413" s="296" t="s">
        <v>3743</v>
      </c>
      <c r="G413" s="296" t="s">
        <v>3744</v>
      </c>
      <c r="H413" s="296" t="s">
        <v>2592</v>
      </c>
      <c r="I413" s="296" t="s">
        <v>3615</v>
      </c>
      <c r="J413" s="296" t="s">
        <v>3745</v>
      </c>
      <c r="K413" s="296" t="s">
        <v>2594</v>
      </c>
      <c r="L413" s="296" t="s">
        <v>2589</v>
      </c>
      <c r="M413" s="296" t="s">
        <v>179</v>
      </c>
      <c r="N413" s="296" t="s">
        <v>2590</v>
      </c>
      <c r="O413" s="296" t="s">
        <v>2591</v>
      </c>
      <c r="P413" s="296" t="s">
        <v>2592</v>
      </c>
      <c r="Q413" s="296" t="s">
        <v>183</v>
      </c>
      <c r="R413" s="296" t="s">
        <v>2595</v>
      </c>
      <c r="S413" s="296" t="s">
        <v>185</v>
      </c>
      <c r="T413" s="296" t="s">
        <v>185</v>
      </c>
      <c r="U413" s="296" t="s">
        <v>186</v>
      </c>
      <c r="V413" s="296" t="s">
        <v>187</v>
      </c>
      <c r="W413" s="296" t="s">
        <v>188</v>
      </c>
      <c r="X413" s="296" t="s">
        <v>189</v>
      </c>
      <c r="Y413" s="296" t="s">
        <v>183</v>
      </c>
      <c r="Z413" s="296" t="s">
        <v>183</v>
      </c>
      <c r="AA413" s="296" t="s">
        <v>183</v>
      </c>
      <c r="AB413" s="296" t="s">
        <v>183</v>
      </c>
      <c r="AC413" s="296" t="s">
        <v>2596</v>
      </c>
      <c r="AD413" s="296" t="s">
        <v>3746</v>
      </c>
      <c r="AE413" s="296" t="s">
        <v>192</v>
      </c>
      <c r="AF413" s="296" t="s">
        <v>193</v>
      </c>
      <c r="AG413" s="296">
        <v>0</v>
      </c>
      <c r="AH413" s="298">
        <v>40989</v>
      </c>
      <c r="AJ413" s="296" t="s">
        <v>194</v>
      </c>
      <c r="AK413" s="299">
        <f>COUNTIF($A$3:A$917,A413)</f>
        <v>1</v>
      </c>
    </row>
    <row r="414" spans="1:37" x14ac:dyDescent="0.25">
      <c r="A414" s="296">
        <v>3101559368</v>
      </c>
      <c r="B414" s="296" t="s">
        <v>3747</v>
      </c>
      <c r="C414" s="296" t="s">
        <v>3748</v>
      </c>
      <c r="D414" s="296" t="s">
        <v>3749</v>
      </c>
      <c r="E414" s="296" t="s">
        <v>172</v>
      </c>
      <c r="F414" s="296" t="s">
        <v>3750</v>
      </c>
      <c r="G414" s="296" t="s">
        <v>3751</v>
      </c>
      <c r="H414" s="296" t="s">
        <v>3752</v>
      </c>
      <c r="I414" s="296" t="s">
        <v>3615</v>
      </c>
      <c r="J414" s="296" t="s">
        <v>3753</v>
      </c>
      <c r="K414" s="296" t="s">
        <v>3749</v>
      </c>
      <c r="L414" s="296" t="s">
        <v>3748</v>
      </c>
      <c r="M414" s="296" t="s">
        <v>179</v>
      </c>
      <c r="N414" s="296" t="s">
        <v>3750</v>
      </c>
      <c r="O414" s="296" t="s">
        <v>3751</v>
      </c>
      <c r="P414" s="296" t="s">
        <v>3752</v>
      </c>
      <c r="Q414" s="296" t="s">
        <v>183</v>
      </c>
      <c r="R414" s="296" t="s">
        <v>3754</v>
      </c>
      <c r="S414" s="296" t="s">
        <v>185</v>
      </c>
      <c r="T414" s="296" t="s">
        <v>185</v>
      </c>
      <c r="U414" s="296" t="s">
        <v>186</v>
      </c>
      <c r="V414" s="296" t="s">
        <v>187</v>
      </c>
      <c r="W414" s="296" t="s">
        <v>188</v>
      </c>
      <c r="X414" s="296" t="s">
        <v>189</v>
      </c>
      <c r="Y414" s="296" t="s">
        <v>183</v>
      </c>
      <c r="Z414" s="296" t="s">
        <v>183</v>
      </c>
      <c r="AA414" s="296" t="s">
        <v>183</v>
      </c>
      <c r="AB414" s="296" t="s">
        <v>183</v>
      </c>
      <c r="AC414" s="296" t="s">
        <v>3755</v>
      </c>
      <c r="AD414" s="296" t="s">
        <v>3756</v>
      </c>
      <c r="AE414" s="296" t="s">
        <v>192</v>
      </c>
      <c r="AF414" s="296" t="s">
        <v>193</v>
      </c>
      <c r="AG414" s="296">
        <v>0</v>
      </c>
      <c r="AH414" s="298">
        <v>45908</v>
      </c>
      <c r="AJ414" s="296" t="s">
        <v>194</v>
      </c>
      <c r="AK414" s="299">
        <f>COUNTIF($A$3:A$917,A414)</f>
        <v>1</v>
      </c>
    </row>
    <row r="415" spans="1:37" x14ac:dyDescent="0.25">
      <c r="A415" s="296">
        <v>3101290849</v>
      </c>
      <c r="B415" s="296" t="s">
        <v>3757</v>
      </c>
      <c r="C415" s="296" t="s">
        <v>183</v>
      </c>
      <c r="D415" s="296" t="s">
        <v>183</v>
      </c>
      <c r="E415" s="296" t="s">
        <v>183</v>
      </c>
      <c r="F415" s="296" t="s">
        <v>3758</v>
      </c>
      <c r="G415" s="296" t="s">
        <v>3759</v>
      </c>
      <c r="H415" s="296" t="s">
        <v>3760</v>
      </c>
      <c r="I415" s="296" t="s">
        <v>3615</v>
      </c>
      <c r="J415" s="296" t="s">
        <v>3761</v>
      </c>
      <c r="K415" s="296" t="s">
        <v>3762</v>
      </c>
      <c r="L415" s="296" t="s">
        <v>3763</v>
      </c>
      <c r="M415" s="296" t="s">
        <v>179</v>
      </c>
      <c r="N415" s="296" t="s">
        <v>3764</v>
      </c>
      <c r="O415" s="296" t="s">
        <v>3764</v>
      </c>
      <c r="P415" s="296" t="s">
        <v>3765</v>
      </c>
      <c r="Q415" s="296" t="s">
        <v>183</v>
      </c>
      <c r="R415" s="296" t="s">
        <v>3766</v>
      </c>
      <c r="S415" s="296" t="s">
        <v>185</v>
      </c>
      <c r="T415" s="296" t="s">
        <v>185</v>
      </c>
      <c r="U415" s="296" t="s">
        <v>186</v>
      </c>
      <c r="V415" s="296" t="s">
        <v>187</v>
      </c>
      <c r="W415" s="296" t="s">
        <v>188</v>
      </c>
      <c r="X415" s="296" t="s">
        <v>189</v>
      </c>
      <c r="Y415" s="296" t="s">
        <v>183</v>
      </c>
      <c r="Z415" s="296" t="s">
        <v>183</v>
      </c>
      <c r="AA415" s="296" t="s">
        <v>183</v>
      </c>
      <c r="AB415" s="296" t="s">
        <v>183</v>
      </c>
      <c r="AC415" s="296" t="s">
        <v>3767</v>
      </c>
      <c r="AD415" s="296" t="s">
        <v>3768</v>
      </c>
      <c r="AE415" s="296" t="s">
        <v>192</v>
      </c>
      <c r="AF415" s="296" t="s">
        <v>193</v>
      </c>
      <c r="AG415" s="296">
        <v>0</v>
      </c>
      <c r="AH415" s="298">
        <v>43973</v>
      </c>
      <c r="AJ415" s="296" t="s">
        <v>194</v>
      </c>
      <c r="AK415" s="299">
        <f>COUNTIF($A$3:A$917,A415)</f>
        <v>1</v>
      </c>
    </row>
    <row r="416" spans="1:37" x14ac:dyDescent="0.25">
      <c r="A416" s="296">
        <v>3102656065</v>
      </c>
      <c r="B416" s="296" t="s">
        <v>3769</v>
      </c>
      <c r="C416" s="296" t="s">
        <v>183</v>
      </c>
      <c r="D416" s="296" t="s">
        <v>183</v>
      </c>
      <c r="E416" s="296" t="s">
        <v>183</v>
      </c>
      <c r="F416" s="296" t="s">
        <v>3770</v>
      </c>
      <c r="G416" s="296" t="s">
        <v>183</v>
      </c>
      <c r="H416" s="296" t="s">
        <v>3771</v>
      </c>
      <c r="I416" s="296" t="s">
        <v>3615</v>
      </c>
      <c r="J416" s="296" t="s">
        <v>3772</v>
      </c>
      <c r="K416" s="296" t="s">
        <v>3773</v>
      </c>
      <c r="L416" s="296" t="s">
        <v>3774</v>
      </c>
      <c r="M416" s="296" t="s">
        <v>179</v>
      </c>
      <c r="N416" s="296" t="s">
        <v>3770</v>
      </c>
      <c r="O416" s="296" t="s">
        <v>278</v>
      </c>
      <c r="P416" s="296" t="s">
        <v>3771</v>
      </c>
      <c r="Q416" s="296" t="s">
        <v>183</v>
      </c>
      <c r="R416" s="296" t="s">
        <v>3775</v>
      </c>
      <c r="S416" s="296" t="s">
        <v>185</v>
      </c>
      <c r="T416" s="296" t="s">
        <v>185</v>
      </c>
      <c r="U416" s="296" t="s">
        <v>186</v>
      </c>
      <c r="V416" s="296" t="s">
        <v>187</v>
      </c>
      <c r="W416" s="296" t="s">
        <v>188</v>
      </c>
      <c r="X416" s="296" t="s">
        <v>189</v>
      </c>
      <c r="Y416" s="296" t="s">
        <v>183</v>
      </c>
      <c r="Z416" s="296" t="s">
        <v>183</v>
      </c>
      <c r="AA416" s="296" t="s">
        <v>183</v>
      </c>
      <c r="AB416" s="296" t="s">
        <v>183</v>
      </c>
      <c r="AC416" s="296" t="s">
        <v>3776</v>
      </c>
      <c r="AD416" s="296" t="s">
        <v>3777</v>
      </c>
      <c r="AE416" s="296" t="s">
        <v>192</v>
      </c>
      <c r="AF416" s="296" t="s">
        <v>193</v>
      </c>
      <c r="AG416" s="296">
        <v>0</v>
      </c>
      <c r="AH416" s="298">
        <v>42272</v>
      </c>
      <c r="AJ416" s="296" t="s">
        <v>194</v>
      </c>
      <c r="AK416" s="299">
        <f>COUNTIF($A$3:A$917,A416)</f>
        <v>1</v>
      </c>
    </row>
    <row r="417" spans="1:37" x14ac:dyDescent="0.25">
      <c r="A417" s="296">
        <v>204360806</v>
      </c>
      <c r="B417" s="296" t="s">
        <v>3778</v>
      </c>
      <c r="C417" s="296" t="s">
        <v>183</v>
      </c>
      <c r="D417" s="296" t="s">
        <v>183</v>
      </c>
      <c r="E417" s="296" t="s">
        <v>183</v>
      </c>
      <c r="F417" s="296" t="s">
        <v>3779</v>
      </c>
      <c r="G417" s="296" t="s">
        <v>3780</v>
      </c>
      <c r="H417" s="296" t="s">
        <v>3781</v>
      </c>
      <c r="I417" s="296" t="s">
        <v>3615</v>
      </c>
      <c r="J417" s="296" t="s">
        <v>1891</v>
      </c>
      <c r="K417" s="296" t="s">
        <v>768</v>
      </c>
      <c r="L417" s="296" t="s">
        <v>769</v>
      </c>
      <c r="M417" s="296" t="s">
        <v>179</v>
      </c>
      <c r="N417" s="296" t="s">
        <v>770</v>
      </c>
      <c r="O417" s="296" t="s">
        <v>770</v>
      </c>
      <c r="P417" s="296" t="s">
        <v>771</v>
      </c>
      <c r="Q417" s="296" t="s">
        <v>183</v>
      </c>
      <c r="R417" s="296" t="s">
        <v>772</v>
      </c>
      <c r="S417" s="296" t="s">
        <v>185</v>
      </c>
      <c r="T417" s="296" t="s">
        <v>185</v>
      </c>
      <c r="U417" s="296" t="s">
        <v>186</v>
      </c>
      <c r="V417" s="296" t="s">
        <v>187</v>
      </c>
      <c r="W417" s="296" t="s">
        <v>188</v>
      </c>
      <c r="X417" s="296" t="s">
        <v>256</v>
      </c>
      <c r="Y417" s="296" t="s">
        <v>183</v>
      </c>
      <c r="Z417" s="296" t="s">
        <v>183</v>
      </c>
      <c r="AA417" s="296" t="s">
        <v>183</v>
      </c>
      <c r="AB417" s="296" t="s">
        <v>183</v>
      </c>
      <c r="AC417" s="296" t="s">
        <v>773</v>
      </c>
      <c r="AD417" s="296" t="s">
        <v>3782</v>
      </c>
      <c r="AE417" s="296" t="s">
        <v>192</v>
      </c>
      <c r="AF417" s="296" t="s">
        <v>193</v>
      </c>
      <c r="AG417" s="296">
        <v>0</v>
      </c>
      <c r="AH417" s="298">
        <v>44707</v>
      </c>
      <c r="AJ417" s="296" t="s">
        <v>194</v>
      </c>
      <c r="AK417" s="299">
        <f>COUNTIF($A$3:A$917,A417)</f>
        <v>8</v>
      </c>
    </row>
    <row r="418" spans="1:37" x14ac:dyDescent="0.25">
      <c r="A418" s="296">
        <v>204360806</v>
      </c>
      <c r="B418" s="296" t="s">
        <v>3778</v>
      </c>
      <c r="C418" s="296" t="s">
        <v>183</v>
      </c>
      <c r="D418" s="296" t="s">
        <v>183</v>
      </c>
      <c r="E418" s="296" t="s">
        <v>183</v>
      </c>
      <c r="F418" s="296" t="s">
        <v>3779</v>
      </c>
      <c r="G418" s="296" t="s">
        <v>3780</v>
      </c>
      <c r="H418" s="296" t="s">
        <v>3781</v>
      </c>
      <c r="I418" s="296" t="s">
        <v>3615</v>
      </c>
      <c r="J418" s="296" t="s">
        <v>3783</v>
      </c>
      <c r="K418" s="296" t="s">
        <v>905</v>
      </c>
      <c r="L418" s="296" t="s">
        <v>904</v>
      </c>
      <c r="M418" s="296" t="s">
        <v>179</v>
      </c>
      <c r="N418" s="296" t="s">
        <v>3710</v>
      </c>
      <c r="O418" s="296" t="s">
        <v>906</v>
      </c>
      <c r="P418" s="296" t="s">
        <v>907</v>
      </c>
      <c r="Q418" s="296" t="s">
        <v>183</v>
      </c>
      <c r="R418" s="296" t="s">
        <v>3784</v>
      </c>
      <c r="S418" s="296" t="s">
        <v>185</v>
      </c>
      <c r="T418" s="296" t="s">
        <v>185</v>
      </c>
      <c r="U418" s="296" t="s">
        <v>186</v>
      </c>
      <c r="V418" s="296" t="s">
        <v>187</v>
      </c>
      <c r="W418" s="296" t="s">
        <v>188</v>
      </c>
      <c r="X418" s="296" t="s">
        <v>189</v>
      </c>
      <c r="Y418" s="296" t="s">
        <v>183</v>
      </c>
      <c r="Z418" s="296" t="s">
        <v>183</v>
      </c>
      <c r="AA418" s="296" t="s">
        <v>183</v>
      </c>
      <c r="AB418" s="296" t="s">
        <v>183</v>
      </c>
      <c r="AC418" s="296" t="s">
        <v>3785</v>
      </c>
      <c r="AD418" s="296" t="s">
        <v>3786</v>
      </c>
      <c r="AE418" s="296" t="s">
        <v>192</v>
      </c>
      <c r="AF418" s="296" t="s">
        <v>193</v>
      </c>
      <c r="AG418" s="296">
        <v>0</v>
      </c>
      <c r="AH418" s="298">
        <v>44713</v>
      </c>
      <c r="AJ418" s="296" t="s">
        <v>194</v>
      </c>
      <c r="AK418" s="299">
        <f>COUNTIF($A$3:A$917,A418)</f>
        <v>8</v>
      </c>
    </row>
    <row r="419" spans="1:37" x14ac:dyDescent="0.25">
      <c r="A419" s="296">
        <v>204360806</v>
      </c>
      <c r="B419" s="296" t="s">
        <v>3778</v>
      </c>
      <c r="C419" s="296" t="s">
        <v>183</v>
      </c>
      <c r="D419" s="296" t="s">
        <v>183</v>
      </c>
      <c r="E419" s="296" t="s">
        <v>183</v>
      </c>
      <c r="F419" s="296" t="s">
        <v>3779</v>
      </c>
      <c r="G419" s="296" t="s">
        <v>3780</v>
      </c>
      <c r="H419" s="296" t="s">
        <v>3781</v>
      </c>
      <c r="I419" s="296" t="s">
        <v>3615</v>
      </c>
      <c r="J419" s="296" t="s">
        <v>3787</v>
      </c>
      <c r="K419" s="296" t="s">
        <v>199</v>
      </c>
      <c r="L419" s="296" t="s">
        <v>200</v>
      </c>
      <c r="M419" s="296" t="s">
        <v>179</v>
      </c>
      <c r="N419" s="296" t="s">
        <v>201</v>
      </c>
      <c r="O419" s="296" t="s">
        <v>183</v>
      </c>
      <c r="P419" s="296" t="s">
        <v>202</v>
      </c>
      <c r="Q419" s="296" t="s">
        <v>183</v>
      </c>
      <c r="R419" s="296" t="s">
        <v>203</v>
      </c>
      <c r="S419" s="296" t="s">
        <v>185</v>
      </c>
      <c r="T419" s="296" t="s">
        <v>185</v>
      </c>
      <c r="U419" s="296" t="s">
        <v>186</v>
      </c>
      <c r="V419" s="296" t="s">
        <v>187</v>
      </c>
      <c r="W419" s="296" t="s">
        <v>188</v>
      </c>
      <c r="X419" s="296" t="s">
        <v>189</v>
      </c>
      <c r="Y419" s="296" t="s">
        <v>183</v>
      </c>
      <c r="Z419" s="296" t="s">
        <v>183</v>
      </c>
      <c r="AA419" s="296" t="s">
        <v>183</v>
      </c>
      <c r="AB419" s="296" t="s">
        <v>183</v>
      </c>
      <c r="AC419" s="296" t="s">
        <v>204</v>
      </c>
      <c r="AD419" s="296" t="s">
        <v>3788</v>
      </c>
      <c r="AE419" s="296" t="s">
        <v>192</v>
      </c>
      <c r="AF419" s="296" t="s">
        <v>193</v>
      </c>
      <c r="AG419" s="296">
        <v>0</v>
      </c>
      <c r="AH419" s="298">
        <v>44713</v>
      </c>
      <c r="AJ419" s="296" t="s">
        <v>194</v>
      </c>
      <c r="AK419" s="299">
        <f>COUNTIF($A$3:A$917,A419)</f>
        <v>8</v>
      </c>
    </row>
    <row r="420" spans="1:37" x14ac:dyDescent="0.25">
      <c r="A420" s="296">
        <v>204360806</v>
      </c>
      <c r="B420" s="296" t="s">
        <v>3778</v>
      </c>
      <c r="C420" s="296" t="s">
        <v>183</v>
      </c>
      <c r="D420" s="296" t="s">
        <v>183</v>
      </c>
      <c r="E420" s="296" t="s">
        <v>183</v>
      </c>
      <c r="F420" s="296" t="s">
        <v>3779</v>
      </c>
      <c r="G420" s="296" t="s">
        <v>3780</v>
      </c>
      <c r="H420" s="296" t="s">
        <v>3781</v>
      </c>
      <c r="I420" s="296" t="s">
        <v>3615</v>
      </c>
      <c r="J420" s="296" t="s">
        <v>3789</v>
      </c>
      <c r="K420" s="296" t="s">
        <v>3790</v>
      </c>
      <c r="L420" s="296" t="s">
        <v>3791</v>
      </c>
      <c r="M420" s="296" t="s">
        <v>179</v>
      </c>
      <c r="N420" s="296" t="s">
        <v>3792</v>
      </c>
      <c r="O420" s="296" t="s">
        <v>3792</v>
      </c>
      <c r="P420" s="296" t="s">
        <v>3793</v>
      </c>
      <c r="Q420" s="296" t="s">
        <v>183</v>
      </c>
      <c r="R420" s="296" t="s">
        <v>3794</v>
      </c>
      <c r="S420" s="296" t="s">
        <v>185</v>
      </c>
      <c r="T420" s="296" t="s">
        <v>185</v>
      </c>
      <c r="U420" s="296" t="s">
        <v>186</v>
      </c>
      <c r="V420" s="296" t="s">
        <v>187</v>
      </c>
      <c r="W420" s="296" t="s">
        <v>188</v>
      </c>
      <c r="X420" s="296" t="s">
        <v>189</v>
      </c>
      <c r="Y420" s="296" t="s">
        <v>183</v>
      </c>
      <c r="Z420" s="296" t="s">
        <v>183</v>
      </c>
      <c r="AA420" s="296" t="s">
        <v>183</v>
      </c>
      <c r="AB420" s="296" t="s">
        <v>183</v>
      </c>
      <c r="AC420" s="296" t="s">
        <v>3795</v>
      </c>
      <c r="AD420" s="296" t="s">
        <v>3796</v>
      </c>
      <c r="AE420" s="296" t="s">
        <v>192</v>
      </c>
      <c r="AF420" s="296" t="s">
        <v>193</v>
      </c>
      <c r="AG420" s="296">
        <v>0</v>
      </c>
      <c r="AH420" s="298">
        <v>44713</v>
      </c>
      <c r="AJ420" s="296" t="s">
        <v>194</v>
      </c>
      <c r="AK420" s="299">
        <f>COUNTIF($A$3:A$917,A420)</f>
        <v>8</v>
      </c>
    </row>
    <row r="421" spans="1:37" x14ac:dyDescent="0.25">
      <c r="A421" s="296">
        <v>204360806</v>
      </c>
      <c r="B421" s="296" t="s">
        <v>3778</v>
      </c>
      <c r="C421" s="296" t="s">
        <v>183</v>
      </c>
      <c r="D421" s="296" t="s">
        <v>183</v>
      </c>
      <c r="E421" s="296" t="s">
        <v>183</v>
      </c>
      <c r="F421" s="296" t="s">
        <v>3779</v>
      </c>
      <c r="G421" s="296" t="s">
        <v>3780</v>
      </c>
      <c r="H421" s="296" t="s">
        <v>3781</v>
      </c>
      <c r="I421" s="296" t="s">
        <v>3615</v>
      </c>
      <c r="J421" s="296" t="s">
        <v>3797</v>
      </c>
      <c r="K421" s="296" t="s">
        <v>3798</v>
      </c>
      <c r="L421" s="296" t="s">
        <v>3799</v>
      </c>
      <c r="M421" s="296" t="s">
        <v>503</v>
      </c>
      <c r="N421" s="296" t="s">
        <v>3800</v>
      </c>
      <c r="O421" s="296" t="s">
        <v>278</v>
      </c>
      <c r="P421" s="296" t="s">
        <v>3801</v>
      </c>
      <c r="Q421" s="296" t="s">
        <v>183</v>
      </c>
      <c r="R421" s="296" t="s">
        <v>3802</v>
      </c>
      <c r="S421" s="296" t="s">
        <v>185</v>
      </c>
      <c r="T421" s="296" t="s">
        <v>185</v>
      </c>
      <c r="U421" s="296" t="s">
        <v>186</v>
      </c>
      <c r="V421" s="296" t="s">
        <v>187</v>
      </c>
      <c r="W421" s="296" t="s">
        <v>188</v>
      </c>
      <c r="X421" s="296" t="s">
        <v>189</v>
      </c>
      <c r="Y421" s="296" t="s">
        <v>183</v>
      </c>
      <c r="Z421" s="296" t="s">
        <v>183</v>
      </c>
      <c r="AA421" s="296" t="s">
        <v>183</v>
      </c>
      <c r="AB421" s="296" t="s">
        <v>183</v>
      </c>
      <c r="AC421" s="296" t="s">
        <v>3803</v>
      </c>
      <c r="AD421" s="296" t="s">
        <v>3804</v>
      </c>
      <c r="AE421" s="296" t="s">
        <v>192</v>
      </c>
      <c r="AF421" s="296" t="s">
        <v>193</v>
      </c>
      <c r="AG421" s="296">
        <v>0</v>
      </c>
      <c r="AH421" s="298">
        <v>45196</v>
      </c>
      <c r="AJ421" s="296" t="s">
        <v>194</v>
      </c>
      <c r="AK421" s="299">
        <f>COUNTIF($A$3:A$917,A421)</f>
        <v>8</v>
      </c>
    </row>
    <row r="422" spans="1:37" x14ac:dyDescent="0.25">
      <c r="A422" s="296">
        <v>204360806</v>
      </c>
      <c r="B422" s="296" t="s">
        <v>3778</v>
      </c>
      <c r="C422" s="296" t="s">
        <v>183</v>
      </c>
      <c r="D422" s="296" t="s">
        <v>183</v>
      </c>
      <c r="E422" s="296" t="s">
        <v>183</v>
      </c>
      <c r="F422" s="296" t="s">
        <v>3779</v>
      </c>
      <c r="G422" s="296" t="s">
        <v>3780</v>
      </c>
      <c r="H422" s="296" t="s">
        <v>3781</v>
      </c>
      <c r="I422" s="296" t="s">
        <v>3615</v>
      </c>
      <c r="J422" s="296" t="s">
        <v>3805</v>
      </c>
      <c r="K422" s="296" t="s">
        <v>3806</v>
      </c>
      <c r="L422" s="296" t="s">
        <v>3807</v>
      </c>
      <c r="M422" s="296" t="s">
        <v>179</v>
      </c>
      <c r="N422" s="296" t="s">
        <v>3808</v>
      </c>
      <c r="O422" s="296" t="s">
        <v>3808</v>
      </c>
      <c r="P422" s="296" t="s">
        <v>3809</v>
      </c>
      <c r="Q422" s="296" t="s">
        <v>183</v>
      </c>
      <c r="R422" s="296" t="s">
        <v>3810</v>
      </c>
      <c r="S422" s="296" t="s">
        <v>185</v>
      </c>
      <c r="T422" s="296" t="s">
        <v>185</v>
      </c>
      <c r="U422" s="296" t="s">
        <v>186</v>
      </c>
      <c r="V422" s="296" t="s">
        <v>187</v>
      </c>
      <c r="W422" s="296" t="s">
        <v>188</v>
      </c>
      <c r="X422" s="296" t="s">
        <v>308</v>
      </c>
      <c r="Y422" s="296" t="s">
        <v>183</v>
      </c>
      <c r="Z422" s="296" t="s">
        <v>183</v>
      </c>
      <c r="AA422" s="296" t="s">
        <v>183</v>
      </c>
      <c r="AB422" s="296" t="s">
        <v>183</v>
      </c>
      <c r="AC422" s="296" t="s">
        <v>3811</v>
      </c>
      <c r="AD422" s="296" t="s">
        <v>3812</v>
      </c>
      <c r="AE422" s="296" t="s">
        <v>192</v>
      </c>
      <c r="AF422" s="296" t="s">
        <v>193</v>
      </c>
      <c r="AG422" s="296">
        <v>0</v>
      </c>
      <c r="AH422" s="298">
        <v>45401</v>
      </c>
      <c r="AJ422" s="296" t="s">
        <v>194</v>
      </c>
      <c r="AK422" s="299">
        <f>COUNTIF($A$3:A$917,A422)</f>
        <v>8</v>
      </c>
    </row>
    <row r="423" spans="1:37" x14ac:dyDescent="0.25">
      <c r="A423" s="296">
        <v>204360806</v>
      </c>
      <c r="B423" s="296" t="s">
        <v>3778</v>
      </c>
      <c r="C423" s="296" t="s">
        <v>183</v>
      </c>
      <c r="D423" s="296" t="s">
        <v>183</v>
      </c>
      <c r="E423" s="296" t="s">
        <v>183</v>
      </c>
      <c r="F423" s="296" t="s">
        <v>3779</v>
      </c>
      <c r="G423" s="296" t="s">
        <v>3780</v>
      </c>
      <c r="H423" s="296" t="s">
        <v>3781</v>
      </c>
      <c r="I423" s="296" t="s">
        <v>3615</v>
      </c>
      <c r="J423" s="296" t="s">
        <v>3813</v>
      </c>
      <c r="K423" s="296" t="s">
        <v>614</v>
      </c>
      <c r="L423" s="296" t="s">
        <v>615</v>
      </c>
      <c r="M423" s="296" t="s">
        <v>179</v>
      </c>
      <c r="N423" s="296" t="s">
        <v>610</v>
      </c>
      <c r="O423" s="296" t="s">
        <v>610</v>
      </c>
      <c r="P423" s="296" t="s">
        <v>616</v>
      </c>
      <c r="Q423" s="296" t="s">
        <v>183</v>
      </c>
      <c r="R423" s="296" t="s">
        <v>617</v>
      </c>
      <c r="S423" s="296" t="s">
        <v>185</v>
      </c>
      <c r="T423" s="296" t="s">
        <v>185</v>
      </c>
      <c r="U423" s="296" t="s">
        <v>186</v>
      </c>
      <c r="V423" s="296" t="s">
        <v>187</v>
      </c>
      <c r="W423" s="296" t="s">
        <v>188</v>
      </c>
      <c r="X423" s="296" t="s">
        <v>189</v>
      </c>
      <c r="Y423" s="296" t="s">
        <v>183</v>
      </c>
      <c r="Z423" s="296" t="s">
        <v>183</v>
      </c>
      <c r="AA423" s="296" t="s">
        <v>183</v>
      </c>
      <c r="AB423" s="296" t="s">
        <v>183</v>
      </c>
      <c r="AC423" s="296" t="s">
        <v>618</v>
      </c>
      <c r="AD423" s="296" t="s">
        <v>3814</v>
      </c>
      <c r="AE423" s="296" t="s">
        <v>192</v>
      </c>
      <c r="AF423" s="296" t="s">
        <v>193</v>
      </c>
      <c r="AG423" s="296">
        <v>0</v>
      </c>
      <c r="AH423" s="298">
        <v>45401</v>
      </c>
      <c r="AJ423" s="296" t="s">
        <v>194</v>
      </c>
      <c r="AK423" s="299">
        <f>COUNTIF($A$3:A$917,A423)</f>
        <v>8</v>
      </c>
    </row>
    <row r="424" spans="1:37" x14ac:dyDescent="0.25">
      <c r="A424" s="296">
        <v>109500298</v>
      </c>
      <c r="B424" s="296" t="s">
        <v>3815</v>
      </c>
      <c r="C424" s="296" t="s">
        <v>183</v>
      </c>
      <c r="D424" s="296" t="s">
        <v>183</v>
      </c>
      <c r="E424" s="296" t="s">
        <v>183</v>
      </c>
      <c r="F424" s="296" t="s">
        <v>3816</v>
      </c>
      <c r="G424" s="296" t="s">
        <v>278</v>
      </c>
      <c r="H424" s="296" t="s">
        <v>3817</v>
      </c>
      <c r="I424" s="296" t="s">
        <v>3615</v>
      </c>
      <c r="J424" s="296" t="s">
        <v>3818</v>
      </c>
      <c r="K424" s="296" t="s">
        <v>3819</v>
      </c>
      <c r="L424" s="296" t="s">
        <v>3815</v>
      </c>
      <c r="M424" s="296" t="s">
        <v>179</v>
      </c>
      <c r="N424" s="296" t="s">
        <v>3816</v>
      </c>
      <c r="O424" s="296" t="s">
        <v>278</v>
      </c>
      <c r="P424" s="296" t="s">
        <v>3817</v>
      </c>
      <c r="Q424" s="296" t="s">
        <v>183</v>
      </c>
      <c r="R424" s="296" t="s">
        <v>3820</v>
      </c>
      <c r="S424" s="296" t="s">
        <v>185</v>
      </c>
      <c r="T424" s="296" t="s">
        <v>185</v>
      </c>
      <c r="U424" s="296" t="s">
        <v>186</v>
      </c>
      <c r="V424" s="296" t="s">
        <v>187</v>
      </c>
      <c r="W424" s="296" t="s">
        <v>188</v>
      </c>
      <c r="X424" s="296" t="s">
        <v>256</v>
      </c>
      <c r="Y424" s="296" t="s">
        <v>183</v>
      </c>
      <c r="Z424" s="296" t="s">
        <v>183</v>
      </c>
      <c r="AA424" s="296" t="s">
        <v>183</v>
      </c>
      <c r="AB424" s="296" t="s">
        <v>183</v>
      </c>
      <c r="AC424" s="296" t="s">
        <v>3821</v>
      </c>
      <c r="AD424" s="296" t="s">
        <v>3822</v>
      </c>
      <c r="AE424" s="296" t="s">
        <v>192</v>
      </c>
      <c r="AF424" s="296" t="s">
        <v>193</v>
      </c>
      <c r="AG424" s="296">
        <v>16519</v>
      </c>
      <c r="AH424" s="298">
        <v>42985</v>
      </c>
      <c r="AJ424" s="296" t="s">
        <v>194</v>
      </c>
      <c r="AK424" s="299">
        <f>COUNTIF($A$3:A$917,A424)</f>
        <v>1</v>
      </c>
    </row>
    <row r="425" spans="1:37" x14ac:dyDescent="0.25">
      <c r="A425" s="296">
        <v>3102401005</v>
      </c>
      <c r="B425" s="296" t="s">
        <v>3823</v>
      </c>
      <c r="C425" s="296" t="s">
        <v>3824</v>
      </c>
      <c r="D425" s="296" t="s">
        <v>3825</v>
      </c>
      <c r="E425" s="296" t="s">
        <v>172</v>
      </c>
      <c r="F425" s="296" t="s">
        <v>3826</v>
      </c>
      <c r="G425" s="296" t="s">
        <v>3827</v>
      </c>
      <c r="H425" s="296" t="s">
        <v>183</v>
      </c>
      <c r="I425" s="296" t="s">
        <v>3615</v>
      </c>
      <c r="J425" s="296" t="s">
        <v>3828</v>
      </c>
      <c r="K425" s="296" t="s">
        <v>3829</v>
      </c>
      <c r="L425" s="296" t="s">
        <v>3823</v>
      </c>
      <c r="M425" s="296" t="s">
        <v>179</v>
      </c>
      <c r="N425" s="296" t="s">
        <v>3826</v>
      </c>
      <c r="O425" s="296" t="s">
        <v>3827</v>
      </c>
      <c r="P425" s="296" t="s">
        <v>3830</v>
      </c>
      <c r="Q425" s="296" t="s">
        <v>183</v>
      </c>
      <c r="R425" s="296" t="s">
        <v>3831</v>
      </c>
      <c r="S425" s="296" t="s">
        <v>185</v>
      </c>
      <c r="T425" s="296" t="s">
        <v>185</v>
      </c>
      <c r="U425" s="296" t="s">
        <v>186</v>
      </c>
      <c r="V425" s="296" t="s">
        <v>187</v>
      </c>
      <c r="W425" s="296" t="s">
        <v>188</v>
      </c>
      <c r="X425" s="296" t="s">
        <v>189</v>
      </c>
      <c r="Y425" s="296" t="s">
        <v>183</v>
      </c>
      <c r="Z425" s="296" t="s">
        <v>183</v>
      </c>
      <c r="AA425" s="296" t="s">
        <v>183</v>
      </c>
      <c r="AB425" s="296" t="s">
        <v>183</v>
      </c>
      <c r="AC425" s="296" t="s">
        <v>3832</v>
      </c>
      <c r="AD425" s="296" t="s">
        <v>3833</v>
      </c>
      <c r="AE425" s="296" t="s">
        <v>192</v>
      </c>
      <c r="AF425" s="296" t="s">
        <v>193</v>
      </c>
      <c r="AG425" s="296">
        <v>0</v>
      </c>
      <c r="AH425" s="298">
        <v>41540</v>
      </c>
      <c r="AJ425" s="296" t="s">
        <v>194</v>
      </c>
      <c r="AK425" s="299">
        <f>COUNTIF($A$3:A$917,A425)</f>
        <v>1</v>
      </c>
    </row>
    <row r="426" spans="1:37" x14ac:dyDescent="0.25">
      <c r="A426" s="296">
        <v>501361445</v>
      </c>
      <c r="B426" s="296" t="s">
        <v>3834</v>
      </c>
      <c r="C426" s="296" t="s">
        <v>183</v>
      </c>
      <c r="D426" s="296" t="s">
        <v>183</v>
      </c>
      <c r="E426" s="296" t="s">
        <v>183</v>
      </c>
      <c r="F426" s="296" t="s">
        <v>3835</v>
      </c>
      <c r="G426" s="296" t="s">
        <v>3836</v>
      </c>
      <c r="H426" s="296" t="s">
        <v>3837</v>
      </c>
      <c r="I426" s="296" t="s">
        <v>3615</v>
      </c>
      <c r="J426" s="296" t="s">
        <v>3838</v>
      </c>
      <c r="K426" s="296" t="s">
        <v>1085</v>
      </c>
      <c r="L426" s="296" t="s">
        <v>1086</v>
      </c>
      <c r="M426" s="296" t="s">
        <v>179</v>
      </c>
      <c r="N426" s="296" t="s">
        <v>1087</v>
      </c>
      <c r="O426" s="296" t="s">
        <v>1088</v>
      </c>
      <c r="P426" s="296" t="s">
        <v>1089</v>
      </c>
      <c r="Q426" s="296" t="s">
        <v>183</v>
      </c>
      <c r="R426" s="296" t="s">
        <v>3839</v>
      </c>
      <c r="S426" s="296" t="s">
        <v>185</v>
      </c>
      <c r="T426" s="296" t="s">
        <v>185</v>
      </c>
      <c r="U426" s="296" t="s">
        <v>186</v>
      </c>
      <c r="V426" s="296" t="s">
        <v>187</v>
      </c>
      <c r="W426" s="296" t="s">
        <v>188</v>
      </c>
      <c r="X426" s="296" t="s">
        <v>189</v>
      </c>
      <c r="Y426" s="296" t="s">
        <v>183</v>
      </c>
      <c r="Z426" s="296" t="s">
        <v>183</v>
      </c>
      <c r="AA426" s="296" t="s">
        <v>183</v>
      </c>
      <c r="AB426" s="296" t="s">
        <v>183</v>
      </c>
      <c r="AC426" s="296" t="s">
        <v>3840</v>
      </c>
      <c r="AD426" s="296" t="s">
        <v>3841</v>
      </c>
      <c r="AE426" s="296" t="s">
        <v>192</v>
      </c>
      <c r="AF426" s="296" t="s">
        <v>193</v>
      </c>
      <c r="AG426" s="296">
        <v>0</v>
      </c>
      <c r="AH426" s="298">
        <v>45807</v>
      </c>
      <c r="AJ426" s="296" t="s">
        <v>194</v>
      </c>
      <c r="AK426" s="299">
        <f>COUNTIF($A$3:A$917,A426)</f>
        <v>1</v>
      </c>
    </row>
    <row r="427" spans="1:37" x14ac:dyDescent="0.25">
      <c r="A427" s="296">
        <v>504700846</v>
      </c>
      <c r="B427" s="296" t="s">
        <v>3842</v>
      </c>
      <c r="C427" s="296" t="s">
        <v>183</v>
      </c>
      <c r="D427" s="296" t="s">
        <v>183</v>
      </c>
      <c r="E427" s="296" t="s">
        <v>183</v>
      </c>
      <c r="F427" s="296" t="s">
        <v>3843</v>
      </c>
      <c r="G427" s="296" t="s">
        <v>3844</v>
      </c>
      <c r="H427" s="296" t="s">
        <v>3845</v>
      </c>
      <c r="I427" s="296" t="s">
        <v>3615</v>
      </c>
      <c r="J427" s="296" t="s">
        <v>3846</v>
      </c>
      <c r="K427" s="296" t="s">
        <v>3847</v>
      </c>
      <c r="L427" s="296" t="s">
        <v>3848</v>
      </c>
      <c r="M427" s="296" t="s">
        <v>179</v>
      </c>
      <c r="N427" s="296" t="s">
        <v>3849</v>
      </c>
      <c r="O427" s="296" t="s">
        <v>3849</v>
      </c>
      <c r="P427" s="296" t="s">
        <v>3850</v>
      </c>
      <c r="Q427" s="296" t="s">
        <v>183</v>
      </c>
      <c r="R427" s="296" t="s">
        <v>3851</v>
      </c>
      <c r="S427" s="296" t="s">
        <v>185</v>
      </c>
      <c r="T427" s="296" t="s">
        <v>185</v>
      </c>
      <c r="U427" s="296" t="s">
        <v>186</v>
      </c>
      <c r="V427" s="296" t="s">
        <v>187</v>
      </c>
      <c r="W427" s="296" t="s">
        <v>188</v>
      </c>
      <c r="X427" s="296" t="s">
        <v>189</v>
      </c>
      <c r="Y427" s="296" t="s">
        <v>183</v>
      </c>
      <c r="Z427" s="296" t="s">
        <v>183</v>
      </c>
      <c r="AA427" s="296" t="s">
        <v>183</v>
      </c>
      <c r="AB427" s="296" t="s">
        <v>183</v>
      </c>
      <c r="AC427" s="296" t="s">
        <v>3852</v>
      </c>
      <c r="AD427" s="296" t="s">
        <v>3853</v>
      </c>
      <c r="AE427" s="296" t="s">
        <v>192</v>
      </c>
      <c r="AF427" s="296" t="s">
        <v>193</v>
      </c>
      <c r="AG427" s="296">
        <v>0</v>
      </c>
      <c r="AH427" s="298">
        <v>45176</v>
      </c>
      <c r="AJ427" s="296" t="s">
        <v>194</v>
      </c>
      <c r="AK427" s="299">
        <f>COUNTIF($A$3:A$917,A427)</f>
        <v>1</v>
      </c>
    </row>
    <row r="428" spans="1:37" x14ac:dyDescent="0.25">
      <c r="A428" s="296">
        <v>3101918520</v>
      </c>
      <c r="B428" s="296" t="s">
        <v>3854</v>
      </c>
      <c r="C428" s="296" t="s">
        <v>183</v>
      </c>
      <c r="D428" s="296" t="s">
        <v>183</v>
      </c>
      <c r="E428" s="296" t="s">
        <v>183</v>
      </c>
      <c r="F428" s="296" t="s">
        <v>3855</v>
      </c>
      <c r="G428" s="296" t="s">
        <v>3855</v>
      </c>
      <c r="H428" s="296" t="s">
        <v>3856</v>
      </c>
      <c r="I428" s="296" t="s">
        <v>3615</v>
      </c>
      <c r="J428" s="296" t="s">
        <v>3857</v>
      </c>
      <c r="K428" s="296" t="s">
        <v>3858</v>
      </c>
      <c r="L428" s="296" t="s">
        <v>3859</v>
      </c>
      <c r="M428" s="296" t="s">
        <v>179</v>
      </c>
      <c r="N428" s="296" t="s">
        <v>3860</v>
      </c>
      <c r="O428" s="296" t="s">
        <v>183</v>
      </c>
      <c r="P428" s="296" t="s">
        <v>3861</v>
      </c>
      <c r="Q428" s="296" t="s">
        <v>183</v>
      </c>
      <c r="R428" s="296" t="s">
        <v>3862</v>
      </c>
      <c r="S428" s="296" t="s">
        <v>185</v>
      </c>
      <c r="T428" s="296" t="s">
        <v>185</v>
      </c>
      <c r="U428" s="296" t="s">
        <v>186</v>
      </c>
      <c r="V428" s="296" t="s">
        <v>187</v>
      </c>
      <c r="W428" s="296" t="s">
        <v>188</v>
      </c>
      <c r="X428" s="296" t="s">
        <v>256</v>
      </c>
      <c r="Y428" s="296" t="s">
        <v>183</v>
      </c>
      <c r="Z428" s="296" t="s">
        <v>183</v>
      </c>
      <c r="AA428" s="296" t="s">
        <v>183</v>
      </c>
      <c r="AB428" s="296" t="s">
        <v>183</v>
      </c>
      <c r="AC428" s="296" t="s">
        <v>3863</v>
      </c>
      <c r="AD428" s="296" t="s">
        <v>3864</v>
      </c>
      <c r="AE428" s="296" t="s">
        <v>192</v>
      </c>
      <c r="AF428" s="296" t="s">
        <v>193</v>
      </c>
      <c r="AG428" s="296">
        <v>0</v>
      </c>
      <c r="AH428" s="298">
        <v>45776</v>
      </c>
      <c r="AJ428" s="296" t="s">
        <v>194</v>
      </c>
      <c r="AK428" s="299">
        <f>COUNTIF($A$3:A$917,A428)</f>
        <v>1</v>
      </c>
    </row>
    <row r="429" spans="1:37" x14ac:dyDescent="0.25">
      <c r="A429" s="296">
        <v>503940364</v>
      </c>
      <c r="B429" s="296" t="s">
        <v>1284</v>
      </c>
      <c r="C429" s="296" t="s">
        <v>183</v>
      </c>
      <c r="D429" s="296" t="s">
        <v>183</v>
      </c>
      <c r="E429" s="296" t="s">
        <v>183</v>
      </c>
      <c r="F429" s="296" t="s">
        <v>1285</v>
      </c>
      <c r="G429" s="296" t="s">
        <v>1286</v>
      </c>
      <c r="H429" s="296" t="s">
        <v>1287</v>
      </c>
      <c r="I429" s="296" t="s">
        <v>3615</v>
      </c>
      <c r="J429" s="296" t="s">
        <v>3865</v>
      </c>
      <c r="K429" s="296" t="s">
        <v>1289</v>
      </c>
      <c r="L429" s="296" t="s">
        <v>1290</v>
      </c>
      <c r="M429" s="296" t="s">
        <v>179</v>
      </c>
      <c r="N429" s="296" t="s">
        <v>1291</v>
      </c>
      <c r="O429" s="296" t="s">
        <v>1292</v>
      </c>
      <c r="P429" s="296" t="s">
        <v>1293</v>
      </c>
      <c r="Q429" s="296" t="s">
        <v>183</v>
      </c>
      <c r="R429" s="296" t="s">
        <v>1294</v>
      </c>
      <c r="S429" s="296" t="s">
        <v>185</v>
      </c>
      <c r="T429" s="296" t="s">
        <v>185</v>
      </c>
      <c r="U429" s="296" t="s">
        <v>186</v>
      </c>
      <c r="V429" s="296" t="s">
        <v>187</v>
      </c>
      <c r="W429" s="296" t="s">
        <v>188</v>
      </c>
      <c r="X429" s="296" t="s">
        <v>189</v>
      </c>
      <c r="Y429" s="296" t="s">
        <v>183</v>
      </c>
      <c r="Z429" s="296" t="s">
        <v>183</v>
      </c>
      <c r="AA429" s="296" t="s">
        <v>183</v>
      </c>
      <c r="AB429" s="296" t="s">
        <v>183</v>
      </c>
      <c r="AC429" s="296" t="s">
        <v>1295</v>
      </c>
      <c r="AD429" s="296" t="s">
        <v>3866</v>
      </c>
      <c r="AE429" s="296" t="s">
        <v>192</v>
      </c>
      <c r="AF429" s="296" t="s">
        <v>193</v>
      </c>
      <c r="AG429" s="296">
        <v>18239</v>
      </c>
      <c r="AH429" s="298">
        <v>43768</v>
      </c>
      <c r="AJ429" s="296" t="s">
        <v>194</v>
      </c>
      <c r="AK429" s="299">
        <f>COUNTIF($A$3:A$917,A429)</f>
        <v>2</v>
      </c>
    </row>
    <row r="430" spans="1:37" x14ac:dyDescent="0.25">
      <c r="A430" s="296">
        <v>208270837</v>
      </c>
      <c r="B430" s="296" t="s">
        <v>3867</v>
      </c>
      <c r="C430" s="296" t="s">
        <v>183</v>
      </c>
      <c r="D430" s="296" t="s">
        <v>183</v>
      </c>
      <c r="E430" s="296" t="s">
        <v>183</v>
      </c>
      <c r="F430" s="296" t="s">
        <v>3868</v>
      </c>
      <c r="G430" s="296" t="s">
        <v>3868</v>
      </c>
      <c r="H430" s="296" t="s">
        <v>3869</v>
      </c>
      <c r="I430" s="296" t="s">
        <v>3615</v>
      </c>
      <c r="J430" s="296" t="s">
        <v>3870</v>
      </c>
      <c r="K430" s="296" t="s">
        <v>3871</v>
      </c>
      <c r="L430" s="296" t="s">
        <v>3872</v>
      </c>
      <c r="M430" s="296" t="s">
        <v>179</v>
      </c>
      <c r="N430" s="296" t="s">
        <v>1570</v>
      </c>
      <c r="O430" s="296" t="s">
        <v>1570</v>
      </c>
      <c r="P430" s="296" t="s">
        <v>3873</v>
      </c>
      <c r="Q430" s="296" t="s">
        <v>183</v>
      </c>
      <c r="R430" s="296" t="s">
        <v>3874</v>
      </c>
      <c r="S430" s="296" t="s">
        <v>185</v>
      </c>
      <c r="T430" s="296" t="s">
        <v>185</v>
      </c>
      <c r="U430" s="296" t="s">
        <v>186</v>
      </c>
      <c r="V430" s="296" t="s">
        <v>187</v>
      </c>
      <c r="W430" s="296" t="s">
        <v>188</v>
      </c>
      <c r="X430" s="296" t="s">
        <v>189</v>
      </c>
      <c r="Y430" s="296" t="s">
        <v>183</v>
      </c>
      <c r="Z430" s="296" t="s">
        <v>183</v>
      </c>
      <c r="AA430" s="296" t="s">
        <v>183</v>
      </c>
      <c r="AB430" s="296" t="s">
        <v>183</v>
      </c>
      <c r="AC430" s="296" t="s">
        <v>3875</v>
      </c>
      <c r="AD430" s="296" t="s">
        <v>3876</v>
      </c>
      <c r="AE430" s="296" t="s">
        <v>192</v>
      </c>
      <c r="AF430" s="296" t="s">
        <v>193</v>
      </c>
      <c r="AG430" s="296">
        <v>0</v>
      </c>
      <c r="AH430" s="298">
        <v>44713</v>
      </c>
      <c r="AJ430" s="296" t="s">
        <v>194</v>
      </c>
      <c r="AK430" s="299">
        <f>COUNTIF($A$3:A$917,A430)</f>
        <v>3</v>
      </c>
    </row>
    <row r="431" spans="1:37" x14ac:dyDescent="0.25">
      <c r="A431" s="296">
        <v>501850469</v>
      </c>
      <c r="B431" s="296" t="s">
        <v>3877</v>
      </c>
      <c r="C431" s="296" t="s">
        <v>183</v>
      </c>
      <c r="D431" s="296" t="s">
        <v>183</v>
      </c>
      <c r="E431" s="296" t="s">
        <v>183</v>
      </c>
      <c r="F431" s="296" t="s">
        <v>3878</v>
      </c>
      <c r="G431" s="296" t="s">
        <v>3879</v>
      </c>
      <c r="H431" s="296" t="s">
        <v>3880</v>
      </c>
      <c r="I431" s="296" t="s">
        <v>3615</v>
      </c>
      <c r="J431" s="296" t="s">
        <v>3881</v>
      </c>
      <c r="K431" s="296" t="s">
        <v>3882</v>
      </c>
      <c r="L431" s="296" t="s">
        <v>3883</v>
      </c>
      <c r="M431" s="296" t="s">
        <v>179</v>
      </c>
      <c r="N431" s="296" t="s">
        <v>3884</v>
      </c>
      <c r="O431" s="296" t="s">
        <v>3879</v>
      </c>
      <c r="P431" s="296" t="s">
        <v>3885</v>
      </c>
      <c r="Q431" s="296" t="s">
        <v>183</v>
      </c>
      <c r="R431" s="296" t="s">
        <v>3886</v>
      </c>
      <c r="S431" s="296" t="s">
        <v>185</v>
      </c>
      <c r="T431" s="296" t="s">
        <v>185</v>
      </c>
      <c r="U431" s="296" t="s">
        <v>186</v>
      </c>
      <c r="V431" s="296" t="s">
        <v>187</v>
      </c>
      <c r="W431" s="296" t="s">
        <v>188</v>
      </c>
      <c r="X431" s="296" t="s">
        <v>189</v>
      </c>
      <c r="Y431" s="296" t="s">
        <v>183</v>
      </c>
      <c r="Z431" s="296" t="s">
        <v>183</v>
      </c>
      <c r="AA431" s="296" t="s">
        <v>183</v>
      </c>
      <c r="AB431" s="296" t="s">
        <v>183</v>
      </c>
      <c r="AC431" s="296" t="s">
        <v>3887</v>
      </c>
      <c r="AD431" s="296" t="s">
        <v>3888</v>
      </c>
      <c r="AE431" s="296" t="s">
        <v>192</v>
      </c>
      <c r="AF431" s="296" t="s">
        <v>193</v>
      </c>
      <c r="AG431" s="296">
        <v>0</v>
      </c>
      <c r="AH431" s="298">
        <v>44531</v>
      </c>
      <c r="AJ431" s="296" t="s">
        <v>194</v>
      </c>
      <c r="AK431" s="299">
        <f>COUNTIF($A$3:A$917,A431)</f>
        <v>1</v>
      </c>
    </row>
    <row r="432" spans="1:37" x14ac:dyDescent="0.25">
      <c r="A432" s="296">
        <v>502700442</v>
      </c>
      <c r="B432" s="296" t="s">
        <v>3889</v>
      </c>
      <c r="C432" s="296" t="s">
        <v>183</v>
      </c>
      <c r="D432" s="296" t="s">
        <v>183</v>
      </c>
      <c r="E432" s="296" t="s">
        <v>183</v>
      </c>
      <c r="F432" s="296" t="s">
        <v>3890</v>
      </c>
      <c r="G432" s="296" t="s">
        <v>183</v>
      </c>
      <c r="H432" s="296" t="s">
        <v>3891</v>
      </c>
      <c r="I432" s="296" t="s">
        <v>3615</v>
      </c>
      <c r="J432" s="296" t="s">
        <v>3892</v>
      </c>
      <c r="K432" s="296" t="s">
        <v>3893</v>
      </c>
      <c r="L432" s="296" t="s">
        <v>3894</v>
      </c>
      <c r="M432" s="296" t="s">
        <v>179</v>
      </c>
      <c r="N432" s="296" t="s">
        <v>3895</v>
      </c>
      <c r="O432" s="296" t="s">
        <v>183</v>
      </c>
      <c r="P432" s="296" t="s">
        <v>3896</v>
      </c>
      <c r="Q432" s="296" t="s">
        <v>183</v>
      </c>
      <c r="R432" s="296" t="s">
        <v>3897</v>
      </c>
      <c r="S432" s="296" t="s">
        <v>185</v>
      </c>
      <c r="T432" s="296" t="s">
        <v>185</v>
      </c>
      <c r="U432" s="296" t="s">
        <v>186</v>
      </c>
      <c r="V432" s="296" t="s">
        <v>187</v>
      </c>
      <c r="W432" s="296" t="s">
        <v>188</v>
      </c>
      <c r="X432" s="296" t="s">
        <v>189</v>
      </c>
      <c r="Y432" s="296" t="s">
        <v>183</v>
      </c>
      <c r="Z432" s="296" t="s">
        <v>183</v>
      </c>
      <c r="AA432" s="296" t="s">
        <v>183</v>
      </c>
      <c r="AB432" s="296" t="s">
        <v>183</v>
      </c>
      <c r="AC432" s="296" t="s">
        <v>3898</v>
      </c>
      <c r="AD432" s="296" t="s">
        <v>3899</v>
      </c>
      <c r="AE432" s="296" t="s">
        <v>192</v>
      </c>
      <c r="AF432" s="296" t="s">
        <v>193</v>
      </c>
      <c r="AG432" s="296">
        <v>0</v>
      </c>
      <c r="AH432" s="298">
        <v>45526</v>
      </c>
      <c r="AJ432" s="296" t="s">
        <v>194</v>
      </c>
      <c r="AK432" s="299">
        <f>COUNTIF($A$3:A$917,A432)</f>
        <v>1</v>
      </c>
    </row>
    <row r="433" spans="1:37" x14ac:dyDescent="0.25">
      <c r="A433" s="296">
        <v>501760237</v>
      </c>
      <c r="B433" s="296" t="s">
        <v>3900</v>
      </c>
      <c r="C433" s="296" t="s">
        <v>183</v>
      </c>
      <c r="D433" s="296" t="s">
        <v>183</v>
      </c>
      <c r="E433" s="296" t="s">
        <v>183</v>
      </c>
      <c r="F433" s="296" t="s">
        <v>3901</v>
      </c>
      <c r="G433" s="296" t="s">
        <v>3901</v>
      </c>
      <c r="H433" s="296" t="s">
        <v>3902</v>
      </c>
      <c r="I433" s="296" t="s">
        <v>3615</v>
      </c>
      <c r="J433" s="296" t="s">
        <v>3903</v>
      </c>
      <c r="K433" s="296" t="s">
        <v>2098</v>
      </c>
      <c r="L433" s="296" t="s">
        <v>2099</v>
      </c>
      <c r="M433" s="296" t="s">
        <v>179</v>
      </c>
      <c r="N433" s="296" t="s">
        <v>2100</v>
      </c>
      <c r="O433" s="296" t="s">
        <v>278</v>
      </c>
      <c r="P433" s="296" t="s">
        <v>2101</v>
      </c>
      <c r="Q433" s="296" t="s">
        <v>183</v>
      </c>
      <c r="R433" s="296" t="s">
        <v>2102</v>
      </c>
      <c r="S433" s="296" t="s">
        <v>185</v>
      </c>
      <c r="T433" s="296" t="s">
        <v>185</v>
      </c>
      <c r="U433" s="296" t="s">
        <v>186</v>
      </c>
      <c r="V433" s="296" t="s">
        <v>187</v>
      </c>
      <c r="W433" s="296" t="s">
        <v>188</v>
      </c>
      <c r="X433" s="296" t="s">
        <v>189</v>
      </c>
      <c r="Y433" s="296" t="s">
        <v>183</v>
      </c>
      <c r="Z433" s="296" t="s">
        <v>183</v>
      </c>
      <c r="AA433" s="296" t="s">
        <v>183</v>
      </c>
      <c r="AB433" s="296" t="s">
        <v>183</v>
      </c>
      <c r="AC433" s="296" t="s">
        <v>2103</v>
      </c>
      <c r="AD433" s="296" t="s">
        <v>3904</v>
      </c>
      <c r="AE433" s="296" t="s">
        <v>192</v>
      </c>
      <c r="AF433" s="296" t="s">
        <v>193</v>
      </c>
      <c r="AG433" s="296">
        <v>0</v>
      </c>
      <c r="AH433" s="298">
        <v>42830</v>
      </c>
      <c r="AJ433" s="296" t="s">
        <v>194</v>
      </c>
      <c r="AK433" s="299">
        <f>COUNTIF($A$3:A$917,A433)</f>
        <v>1</v>
      </c>
    </row>
    <row r="434" spans="1:37" x14ac:dyDescent="0.25">
      <c r="A434" s="296">
        <v>501830552</v>
      </c>
      <c r="B434" s="296" t="s">
        <v>3905</v>
      </c>
      <c r="C434" s="296" t="s">
        <v>183</v>
      </c>
      <c r="D434" s="296" t="s">
        <v>183</v>
      </c>
      <c r="E434" s="296" t="s">
        <v>183</v>
      </c>
      <c r="F434" s="296" t="s">
        <v>3906</v>
      </c>
      <c r="G434" s="296" t="s">
        <v>183</v>
      </c>
      <c r="H434" s="296" t="s">
        <v>3907</v>
      </c>
      <c r="I434" s="296" t="s">
        <v>3615</v>
      </c>
      <c r="J434" s="296" t="s">
        <v>3908</v>
      </c>
      <c r="K434" s="296" t="s">
        <v>3909</v>
      </c>
      <c r="L434" s="296" t="s">
        <v>3905</v>
      </c>
      <c r="M434" s="296" t="s">
        <v>179</v>
      </c>
      <c r="N434" s="296" t="s">
        <v>3906</v>
      </c>
      <c r="O434" s="296" t="s">
        <v>183</v>
      </c>
      <c r="P434" s="296" t="s">
        <v>3907</v>
      </c>
      <c r="Q434" s="296" t="s">
        <v>183</v>
      </c>
      <c r="R434" s="296" t="s">
        <v>3910</v>
      </c>
      <c r="S434" s="296" t="s">
        <v>185</v>
      </c>
      <c r="T434" s="296" t="s">
        <v>185</v>
      </c>
      <c r="U434" s="296" t="s">
        <v>186</v>
      </c>
      <c r="V434" s="296" t="s">
        <v>187</v>
      </c>
      <c r="W434" s="296" t="s">
        <v>188</v>
      </c>
      <c r="X434" s="296" t="s">
        <v>189</v>
      </c>
      <c r="Y434" s="296" t="s">
        <v>183</v>
      </c>
      <c r="Z434" s="296" t="s">
        <v>183</v>
      </c>
      <c r="AA434" s="296" t="s">
        <v>183</v>
      </c>
      <c r="AB434" s="296" t="s">
        <v>183</v>
      </c>
      <c r="AC434" s="296" t="s">
        <v>3911</v>
      </c>
      <c r="AD434" s="296" t="s">
        <v>3912</v>
      </c>
      <c r="AE434" s="296" t="s">
        <v>192</v>
      </c>
      <c r="AF434" s="296" t="s">
        <v>193</v>
      </c>
      <c r="AG434" s="296">
        <v>0</v>
      </c>
      <c r="AH434" s="298">
        <v>44026</v>
      </c>
      <c r="AJ434" s="296" t="s">
        <v>194</v>
      </c>
      <c r="AK434" s="299">
        <f>COUNTIF($A$3:A$917,A434)</f>
        <v>1</v>
      </c>
    </row>
    <row r="435" spans="1:37" x14ac:dyDescent="0.25">
      <c r="A435" s="296">
        <v>3102348757</v>
      </c>
      <c r="B435" s="296" t="s">
        <v>3913</v>
      </c>
      <c r="C435" s="296" t="s">
        <v>183</v>
      </c>
      <c r="D435" s="296" t="s">
        <v>183</v>
      </c>
      <c r="E435" s="296" t="s">
        <v>183</v>
      </c>
      <c r="F435" s="296" t="s">
        <v>3914</v>
      </c>
      <c r="G435" s="296" t="s">
        <v>3915</v>
      </c>
      <c r="H435" s="296" t="s">
        <v>3916</v>
      </c>
      <c r="I435" s="296" t="s">
        <v>3615</v>
      </c>
      <c r="J435" s="296" t="s">
        <v>3917</v>
      </c>
      <c r="K435" s="296" t="s">
        <v>3918</v>
      </c>
      <c r="L435" s="296" t="s">
        <v>3919</v>
      </c>
      <c r="M435" s="296" t="s">
        <v>179</v>
      </c>
      <c r="N435" s="296" t="s">
        <v>3920</v>
      </c>
      <c r="O435" s="296" t="s">
        <v>278</v>
      </c>
      <c r="P435" s="296" t="s">
        <v>3916</v>
      </c>
      <c r="Q435" s="296" t="s">
        <v>183</v>
      </c>
      <c r="R435" s="296" t="s">
        <v>3921</v>
      </c>
      <c r="S435" s="296" t="s">
        <v>185</v>
      </c>
      <c r="T435" s="296" t="s">
        <v>185</v>
      </c>
      <c r="U435" s="296" t="s">
        <v>186</v>
      </c>
      <c r="V435" s="296" t="s">
        <v>187</v>
      </c>
      <c r="W435" s="296" t="s">
        <v>188</v>
      </c>
      <c r="X435" s="296" t="s">
        <v>189</v>
      </c>
      <c r="Y435" s="296" t="s">
        <v>183</v>
      </c>
      <c r="Z435" s="296" t="s">
        <v>183</v>
      </c>
      <c r="AA435" s="296" t="s">
        <v>183</v>
      </c>
      <c r="AB435" s="296" t="s">
        <v>183</v>
      </c>
      <c r="AC435" s="296" t="s">
        <v>3922</v>
      </c>
      <c r="AD435" s="296" t="s">
        <v>3923</v>
      </c>
      <c r="AE435" s="296" t="s">
        <v>192</v>
      </c>
      <c r="AF435" s="296" t="s">
        <v>193</v>
      </c>
      <c r="AG435" s="296">
        <v>20932.75</v>
      </c>
      <c r="AH435" s="298">
        <v>39282</v>
      </c>
      <c r="AJ435" s="296" t="s">
        <v>194</v>
      </c>
      <c r="AK435" s="299">
        <f>COUNTIF($A$3:A$917,A435)</f>
        <v>1</v>
      </c>
    </row>
    <row r="436" spans="1:37" x14ac:dyDescent="0.25">
      <c r="A436" s="296">
        <v>502520047</v>
      </c>
      <c r="B436" s="296" t="s">
        <v>3924</v>
      </c>
      <c r="C436" s="296" t="s">
        <v>183</v>
      </c>
      <c r="D436" s="296" t="s">
        <v>183</v>
      </c>
      <c r="E436" s="296" t="s">
        <v>183</v>
      </c>
      <c r="F436" s="296" t="s">
        <v>3925</v>
      </c>
      <c r="G436" s="296" t="s">
        <v>3926</v>
      </c>
      <c r="H436" s="296" t="s">
        <v>3927</v>
      </c>
      <c r="I436" s="296" t="s">
        <v>3615</v>
      </c>
      <c r="J436" s="296" t="s">
        <v>3928</v>
      </c>
      <c r="K436" s="296" t="s">
        <v>3929</v>
      </c>
      <c r="L436" s="296" t="s">
        <v>3930</v>
      </c>
      <c r="M436" s="296" t="s">
        <v>179</v>
      </c>
      <c r="N436" s="296" t="s">
        <v>3931</v>
      </c>
      <c r="O436" s="296" t="s">
        <v>3931</v>
      </c>
      <c r="P436" s="296" t="s">
        <v>3932</v>
      </c>
      <c r="Q436" s="296" t="s">
        <v>183</v>
      </c>
      <c r="R436" s="296" t="s">
        <v>3933</v>
      </c>
      <c r="S436" s="296" t="s">
        <v>185</v>
      </c>
      <c r="T436" s="296" t="s">
        <v>185</v>
      </c>
      <c r="U436" s="296" t="s">
        <v>186</v>
      </c>
      <c r="V436" s="296" t="s">
        <v>187</v>
      </c>
      <c r="W436" s="296" t="s">
        <v>188</v>
      </c>
      <c r="X436" s="296" t="s">
        <v>189</v>
      </c>
      <c r="Y436" s="296" t="s">
        <v>183</v>
      </c>
      <c r="Z436" s="296" t="s">
        <v>183</v>
      </c>
      <c r="AA436" s="296" t="s">
        <v>183</v>
      </c>
      <c r="AB436" s="296" t="s">
        <v>183</v>
      </c>
      <c r="AC436" s="296" t="s">
        <v>3934</v>
      </c>
      <c r="AD436" s="296" t="s">
        <v>3935</v>
      </c>
      <c r="AE436" s="296" t="s">
        <v>192</v>
      </c>
      <c r="AF436" s="296" t="s">
        <v>193</v>
      </c>
      <c r="AG436" s="296">
        <v>0</v>
      </c>
      <c r="AH436" s="298">
        <v>44650</v>
      </c>
      <c r="AJ436" s="296" t="s">
        <v>194</v>
      </c>
      <c r="AK436" s="299">
        <f>COUNTIF($A$3:A$917,A436)</f>
        <v>1</v>
      </c>
    </row>
    <row r="437" spans="1:37" x14ac:dyDescent="0.25">
      <c r="A437" s="296">
        <v>3102907891</v>
      </c>
      <c r="B437" s="296" t="s">
        <v>3936</v>
      </c>
      <c r="C437" s="296" t="s">
        <v>183</v>
      </c>
      <c r="D437" s="296" t="s">
        <v>183</v>
      </c>
      <c r="E437" s="296" t="s">
        <v>183</v>
      </c>
      <c r="F437" s="296" t="s">
        <v>3937</v>
      </c>
      <c r="G437" s="296" t="s">
        <v>3937</v>
      </c>
      <c r="H437" s="296" t="s">
        <v>3938</v>
      </c>
      <c r="I437" s="296" t="s">
        <v>3615</v>
      </c>
      <c r="J437" s="296" t="s">
        <v>3939</v>
      </c>
      <c r="K437" s="296" t="s">
        <v>3940</v>
      </c>
      <c r="L437" s="296" t="s">
        <v>3941</v>
      </c>
      <c r="M437" s="296" t="s">
        <v>179</v>
      </c>
      <c r="N437" s="296" t="s">
        <v>3937</v>
      </c>
      <c r="O437" s="296" t="s">
        <v>3937</v>
      </c>
      <c r="P437" s="296" t="s">
        <v>3938</v>
      </c>
      <c r="Q437" s="296" t="s">
        <v>183</v>
      </c>
      <c r="R437" s="296" t="s">
        <v>3942</v>
      </c>
      <c r="S437" s="296" t="s">
        <v>185</v>
      </c>
      <c r="T437" s="296" t="s">
        <v>185</v>
      </c>
      <c r="U437" s="296" t="s">
        <v>186</v>
      </c>
      <c r="V437" s="296" t="s">
        <v>187</v>
      </c>
      <c r="W437" s="296" t="s">
        <v>188</v>
      </c>
      <c r="X437" s="296" t="s">
        <v>189</v>
      </c>
      <c r="Y437" s="296" t="s">
        <v>183</v>
      </c>
      <c r="Z437" s="296" t="s">
        <v>183</v>
      </c>
      <c r="AA437" s="296" t="s">
        <v>183</v>
      </c>
      <c r="AB437" s="296" t="s">
        <v>183</v>
      </c>
      <c r="AC437" s="296" t="s">
        <v>3943</v>
      </c>
      <c r="AD437" s="296" t="s">
        <v>3944</v>
      </c>
      <c r="AE437" s="296" t="s">
        <v>192</v>
      </c>
      <c r="AF437" s="296" t="s">
        <v>193</v>
      </c>
      <c r="AG437" s="296">
        <v>0</v>
      </c>
      <c r="AH437" s="298">
        <v>45986</v>
      </c>
      <c r="AJ437" s="296" t="s">
        <v>194</v>
      </c>
      <c r="AK437" s="299">
        <f>COUNTIF($A$3:A$917,A437)</f>
        <v>1</v>
      </c>
    </row>
    <row r="438" spans="1:37" x14ac:dyDescent="0.25">
      <c r="A438" s="296">
        <v>3101754551</v>
      </c>
      <c r="B438" s="296" t="s">
        <v>3945</v>
      </c>
      <c r="C438" s="296" t="s">
        <v>183</v>
      </c>
      <c r="D438" s="296" t="s">
        <v>183</v>
      </c>
      <c r="E438" s="296" t="s">
        <v>183</v>
      </c>
      <c r="F438" s="296" t="s">
        <v>3946</v>
      </c>
      <c r="G438" s="296" t="s">
        <v>183</v>
      </c>
      <c r="H438" s="296" t="s">
        <v>3947</v>
      </c>
      <c r="I438" s="296" t="s">
        <v>3615</v>
      </c>
      <c r="J438" s="296" t="s">
        <v>3948</v>
      </c>
      <c r="K438" s="296" t="s">
        <v>3949</v>
      </c>
      <c r="L438" s="296" t="s">
        <v>3945</v>
      </c>
      <c r="M438" s="296" t="s">
        <v>179</v>
      </c>
      <c r="N438" s="296" t="s">
        <v>3946</v>
      </c>
      <c r="O438" s="296" t="s">
        <v>183</v>
      </c>
      <c r="P438" s="296" t="s">
        <v>3947</v>
      </c>
      <c r="Q438" s="296" t="s">
        <v>183</v>
      </c>
      <c r="R438" s="296" t="s">
        <v>3950</v>
      </c>
      <c r="S438" s="296" t="s">
        <v>185</v>
      </c>
      <c r="T438" s="296" t="s">
        <v>185</v>
      </c>
      <c r="U438" s="296" t="s">
        <v>186</v>
      </c>
      <c r="V438" s="296" t="s">
        <v>187</v>
      </c>
      <c r="W438" s="296" t="s">
        <v>188</v>
      </c>
      <c r="X438" s="296" t="s">
        <v>246</v>
      </c>
      <c r="Y438" s="296" t="s">
        <v>183</v>
      </c>
      <c r="Z438" s="296" t="s">
        <v>183</v>
      </c>
      <c r="AA438" s="296" t="s">
        <v>183</v>
      </c>
      <c r="AB438" s="296" t="s">
        <v>183</v>
      </c>
      <c r="AC438" s="296" t="s">
        <v>3951</v>
      </c>
      <c r="AD438" s="296" t="s">
        <v>3952</v>
      </c>
      <c r="AE438" s="296" t="s">
        <v>192</v>
      </c>
      <c r="AF438" s="296" t="s">
        <v>193</v>
      </c>
      <c r="AG438" s="296">
        <v>0</v>
      </c>
      <c r="AH438" s="298">
        <v>45741</v>
      </c>
      <c r="AJ438" s="296" t="s">
        <v>194</v>
      </c>
      <c r="AK438" s="299">
        <f>COUNTIF($A$3:A$917,A438)</f>
        <v>1</v>
      </c>
    </row>
    <row r="439" spans="1:37" x14ac:dyDescent="0.25">
      <c r="A439" s="296">
        <v>3101495573</v>
      </c>
      <c r="B439" s="296" t="s">
        <v>2832</v>
      </c>
      <c r="C439" s="296" t="s">
        <v>2833</v>
      </c>
      <c r="D439" s="296" t="s">
        <v>2834</v>
      </c>
      <c r="E439" s="296" t="s">
        <v>172</v>
      </c>
      <c r="F439" s="296" t="s">
        <v>2835</v>
      </c>
      <c r="G439" s="296" t="s">
        <v>183</v>
      </c>
      <c r="H439" s="296" t="s">
        <v>2836</v>
      </c>
      <c r="I439" s="296" t="s">
        <v>3615</v>
      </c>
      <c r="J439" s="296" t="s">
        <v>3953</v>
      </c>
      <c r="K439" s="296" t="s">
        <v>2838</v>
      </c>
      <c r="L439" s="296" t="s">
        <v>2832</v>
      </c>
      <c r="M439" s="296" t="s">
        <v>179</v>
      </c>
      <c r="N439" s="296" t="s">
        <v>2835</v>
      </c>
      <c r="O439" s="296" t="s">
        <v>2839</v>
      </c>
      <c r="P439" s="296" t="s">
        <v>2836</v>
      </c>
      <c r="Q439" s="296" t="s">
        <v>183</v>
      </c>
      <c r="R439" s="296" t="s">
        <v>2840</v>
      </c>
      <c r="S439" s="296" t="s">
        <v>185</v>
      </c>
      <c r="T439" s="296" t="s">
        <v>185</v>
      </c>
      <c r="U439" s="296" t="s">
        <v>186</v>
      </c>
      <c r="V439" s="296" t="s">
        <v>187</v>
      </c>
      <c r="W439" s="296" t="s">
        <v>188</v>
      </c>
      <c r="X439" s="296" t="s">
        <v>256</v>
      </c>
      <c r="Y439" s="296" t="s">
        <v>183</v>
      </c>
      <c r="Z439" s="296" t="s">
        <v>183</v>
      </c>
      <c r="AA439" s="296" t="s">
        <v>183</v>
      </c>
      <c r="AB439" s="296" t="s">
        <v>183</v>
      </c>
      <c r="AC439" s="296" t="s">
        <v>2841</v>
      </c>
      <c r="AD439" s="296" t="s">
        <v>3954</v>
      </c>
      <c r="AE439" s="296" t="s">
        <v>192</v>
      </c>
      <c r="AF439" s="296" t="s">
        <v>193</v>
      </c>
      <c r="AG439" s="296">
        <v>0</v>
      </c>
      <c r="AH439" s="298">
        <v>44263</v>
      </c>
      <c r="AJ439" s="296" t="s">
        <v>194</v>
      </c>
      <c r="AK439" s="299">
        <f>COUNTIF($A$3:A$917,A439)</f>
        <v>3</v>
      </c>
    </row>
    <row r="440" spans="1:37" x14ac:dyDescent="0.25">
      <c r="A440" s="296">
        <v>3102788811</v>
      </c>
      <c r="B440" s="296" t="s">
        <v>3955</v>
      </c>
      <c r="C440" s="296" t="s">
        <v>183</v>
      </c>
      <c r="D440" s="296" t="s">
        <v>183</v>
      </c>
      <c r="E440" s="296" t="s">
        <v>183</v>
      </c>
      <c r="F440" s="296" t="s">
        <v>3956</v>
      </c>
      <c r="G440" s="296" t="s">
        <v>183</v>
      </c>
      <c r="H440" s="296" t="s">
        <v>3957</v>
      </c>
      <c r="I440" s="296" t="s">
        <v>3615</v>
      </c>
      <c r="J440" s="296" t="s">
        <v>3958</v>
      </c>
      <c r="K440" s="296" t="s">
        <v>3749</v>
      </c>
      <c r="L440" s="296" t="s">
        <v>3748</v>
      </c>
      <c r="M440" s="296" t="s">
        <v>179</v>
      </c>
      <c r="N440" s="296" t="s">
        <v>3750</v>
      </c>
      <c r="O440" s="296" t="s">
        <v>3751</v>
      </c>
      <c r="P440" s="296" t="s">
        <v>3752</v>
      </c>
      <c r="Q440" s="296" t="s">
        <v>183</v>
      </c>
      <c r="R440" s="296" t="s">
        <v>3754</v>
      </c>
      <c r="S440" s="296" t="s">
        <v>185</v>
      </c>
      <c r="T440" s="296" t="s">
        <v>185</v>
      </c>
      <c r="U440" s="296" t="s">
        <v>186</v>
      </c>
      <c r="V440" s="296" t="s">
        <v>187</v>
      </c>
      <c r="W440" s="296" t="s">
        <v>188</v>
      </c>
      <c r="X440" s="296" t="s">
        <v>189</v>
      </c>
      <c r="Y440" s="296" t="s">
        <v>183</v>
      </c>
      <c r="Z440" s="296" t="s">
        <v>183</v>
      </c>
      <c r="AA440" s="296" t="s">
        <v>183</v>
      </c>
      <c r="AB440" s="296" t="s">
        <v>183</v>
      </c>
      <c r="AC440" s="296" t="s">
        <v>3755</v>
      </c>
      <c r="AD440" s="296" t="s">
        <v>3959</v>
      </c>
      <c r="AE440" s="296" t="s">
        <v>192</v>
      </c>
      <c r="AF440" s="296" t="s">
        <v>193</v>
      </c>
      <c r="AG440" s="296">
        <v>0</v>
      </c>
      <c r="AH440" s="298">
        <v>44201</v>
      </c>
      <c r="AJ440" s="296" t="s">
        <v>194</v>
      </c>
      <c r="AK440" s="299">
        <f>COUNTIF($A$3:A$917,A440)</f>
        <v>1</v>
      </c>
    </row>
    <row r="441" spans="1:37" x14ac:dyDescent="0.25">
      <c r="A441" s="296">
        <v>3101798755</v>
      </c>
      <c r="B441" s="296" t="s">
        <v>3960</v>
      </c>
      <c r="C441" s="296" t="s">
        <v>183</v>
      </c>
      <c r="D441" s="296" t="s">
        <v>183</v>
      </c>
      <c r="E441" s="296" t="s">
        <v>183</v>
      </c>
      <c r="F441" s="296" t="s">
        <v>2941</v>
      </c>
      <c r="G441" s="296" t="s">
        <v>3961</v>
      </c>
      <c r="H441" s="296" t="s">
        <v>3962</v>
      </c>
      <c r="I441" s="296" t="s">
        <v>3963</v>
      </c>
      <c r="J441" s="296" t="s">
        <v>3964</v>
      </c>
      <c r="K441" s="296" t="s">
        <v>3871</v>
      </c>
      <c r="L441" s="296" t="s">
        <v>3872</v>
      </c>
      <c r="M441" s="296" t="s">
        <v>179</v>
      </c>
      <c r="N441" s="296" t="s">
        <v>1570</v>
      </c>
      <c r="O441" s="296" t="s">
        <v>1570</v>
      </c>
      <c r="P441" s="296" t="s">
        <v>3873</v>
      </c>
      <c r="Q441" s="296" t="s">
        <v>183</v>
      </c>
      <c r="R441" s="296" t="s">
        <v>3874</v>
      </c>
      <c r="S441" s="296" t="s">
        <v>185</v>
      </c>
      <c r="T441" s="296" t="s">
        <v>185</v>
      </c>
      <c r="U441" s="296" t="s">
        <v>186</v>
      </c>
      <c r="V441" s="296" t="s">
        <v>187</v>
      </c>
      <c r="W441" s="296" t="s">
        <v>188</v>
      </c>
      <c r="X441" s="296" t="s">
        <v>189</v>
      </c>
      <c r="Y441" s="296" t="s">
        <v>183</v>
      </c>
      <c r="Z441" s="296" t="s">
        <v>183</v>
      </c>
      <c r="AA441" s="296" t="s">
        <v>183</v>
      </c>
      <c r="AB441" s="296" t="s">
        <v>183</v>
      </c>
      <c r="AC441" s="296" t="s">
        <v>3875</v>
      </c>
      <c r="AD441" s="296" t="s">
        <v>3965</v>
      </c>
      <c r="AE441" s="296" t="s">
        <v>192</v>
      </c>
      <c r="AF441" s="296" t="s">
        <v>193</v>
      </c>
      <c r="AG441" s="296">
        <v>0</v>
      </c>
      <c r="AH441" s="298">
        <v>42564</v>
      </c>
      <c r="AJ441" s="296" t="s">
        <v>194</v>
      </c>
      <c r="AK441" s="299">
        <f>COUNTIF($A$3:A$917,A441)</f>
        <v>1</v>
      </c>
    </row>
    <row r="442" spans="1:37" x14ac:dyDescent="0.25">
      <c r="A442" s="296">
        <v>3101293166</v>
      </c>
      <c r="B442" s="296" t="s">
        <v>3966</v>
      </c>
      <c r="C442" s="296" t="s">
        <v>3967</v>
      </c>
      <c r="D442" s="296" t="s">
        <v>3968</v>
      </c>
      <c r="E442" s="296" t="s">
        <v>1723</v>
      </c>
      <c r="F442" s="296" t="s">
        <v>3969</v>
      </c>
      <c r="G442" s="296" t="s">
        <v>278</v>
      </c>
      <c r="H442" s="296" t="s">
        <v>3970</v>
      </c>
      <c r="I442" s="296" t="s">
        <v>3963</v>
      </c>
      <c r="J442" s="296" t="s">
        <v>3971</v>
      </c>
      <c r="K442" s="296" t="s">
        <v>2060</v>
      </c>
      <c r="L442" s="296" t="s">
        <v>2061</v>
      </c>
      <c r="M442" s="296" t="s">
        <v>179</v>
      </c>
      <c r="N442" s="296" t="s">
        <v>2062</v>
      </c>
      <c r="O442" s="296" t="s">
        <v>183</v>
      </c>
      <c r="P442" s="296" t="s">
        <v>2063</v>
      </c>
      <c r="Q442" s="296" t="s">
        <v>183</v>
      </c>
      <c r="R442" s="296" t="s">
        <v>2064</v>
      </c>
      <c r="S442" s="296" t="s">
        <v>185</v>
      </c>
      <c r="T442" s="296" t="s">
        <v>185</v>
      </c>
      <c r="U442" s="296" t="s">
        <v>186</v>
      </c>
      <c r="V442" s="296" t="s">
        <v>187</v>
      </c>
      <c r="W442" s="296" t="s">
        <v>188</v>
      </c>
      <c r="X442" s="296" t="s">
        <v>189</v>
      </c>
      <c r="Y442" s="296" t="s">
        <v>183</v>
      </c>
      <c r="Z442" s="296" t="s">
        <v>183</v>
      </c>
      <c r="AA442" s="296" t="s">
        <v>183</v>
      </c>
      <c r="AB442" s="296" t="s">
        <v>183</v>
      </c>
      <c r="AC442" s="296" t="s">
        <v>2065</v>
      </c>
      <c r="AD442" s="296" t="s">
        <v>3972</v>
      </c>
      <c r="AE442" s="296" t="s">
        <v>192</v>
      </c>
      <c r="AF442" s="296" t="s">
        <v>193</v>
      </c>
      <c r="AG442" s="296">
        <v>0</v>
      </c>
      <c r="AH442" s="298">
        <v>45330</v>
      </c>
      <c r="AJ442" s="296" t="s">
        <v>194</v>
      </c>
      <c r="AK442" s="299">
        <f>COUNTIF($A$3:A$917,A442)</f>
        <v>1</v>
      </c>
    </row>
    <row r="443" spans="1:37" x14ac:dyDescent="0.25">
      <c r="A443" s="296">
        <v>3102899659</v>
      </c>
      <c r="B443" s="296" t="s">
        <v>3973</v>
      </c>
      <c r="C443" s="296" t="s">
        <v>183</v>
      </c>
      <c r="D443" s="296" t="s">
        <v>183</v>
      </c>
      <c r="E443" s="296" t="s">
        <v>183</v>
      </c>
      <c r="F443" s="296" t="s">
        <v>3974</v>
      </c>
      <c r="G443" s="296" t="s">
        <v>183</v>
      </c>
      <c r="H443" s="296" t="s">
        <v>3975</v>
      </c>
      <c r="I443" s="296" t="s">
        <v>3976</v>
      </c>
      <c r="J443" s="296" t="s">
        <v>3977</v>
      </c>
      <c r="K443" s="296" t="s">
        <v>3443</v>
      </c>
      <c r="L443" s="296" t="s">
        <v>3444</v>
      </c>
      <c r="M443" s="296" t="s">
        <v>179</v>
      </c>
      <c r="N443" s="296" t="s">
        <v>1609</v>
      </c>
      <c r="O443" s="296" t="s">
        <v>183</v>
      </c>
      <c r="P443" s="296" t="s">
        <v>3445</v>
      </c>
      <c r="Q443" s="296" t="s">
        <v>183</v>
      </c>
      <c r="R443" s="296" t="s">
        <v>3446</v>
      </c>
      <c r="S443" s="296" t="s">
        <v>185</v>
      </c>
      <c r="T443" s="296" t="s">
        <v>185</v>
      </c>
      <c r="U443" s="296" t="s">
        <v>186</v>
      </c>
      <c r="V443" s="296" t="s">
        <v>187</v>
      </c>
      <c r="W443" s="296" t="s">
        <v>188</v>
      </c>
      <c r="X443" s="296" t="s">
        <v>189</v>
      </c>
      <c r="Y443" s="296" t="s">
        <v>183</v>
      </c>
      <c r="Z443" s="296" t="s">
        <v>183</v>
      </c>
      <c r="AA443" s="296" t="s">
        <v>183</v>
      </c>
      <c r="AB443" s="296" t="s">
        <v>183</v>
      </c>
      <c r="AC443" s="296" t="s">
        <v>3447</v>
      </c>
      <c r="AD443" s="296" t="s">
        <v>3978</v>
      </c>
      <c r="AE443" s="296" t="s">
        <v>192</v>
      </c>
      <c r="AF443" s="296" t="s">
        <v>193</v>
      </c>
      <c r="AG443" s="296">
        <v>0</v>
      </c>
      <c r="AH443" s="298">
        <v>45387</v>
      </c>
      <c r="AJ443" s="296" t="s">
        <v>194</v>
      </c>
      <c r="AK443" s="299">
        <f>COUNTIF($A$3:A$917,A443)</f>
        <v>1</v>
      </c>
    </row>
    <row r="444" spans="1:37" x14ac:dyDescent="0.25">
      <c r="A444" s="296">
        <v>503590612</v>
      </c>
      <c r="B444" s="296" t="s">
        <v>3979</v>
      </c>
      <c r="C444" s="296" t="s">
        <v>183</v>
      </c>
      <c r="D444" s="296" t="s">
        <v>183</v>
      </c>
      <c r="E444" s="296" t="s">
        <v>183</v>
      </c>
      <c r="F444" s="296" t="s">
        <v>3980</v>
      </c>
      <c r="G444" s="296" t="s">
        <v>3980</v>
      </c>
      <c r="H444" s="296" t="s">
        <v>3981</v>
      </c>
      <c r="I444" s="296" t="s">
        <v>3976</v>
      </c>
      <c r="J444" s="296" t="s">
        <v>3982</v>
      </c>
      <c r="K444" s="296" t="s">
        <v>3983</v>
      </c>
      <c r="L444" s="296" t="s">
        <v>3984</v>
      </c>
      <c r="M444" s="296" t="s">
        <v>179</v>
      </c>
      <c r="N444" s="296" t="s">
        <v>3985</v>
      </c>
      <c r="O444" s="296" t="s">
        <v>3985</v>
      </c>
      <c r="P444" s="296" t="s">
        <v>3986</v>
      </c>
      <c r="Q444" s="296" t="s">
        <v>183</v>
      </c>
      <c r="R444" s="296" t="s">
        <v>3987</v>
      </c>
      <c r="S444" s="296" t="s">
        <v>185</v>
      </c>
      <c r="T444" s="296" t="s">
        <v>185</v>
      </c>
      <c r="U444" s="296" t="s">
        <v>186</v>
      </c>
      <c r="V444" s="296" t="s">
        <v>187</v>
      </c>
      <c r="W444" s="296" t="s">
        <v>188</v>
      </c>
      <c r="X444" s="296" t="s">
        <v>256</v>
      </c>
      <c r="Y444" s="296" t="s">
        <v>183</v>
      </c>
      <c r="Z444" s="296" t="s">
        <v>183</v>
      </c>
      <c r="AA444" s="296" t="s">
        <v>183</v>
      </c>
      <c r="AB444" s="296" t="s">
        <v>183</v>
      </c>
      <c r="AC444" s="296" t="s">
        <v>3988</v>
      </c>
      <c r="AD444" s="296" t="s">
        <v>3989</v>
      </c>
      <c r="AE444" s="296" t="s">
        <v>192</v>
      </c>
      <c r="AF444" s="296" t="s">
        <v>193</v>
      </c>
      <c r="AG444" s="296">
        <v>0</v>
      </c>
      <c r="AH444" s="298">
        <v>42424</v>
      </c>
      <c r="AJ444" s="296" t="s">
        <v>194</v>
      </c>
      <c r="AK444" s="299">
        <f>COUNTIF($A$3:A$917,A444)</f>
        <v>1</v>
      </c>
    </row>
    <row r="445" spans="1:37" x14ac:dyDescent="0.25">
      <c r="A445" s="296">
        <v>502690983</v>
      </c>
      <c r="B445" s="296" t="s">
        <v>3990</v>
      </c>
      <c r="C445" s="296" t="s">
        <v>183</v>
      </c>
      <c r="D445" s="296" t="s">
        <v>183</v>
      </c>
      <c r="E445" s="296" t="s">
        <v>183</v>
      </c>
      <c r="F445" s="296" t="s">
        <v>3991</v>
      </c>
      <c r="G445" s="296" t="s">
        <v>183</v>
      </c>
      <c r="H445" s="296" t="s">
        <v>3992</v>
      </c>
      <c r="I445" s="296" t="s">
        <v>3976</v>
      </c>
      <c r="J445" s="296" t="s">
        <v>3993</v>
      </c>
      <c r="K445" s="296" t="s">
        <v>3994</v>
      </c>
      <c r="L445" s="296" t="s">
        <v>3995</v>
      </c>
      <c r="M445" s="296" t="s">
        <v>179</v>
      </c>
      <c r="N445" s="296" t="s">
        <v>3996</v>
      </c>
      <c r="O445" s="296" t="s">
        <v>183</v>
      </c>
      <c r="P445" s="296" t="s">
        <v>3997</v>
      </c>
      <c r="Q445" s="296" t="s">
        <v>183</v>
      </c>
      <c r="R445" s="296" t="s">
        <v>3998</v>
      </c>
      <c r="S445" s="296" t="s">
        <v>185</v>
      </c>
      <c r="T445" s="296" t="s">
        <v>185</v>
      </c>
      <c r="U445" s="296" t="s">
        <v>186</v>
      </c>
      <c r="V445" s="296" t="s">
        <v>187</v>
      </c>
      <c r="W445" s="296" t="s">
        <v>188</v>
      </c>
      <c r="X445" s="296" t="s">
        <v>189</v>
      </c>
      <c r="Y445" s="296" t="s">
        <v>183</v>
      </c>
      <c r="Z445" s="296" t="s">
        <v>183</v>
      </c>
      <c r="AA445" s="296" t="s">
        <v>183</v>
      </c>
      <c r="AB445" s="296" t="s">
        <v>183</v>
      </c>
      <c r="AC445" s="296" t="s">
        <v>3999</v>
      </c>
      <c r="AD445" s="296" t="s">
        <v>4000</v>
      </c>
      <c r="AE445" s="296" t="s">
        <v>192</v>
      </c>
      <c r="AF445" s="296" t="s">
        <v>193</v>
      </c>
      <c r="AG445" s="296">
        <v>0</v>
      </c>
      <c r="AH445" s="298">
        <v>45848</v>
      </c>
      <c r="AJ445" s="296" t="s">
        <v>194</v>
      </c>
      <c r="AK445" s="299">
        <f>COUNTIF($A$3:A$917,A445)</f>
        <v>1</v>
      </c>
    </row>
    <row r="446" spans="1:37" x14ac:dyDescent="0.25">
      <c r="A446" s="296">
        <v>800990737</v>
      </c>
      <c r="B446" s="296" t="s">
        <v>1842</v>
      </c>
      <c r="C446" s="296" t="s">
        <v>183</v>
      </c>
      <c r="D446" s="296" t="s">
        <v>183</v>
      </c>
      <c r="E446" s="296" t="s">
        <v>183</v>
      </c>
      <c r="F446" s="296" t="s">
        <v>1843</v>
      </c>
      <c r="G446" s="296" t="s">
        <v>1843</v>
      </c>
      <c r="H446" s="296" t="s">
        <v>1844</v>
      </c>
      <c r="I446" s="296" t="s">
        <v>3976</v>
      </c>
      <c r="J446" s="296" t="s">
        <v>4001</v>
      </c>
      <c r="K446" s="296" t="s">
        <v>1423</v>
      </c>
      <c r="L446" s="296" t="s">
        <v>1424</v>
      </c>
      <c r="M446" s="296" t="s">
        <v>179</v>
      </c>
      <c r="N446" s="296" t="s">
        <v>1425</v>
      </c>
      <c r="O446" s="296" t="s">
        <v>1426</v>
      </c>
      <c r="P446" s="296" t="s">
        <v>1421</v>
      </c>
      <c r="Q446" s="296" t="s">
        <v>183</v>
      </c>
      <c r="R446" s="296" t="s">
        <v>1427</v>
      </c>
      <c r="S446" s="296" t="s">
        <v>185</v>
      </c>
      <c r="T446" s="296" t="s">
        <v>185</v>
      </c>
      <c r="U446" s="296" t="s">
        <v>186</v>
      </c>
      <c r="V446" s="296" t="s">
        <v>187</v>
      </c>
      <c r="W446" s="296" t="s">
        <v>188</v>
      </c>
      <c r="X446" s="296" t="s">
        <v>404</v>
      </c>
      <c r="Y446" s="296" t="s">
        <v>183</v>
      </c>
      <c r="Z446" s="296" t="s">
        <v>183</v>
      </c>
      <c r="AA446" s="296" t="s">
        <v>183</v>
      </c>
      <c r="AB446" s="296" t="s">
        <v>183</v>
      </c>
      <c r="AC446" s="296" t="s">
        <v>1428</v>
      </c>
      <c r="AD446" s="296" t="s">
        <v>4002</v>
      </c>
      <c r="AE446" s="296" t="s">
        <v>192</v>
      </c>
      <c r="AF446" s="296" t="s">
        <v>193</v>
      </c>
      <c r="AG446" s="296">
        <v>0</v>
      </c>
      <c r="AH446" s="298">
        <v>44879</v>
      </c>
      <c r="AJ446" s="296" t="s">
        <v>194</v>
      </c>
      <c r="AK446" s="299">
        <f>COUNTIF($A$3:A$917,A446)</f>
        <v>4</v>
      </c>
    </row>
    <row r="447" spans="1:37" x14ac:dyDescent="0.25">
      <c r="A447" s="296">
        <v>503900029</v>
      </c>
      <c r="B447" s="296" t="s">
        <v>4003</v>
      </c>
      <c r="C447" s="296" t="s">
        <v>183</v>
      </c>
      <c r="D447" s="296" t="s">
        <v>183</v>
      </c>
      <c r="E447" s="296" t="s">
        <v>183</v>
      </c>
      <c r="F447" s="296" t="s">
        <v>4004</v>
      </c>
      <c r="G447" s="296" t="s">
        <v>183</v>
      </c>
      <c r="H447" s="296" t="s">
        <v>4005</v>
      </c>
      <c r="I447" s="296" t="s">
        <v>3976</v>
      </c>
      <c r="J447" s="296" t="s">
        <v>4006</v>
      </c>
      <c r="K447" s="296" t="s">
        <v>3317</v>
      </c>
      <c r="L447" s="296" t="s">
        <v>1941</v>
      </c>
      <c r="M447" s="296" t="s">
        <v>179</v>
      </c>
      <c r="N447" s="296" t="s">
        <v>1914</v>
      </c>
      <c r="O447" s="296" t="s">
        <v>3318</v>
      </c>
      <c r="P447" s="296" t="s">
        <v>1915</v>
      </c>
      <c r="Q447" s="296" t="s">
        <v>183</v>
      </c>
      <c r="R447" s="296" t="s">
        <v>4007</v>
      </c>
      <c r="S447" s="296" t="s">
        <v>185</v>
      </c>
      <c r="T447" s="296" t="s">
        <v>185</v>
      </c>
      <c r="U447" s="296" t="s">
        <v>186</v>
      </c>
      <c r="V447" s="296" t="s">
        <v>187</v>
      </c>
      <c r="W447" s="296" t="s">
        <v>188</v>
      </c>
      <c r="X447" s="296" t="s">
        <v>189</v>
      </c>
      <c r="Y447" s="296" t="s">
        <v>183</v>
      </c>
      <c r="Z447" s="296" t="s">
        <v>183</v>
      </c>
      <c r="AA447" s="296" t="s">
        <v>183</v>
      </c>
      <c r="AB447" s="296" t="s">
        <v>183</v>
      </c>
      <c r="AC447" s="296" t="s">
        <v>3320</v>
      </c>
      <c r="AD447" s="296" t="s">
        <v>4008</v>
      </c>
      <c r="AE447" s="296" t="s">
        <v>192</v>
      </c>
      <c r="AF447" s="296" t="s">
        <v>193</v>
      </c>
      <c r="AG447" s="296">
        <v>0</v>
      </c>
      <c r="AH447" s="298">
        <v>45965</v>
      </c>
      <c r="AJ447" s="296" t="s">
        <v>194</v>
      </c>
      <c r="AK447" s="299">
        <f>COUNTIF($A$3:A$917,A447)</f>
        <v>1</v>
      </c>
    </row>
    <row r="448" spans="1:37" x14ac:dyDescent="0.25">
      <c r="A448" s="296">
        <v>503160174</v>
      </c>
      <c r="B448" s="296" t="s">
        <v>4009</v>
      </c>
      <c r="C448" s="296" t="s">
        <v>183</v>
      </c>
      <c r="D448" s="296" t="s">
        <v>183</v>
      </c>
      <c r="E448" s="296" t="s">
        <v>183</v>
      </c>
      <c r="F448" s="296" t="s">
        <v>4010</v>
      </c>
      <c r="G448" s="296" t="s">
        <v>4010</v>
      </c>
      <c r="H448" s="296" t="s">
        <v>4011</v>
      </c>
      <c r="I448" s="296" t="s">
        <v>3976</v>
      </c>
      <c r="J448" s="296" t="s">
        <v>4012</v>
      </c>
      <c r="K448" s="296" t="s">
        <v>4013</v>
      </c>
      <c r="L448" s="296" t="s">
        <v>4014</v>
      </c>
      <c r="M448" s="296" t="s">
        <v>179</v>
      </c>
      <c r="N448" s="296" t="s">
        <v>4015</v>
      </c>
      <c r="O448" s="296" t="s">
        <v>183</v>
      </c>
      <c r="P448" s="296" t="s">
        <v>4016</v>
      </c>
      <c r="Q448" s="296" t="s">
        <v>183</v>
      </c>
      <c r="R448" s="296" t="s">
        <v>4017</v>
      </c>
      <c r="S448" s="296" t="s">
        <v>185</v>
      </c>
      <c r="T448" s="296" t="s">
        <v>185</v>
      </c>
      <c r="U448" s="296" t="s">
        <v>186</v>
      </c>
      <c r="V448" s="296" t="s">
        <v>187</v>
      </c>
      <c r="W448" s="296" t="s">
        <v>188</v>
      </c>
      <c r="X448" s="296" t="s">
        <v>308</v>
      </c>
      <c r="Y448" s="296" t="s">
        <v>183</v>
      </c>
      <c r="Z448" s="296" t="s">
        <v>183</v>
      </c>
      <c r="AA448" s="296" t="s">
        <v>183</v>
      </c>
      <c r="AB448" s="296" t="s">
        <v>183</v>
      </c>
      <c r="AC448" s="296" t="s">
        <v>4018</v>
      </c>
      <c r="AD448" s="296" t="s">
        <v>4019</v>
      </c>
      <c r="AE448" s="296" t="s">
        <v>192</v>
      </c>
      <c r="AF448" s="296" t="s">
        <v>193</v>
      </c>
      <c r="AG448" s="296">
        <v>0</v>
      </c>
      <c r="AH448" s="298">
        <v>44715</v>
      </c>
      <c r="AJ448" s="296" t="s">
        <v>194</v>
      </c>
      <c r="AK448" s="299">
        <f>COUNTIF($A$3:A$917,A448)</f>
        <v>1</v>
      </c>
    </row>
    <row r="449" spans="1:37" x14ac:dyDescent="0.25">
      <c r="A449" s="296">
        <v>502850250</v>
      </c>
      <c r="B449" s="296" t="s">
        <v>4020</v>
      </c>
      <c r="C449" s="296" t="s">
        <v>183</v>
      </c>
      <c r="D449" s="296" t="s">
        <v>183</v>
      </c>
      <c r="E449" s="296" t="s">
        <v>183</v>
      </c>
      <c r="F449" s="296" t="s">
        <v>4021</v>
      </c>
      <c r="G449" s="296" t="s">
        <v>183</v>
      </c>
      <c r="H449" s="296" t="s">
        <v>4022</v>
      </c>
      <c r="I449" s="296" t="s">
        <v>3976</v>
      </c>
      <c r="J449" s="296" t="s">
        <v>4023</v>
      </c>
      <c r="K449" s="296" t="s">
        <v>4024</v>
      </c>
      <c r="L449" s="296" t="s">
        <v>4025</v>
      </c>
      <c r="M449" s="296" t="s">
        <v>179</v>
      </c>
      <c r="N449" s="296" t="s">
        <v>4026</v>
      </c>
      <c r="O449" s="296" t="s">
        <v>183</v>
      </c>
      <c r="P449" s="296" t="s">
        <v>4027</v>
      </c>
      <c r="Q449" s="296" t="s">
        <v>183</v>
      </c>
      <c r="R449" s="296" t="s">
        <v>4028</v>
      </c>
      <c r="S449" s="296" t="s">
        <v>185</v>
      </c>
      <c r="T449" s="296" t="s">
        <v>185</v>
      </c>
      <c r="U449" s="296" t="s">
        <v>186</v>
      </c>
      <c r="V449" s="296" t="s">
        <v>187</v>
      </c>
      <c r="W449" s="296" t="s">
        <v>188</v>
      </c>
      <c r="X449" s="296" t="s">
        <v>246</v>
      </c>
      <c r="Y449" s="296" t="s">
        <v>183</v>
      </c>
      <c r="Z449" s="296" t="s">
        <v>183</v>
      </c>
      <c r="AA449" s="296" t="s">
        <v>183</v>
      </c>
      <c r="AB449" s="296" t="s">
        <v>183</v>
      </c>
      <c r="AC449" s="296" t="s">
        <v>4029</v>
      </c>
      <c r="AD449" s="296" t="s">
        <v>4030</v>
      </c>
      <c r="AE449" s="296" t="s">
        <v>192</v>
      </c>
      <c r="AF449" s="296" t="s">
        <v>193</v>
      </c>
      <c r="AG449" s="296">
        <v>0</v>
      </c>
      <c r="AH449" s="298">
        <v>45819</v>
      </c>
      <c r="AJ449" s="296" t="s">
        <v>194</v>
      </c>
      <c r="AK449" s="299">
        <f>COUNTIF($A$3:A$917,A449)</f>
        <v>1</v>
      </c>
    </row>
    <row r="450" spans="1:37" x14ac:dyDescent="0.25">
      <c r="A450" s="296">
        <v>3101303621</v>
      </c>
      <c r="B450" s="296" t="s">
        <v>4031</v>
      </c>
      <c r="C450" s="296" t="s">
        <v>183</v>
      </c>
      <c r="D450" s="296" t="s">
        <v>183</v>
      </c>
      <c r="E450" s="296" t="s">
        <v>183</v>
      </c>
      <c r="F450" s="296" t="s">
        <v>4032</v>
      </c>
      <c r="G450" s="296" t="s">
        <v>4033</v>
      </c>
      <c r="H450" s="296" t="s">
        <v>4034</v>
      </c>
      <c r="I450" s="296" t="s">
        <v>3976</v>
      </c>
      <c r="J450" s="296" t="s">
        <v>4035</v>
      </c>
      <c r="K450" s="296" t="s">
        <v>1351</v>
      </c>
      <c r="L450" s="296" t="s">
        <v>1352</v>
      </c>
      <c r="M450" s="296" t="s">
        <v>179</v>
      </c>
      <c r="N450" s="296" t="s">
        <v>1353</v>
      </c>
      <c r="O450" s="296" t="s">
        <v>1353</v>
      </c>
      <c r="P450" s="296" t="s">
        <v>1354</v>
      </c>
      <c r="Q450" s="296" t="s">
        <v>183</v>
      </c>
      <c r="R450" s="296" t="s">
        <v>1355</v>
      </c>
      <c r="S450" s="296" t="s">
        <v>185</v>
      </c>
      <c r="T450" s="296" t="s">
        <v>185</v>
      </c>
      <c r="U450" s="296" t="s">
        <v>186</v>
      </c>
      <c r="V450" s="296" t="s">
        <v>187</v>
      </c>
      <c r="W450" s="296" t="s">
        <v>188</v>
      </c>
      <c r="X450" s="296" t="s">
        <v>189</v>
      </c>
      <c r="Y450" s="296" t="s">
        <v>183</v>
      </c>
      <c r="Z450" s="296" t="s">
        <v>183</v>
      </c>
      <c r="AA450" s="296" t="s">
        <v>183</v>
      </c>
      <c r="AB450" s="296" t="s">
        <v>183</v>
      </c>
      <c r="AC450" s="296" t="s">
        <v>1356</v>
      </c>
      <c r="AD450" s="296" t="s">
        <v>4036</v>
      </c>
      <c r="AE450" s="296" t="s">
        <v>192</v>
      </c>
      <c r="AF450" s="296" t="s">
        <v>193</v>
      </c>
      <c r="AG450" s="296">
        <v>0</v>
      </c>
      <c r="AH450" s="298">
        <v>44691</v>
      </c>
      <c r="AJ450" s="296" t="s">
        <v>194</v>
      </c>
      <c r="AK450" s="299">
        <f>COUNTIF($A$3:A$917,A450)</f>
        <v>1</v>
      </c>
    </row>
    <row r="451" spans="1:37" x14ac:dyDescent="0.25">
      <c r="A451" s="296">
        <v>3101750172</v>
      </c>
      <c r="B451" s="296" t="s">
        <v>4037</v>
      </c>
      <c r="C451" s="296" t="s">
        <v>183</v>
      </c>
      <c r="D451" s="296" t="s">
        <v>183</v>
      </c>
      <c r="E451" s="296" t="s">
        <v>183</v>
      </c>
      <c r="F451" s="296" t="s">
        <v>4038</v>
      </c>
      <c r="G451" s="296" t="s">
        <v>4039</v>
      </c>
      <c r="H451" s="296" t="s">
        <v>4040</v>
      </c>
      <c r="I451" s="296" t="s">
        <v>3976</v>
      </c>
      <c r="J451" s="296" t="s">
        <v>4041</v>
      </c>
      <c r="K451" s="296" t="s">
        <v>1301</v>
      </c>
      <c r="L451" s="296" t="s">
        <v>1302</v>
      </c>
      <c r="M451" s="296" t="s">
        <v>179</v>
      </c>
      <c r="N451" s="296" t="s">
        <v>1303</v>
      </c>
      <c r="O451" s="296" t="s">
        <v>1303</v>
      </c>
      <c r="P451" s="296" t="s">
        <v>1304</v>
      </c>
      <c r="Q451" s="296" t="s">
        <v>183</v>
      </c>
      <c r="R451" s="296" t="s">
        <v>1305</v>
      </c>
      <c r="S451" s="296" t="s">
        <v>185</v>
      </c>
      <c r="T451" s="296" t="s">
        <v>185</v>
      </c>
      <c r="U451" s="296" t="s">
        <v>186</v>
      </c>
      <c r="V451" s="296" t="s">
        <v>187</v>
      </c>
      <c r="W451" s="296" t="s">
        <v>188</v>
      </c>
      <c r="X451" s="296" t="s">
        <v>189</v>
      </c>
      <c r="Y451" s="296" t="s">
        <v>183</v>
      </c>
      <c r="Z451" s="296" t="s">
        <v>183</v>
      </c>
      <c r="AA451" s="296" t="s">
        <v>183</v>
      </c>
      <c r="AB451" s="296" t="s">
        <v>183</v>
      </c>
      <c r="AC451" s="296" t="s">
        <v>1306</v>
      </c>
      <c r="AD451" s="296" t="s">
        <v>4042</v>
      </c>
      <c r="AE451" s="296" t="s">
        <v>192</v>
      </c>
      <c r="AF451" s="296" t="s">
        <v>193</v>
      </c>
      <c r="AG451" s="296">
        <v>46331</v>
      </c>
      <c r="AH451" s="298">
        <v>43424</v>
      </c>
      <c r="AJ451" s="296" t="s">
        <v>194</v>
      </c>
      <c r="AK451" s="299">
        <f>COUNTIF($A$3:A$917,A451)</f>
        <v>1</v>
      </c>
    </row>
    <row r="452" spans="1:37" x14ac:dyDescent="0.25">
      <c r="A452" s="296">
        <v>3101729882</v>
      </c>
      <c r="B452" s="296" t="s">
        <v>4043</v>
      </c>
      <c r="C452" s="296" t="s">
        <v>4044</v>
      </c>
      <c r="D452" s="296" t="s">
        <v>4045</v>
      </c>
      <c r="E452" s="296" t="s">
        <v>172</v>
      </c>
      <c r="F452" s="296" t="s">
        <v>4046</v>
      </c>
      <c r="G452" s="296" t="s">
        <v>183</v>
      </c>
      <c r="H452" s="296" t="s">
        <v>4047</v>
      </c>
      <c r="I452" s="296" t="s">
        <v>3976</v>
      </c>
      <c r="J452" s="296" t="s">
        <v>4048</v>
      </c>
      <c r="K452" s="296" t="s">
        <v>4049</v>
      </c>
      <c r="L452" s="296" t="s">
        <v>4043</v>
      </c>
      <c r="M452" s="296" t="s">
        <v>179</v>
      </c>
      <c r="N452" s="296" t="s">
        <v>4046</v>
      </c>
      <c r="O452" s="296" t="s">
        <v>183</v>
      </c>
      <c r="P452" s="296" t="s">
        <v>4050</v>
      </c>
      <c r="Q452" s="296" t="s">
        <v>183</v>
      </c>
      <c r="R452" s="296" t="s">
        <v>4051</v>
      </c>
      <c r="S452" s="296" t="s">
        <v>185</v>
      </c>
      <c r="T452" s="296" t="s">
        <v>185</v>
      </c>
      <c r="U452" s="296" t="s">
        <v>186</v>
      </c>
      <c r="V452" s="296" t="s">
        <v>187</v>
      </c>
      <c r="W452" s="296" t="s">
        <v>188</v>
      </c>
      <c r="X452" s="296" t="s">
        <v>189</v>
      </c>
      <c r="Y452" s="296" t="s">
        <v>183</v>
      </c>
      <c r="Z452" s="296" t="s">
        <v>183</v>
      </c>
      <c r="AA452" s="296" t="s">
        <v>183</v>
      </c>
      <c r="AB452" s="296" t="s">
        <v>183</v>
      </c>
      <c r="AC452" s="296" t="s">
        <v>3296</v>
      </c>
      <c r="AD452" s="296" t="s">
        <v>4052</v>
      </c>
      <c r="AE452" s="296" t="s">
        <v>192</v>
      </c>
      <c r="AF452" s="296" t="s">
        <v>193</v>
      </c>
      <c r="AG452" s="296">
        <v>0</v>
      </c>
      <c r="AH452" s="298">
        <v>44873</v>
      </c>
      <c r="AJ452" s="296" t="s">
        <v>194</v>
      </c>
      <c r="AK452" s="299">
        <f>COUNTIF($A$3:A$917,A452)</f>
        <v>1</v>
      </c>
    </row>
    <row r="453" spans="1:37" x14ac:dyDescent="0.25">
      <c r="A453" s="296">
        <v>503460386</v>
      </c>
      <c r="B453" s="296" t="s">
        <v>4053</v>
      </c>
      <c r="C453" s="296" t="s">
        <v>183</v>
      </c>
      <c r="D453" s="296" t="s">
        <v>183</v>
      </c>
      <c r="E453" s="296" t="s">
        <v>183</v>
      </c>
      <c r="F453" s="296" t="s">
        <v>4054</v>
      </c>
      <c r="G453" s="296" t="s">
        <v>183</v>
      </c>
      <c r="H453" s="296" t="s">
        <v>4055</v>
      </c>
      <c r="I453" s="296" t="s">
        <v>3976</v>
      </c>
      <c r="J453" s="296" t="s">
        <v>4056</v>
      </c>
      <c r="K453" s="296" t="s">
        <v>4057</v>
      </c>
      <c r="L453" s="296" t="s">
        <v>4058</v>
      </c>
      <c r="M453" s="296" t="s">
        <v>179</v>
      </c>
      <c r="N453" s="296" t="s">
        <v>4059</v>
      </c>
      <c r="O453" s="296" t="s">
        <v>183</v>
      </c>
      <c r="P453" s="296" t="s">
        <v>4060</v>
      </c>
      <c r="Q453" s="296" t="s">
        <v>183</v>
      </c>
      <c r="R453" s="296" t="s">
        <v>4061</v>
      </c>
      <c r="S453" s="296" t="s">
        <v>185</v>
      </c>
      <c r="T453" s="296" t="s">
        <v>185</v>
      </c>
      <c r="U453" s="296" t="s">
        <v>186</v>
      </c>
      <c r="V453" s="296" t="s">
        <v>187</v>
      </c>
      <c r="W453" s="296" t="s">
        <v>188</v>
      </c>
      <c r="X453" s="296" t="s">
        <v>189</v>
      </c>
      <c r="Y453" s="296" t="s">
        <v>183</v>
      </c>
      <c r="Z453" s="296" t="s">
        <v>183</v>
      </c>
      <c r="AA453" s="296" t="s">
        <v>183</v>
      </c>
      <c r="AB453" s="296" t="s">
        <v>183</v>
      </c>
      <c r="AC453" s="296" t="s">
        <v>4062</v>
      </c>
      <c r="AD453" s="296" t="s">
        <v>4063</v>
      </c>
      <c r="AE453" s="296" t="s">
        <v>192</v>
      </c>
      <c r="AF453" s="296" t="s">
        <v>193</v>
      </c>
      <c r="AG453" s="296">
        <v>0</v>
      </c>
      <c r="AH453" s="298">
        <v>45208</v>
      </c>
      <c r="AJ453" s="296" t="s">
        <v>194</v>
      </c>
      <c r="AK453" s="299">
        <f>COUNTIF($A$3:A$917,A453)</f>
        <v>1</v>
      </c>
    </row>
    <row r="454" spans="1:37" x14ac:dyDescent="0.25">
      <c r="A454" s="296">
        <v>503320489</v>
      </c>
      <c r="B454" s="296" t="s">
        <v>4064</v>
      </c>
      <c r="C454" s="296" t="s">
        <v>183</v>
      </c>
      <c r="D454" s="296" t="s">
        <v>183</v>
      </c>
      <c r="E454" s="296" t="s">
        <v>183</v>
      </c>
      <c r="F454" s="296" t="s">
        <v>4065</v>
      </c>
      <c r="G454" s="296" t="s">
        <v>4065</v>
      </c>
      <c r="H454" s="296" t="s">
        <v>4066</v>
      </c>
      <c r="I454" s="296" t="s">
        <v>3976</v>
      </c>
      <c r="J454" s="296" t="s">
        <v>4067</v>
      </c>
      <c r="K454" s="296" t="s">
        <v>4068</v>
      </c>
      <c r="L454" s="296" t="s">
        <v>4069</v>
      </c>
      <c r="M454" s="296" t="s">
        <v>179</v>
      </c>
      <c r="N454" s="296" t="s">
        <v>4070</v>
      </c>
      <c r="O454" s="296" t="s">
        <v>183</v>
      </c>
      <c r="P454" s="296" t="s">
        <v>4071</v>
      </c>
      <c r="Q454" s="296" t="s">
        <v>183</v>
      </c>
      <c r="R454" s="296" t="s">
        <v>4072</v>
      </c>
      <c r="S454" s="296" t="s">
        <v>185</v>
      </c>
      <c r="T454" s="296" t="s">
        <v>185</v>
      </c>
      <c r="U454" s="296" t="s">
        <v>186</v>
      </c>
      <c r="V454" s="296" t="s">
        <v>187</v>
      </c>
      <c r="W454" s="296" t="s">
        <v>188</v>
      </c>
      <c r="X454" s="296" t="s">
        <v>189</v>
      </c>
      <c r="Y454" s="296" t="s">
        <v>183</v>
      </c>
      <c r="Z454" s="296" t="s">
        <v>183</v>
      </c>
      <c r="AA454" s="296" t="s">
        <v>183</v>
      </c>
      <c r="AB454" s="296" t="s">
        <v>183</v>
      </c>
      <c r="AC454" s="296" t="s">
        <v>4073</v>
      </c>
      <c r="AD454" s="296" t="s">
        <v>4074</v>
      </c>
      <c r="AE454" s="296" t="s">
        <v>192</v>
      </c>
      <c r="AF454" s="296" t="s">
        <v>193</v>
      </c>
      <c r="AG454" s="296">
        <v>22384</v>
      </c>
      <c r="AH454" s="298">
        <v>44278</v>
      </c>
      <c r="AJ454" s="296" t="s">
        <v>194</v>
      </c>
      <c r="AK454" s="299">
        <f>COUNTIF($A$3:A$917,A454)</f>
        <v>1</v>
      </c>
    </row>
    <row r="455" spans="1:37" x14ac:dyDescent="0.25">
      <c r="A455" s="296">
        <v>504450443</v>
      </c>
      <c r="B455" s="296" t="s">
        <v>4075</v>
      </c>
      <c r="C455" s="296" t="s">
        <v>183</v>
      </c>
      <c r="D455" s="296" t="s">
        <v>183</v>
      </c>
      <c r="E455" s="296" t="s">
        <v>183</v>
      </c>
      <c r="F455" s="296" t="s">
        <v>4076</v>
      </c>
      <c r="G455" s="296" t="s">
        <v>4076</v>
      </c>
      <c r="H455" s="296" t="s">
        <v>4077</v>
      </c>
      <c r="I455" s="296" t="s">
        <v>3976</v>
      </c>
      <c r="J455" s="296" t="s">
        <v>4078</v>
      </c>
      <c r="K455" s="296" t="s">
        <v>4079</v>
      </c>
      <c r="L455" s="296" t="s">
        <v>4075</v>
      </c>
      <c r="M455" s="296" t="s">
        <v>179</v>
      </c>
      <c r="N455" s="296" t="s">
        <v>4076</v>
      </c>
      <c r="O455" s="296" t="s">
        <v>4076</v>
      </c>
      <c r="P455" s="296" t="s">
        <v>4077</v>
      </c>
      <c r="Q455" s="296" t="s">
        <v>183</v>
      </c>
      <c r="R455" s="296" t="s">
        <v>4080</v>
      </c>
      <c r="S455" s="296" t="s">
        <v>185</v>
      </c>
      <c r="T455" s="296" t="s">
        <v>185</v>
      </c>
      <c r="U455" s="296" t="s">
        <v>186</v>
      </c>
      <c r="V455" s="296" t="s">
        <v>187</v>
      </c>
      <c r="W455" s="296" t="s">
        <v>188</v>
      </c>
      <c r="X455" s="296" t="s">
        <v>404</v>
      </c>
      <c r="Y455" s="296" t="s">
        <v>183</v>
      </c>
      <c r="Z455" s="296" t="s">
        <v>183</v>
      </c>
      <c r="AA455" s="296" t="s">
        <v>183</v>
      </c>
      <c r="AB455" s="296" t="s">
        <v>183</v>
      </c>
      <c r="AC455" s="296" t="s">
        <v>4081</v>
      </c>
      <c r="AD455" s="296" t="s">
        <v>4082</v>
      </c>
      <c r="AE455" s="296" t="s">
        <v>192</v>
      </c>
      <c r="AF455" s="296" t="s">
        <v>193</v>
      </c>
      <c r="AG455" s="296">
        <v>0</v>
      </c>
      <c r="AH455" s="298">
        <v>45993</v>
      </c>
      <c r="AJ455" s="296" t="s">
        <v>194</v>
      </c>
      <c r="AK455" s="299">
        <f>COUNTIF($A$3:A$917,A455)</f>
        <v>1</v>
      </c>
    </row>
    <row r="456" spans="1:37" x14ac:dyDescent="0.25">
      <c r="A456" s="296">
        <v>502520500</v>
      </c>
      <c r="B456" s="296" t="s">
        <v>4083</v>
      </c>
      <c r="C456" s="296" t="s">
        <v>183</v>
      </c>
      <c r="D456" s="296" t="s">
        <v>183</v>
      </c>
      <c r="E456" s="296" t="s">
        <v>183</v>
      </c>
      <c r="F456" s="296" t="s">
        <v>4084</v>
      </c>
      <c r="G456" s="296" t="s">
        <v>183</v>
      </c>
      <c r="H456" s="296" t="s">
        <v>4085</v>
      </c>
      <c r="I456" s="296" t="s">
        <v>3976</v>
      </c>
      <c r="J456" s="296" t="s">
        <v>4086</v>
      </c>
      <c r="K456" s="296" t="s">
        <v>4087</v>
      </c>
      <c r="L456" s="296" t="s">
        <v>4088</v>
      </c>
      <c r="M456" s="296" t="s">
        <v>179</v>
      </c>
      <c r="N456" s="296" t="s">
        <v>3533</v>
      </c>
      <c r="O456" s="296" t="s">
        <v>278</v>
      </c>
      <c r="P456" s="296" t="s">
        <v>3535</v>
      </c>
      <c r="Q456" s="296" t="s">
        <v>183</v>
      </c>
      <c r="R456" s="296" t="s">
        <v>4089</v>
      </c>
      <c r="S456" s="296" t="s">
        <v>185</v>
      </c>
      <c r="T456" s="296" t="s">
        <v>185</v>
      </c>
      <c r="U456" s="296" t="s">
        <v>186</v>
      </c>
      <c r="V456" s="296" t="s">
        <v>187</v>
      </c>
      <c r="W456" s="296" t="s">
        <v>188</v>
      </c>
      <c r="X456" s="296" t="s">
        <v>189</v>
      </c>
      <c r="Y456" s="296" t="s">
        <v>183</v>
      </c>
      <c r="Z456" s="296" t="s">
        <v>183</v>
      </c>
      <c r="AA456" s="296" t="s">
        <v>183</v>
      </c>
      <c r="AB456" s="296" t="s">
        <v>183</v>
      </c>
      <c r="AC456" s="296" t="s">
        <v>4090</v>
      </c>
      <c r="AD456" s="296" t="s">
        <v>4091</v>
      </c>
      <c r="AE456" s="296" t="s">
        <v>192</v>
      </c>
      <c r="AF456" s="296" t="s">
        <v>193</v>
      </c>
      <c r="AG456" s="296">
        <v>0</v>
      </c>
      <c r="AH456" s="298">
        <v>45559</v>
      </c>
      <c r="AJ456" s="296" t="s">
        <v>194</v>
      </c>
      <c r="AK456" s="299">
        <f>COUNTIF($A$3:A$917,A456)</f>
        <v>1</v>
      </c>
    </row>
    <row r="457" spans="1:37" x14ac:dyDescent="0.25">
      <c r="A457" s="296">
        <v>501920118</v>
      </c>
      <c r="B457" s="296" t="s">
        <v>4092</v>
      </c>
      <c r="C457" s="296" t="s">
        <v>183</v>
      </c>
      <c r="D457" s="296" t="s">
        <v>183</v>
      </c>
      <c r="E457" s="296" t="s">
        <v>183</v>
      </c>
      <c r="F457" s="296" t="s">
        <v>4093</v>
      </c>
      <c r="G457" s="296" t="s">
        <v>183</v>
      </c>
      <c r="H457" s="296" t="s">
        <v>4094</v>
      </c>
      <c r="I457" s="296" t="s">
        <v>3976</v>
      </c>
      <c r="J457" s="296" t="s">
        <v>4095</v>
      </c>
      <c r="K457" s="296" t="s">
        <v>4096</v>
      </c>
      <c r="L457" s="296" t="s">
        <v>4097</v>
      </c>
      <c r="M457" s="296" t="s">
        <v>179</v>
      </c>
      <c r="N457" s="296" t="s">
        <v>4098</v>
      </c>
      <c r="O457" s="296" t="s">
        <v>4099</v>
      </c>
      <c r="P457" s="296" t="s">
        <v>4100</v>
      </c>
      <c r="Q457" s="296" t="s">
        <v>183</v>
      </c>
      <c r="R457" s="296" t="s">
        <v>4101</v>
      </c>
      <c r="S457" s="296" t="s">
        <v>185</v>
      </c>
      <c r="T457" s="296" t="s">
        <v>185</v>
      </c>
      <c r="U457" s="296" t="s">
        <v>186</v>
      </c>
      <c r="V457" s="296" t="s">
        <v>187</v>
      </c>
      <c r="W457" s="296" t="s">
        <v>188</v>
      </c>
      <c r="X457" s="296" t="s">
        <v>189</v>
      </c>
      <c r="Y457" s="296" t="s">
        <v>183</v>
      </c>
      <c r="Z457" s="296" t="s">
        <v>183</v>
      </c>
      <c r="AA457" s="296" t="s">
        <v>183</v>
      </c>
      <c r="AB457" s="296" t="s">
        <v>183</v>
      </c>
      <c r="AC457" s="296" t="s">
        <v>4102</v>
      </c>
      <c r="AD457" s="296" t="s">
        <v>4103</v>
      </c>
      <c r="AE457" s="296" t="s">
        <v>192</v>
      </c>
      <c r="AF457" s="296" t="s">
        <v>193</v>
      </c>
      <c r="AG457" s="296">
        <v>0</v>
      </c>
      <c r="AH457" s="298">
        <v>41453</v>
      </c>
      <c r="AJ457" s="296" t="s">
        <v>194</v>
      </c>
      <c r="AK457" s="299">
        <f>COUNTIF($A$3:A$917,A457)</f>
        <v>1</v>
      </c>
    </row>
    <row r="458" spans="1:37" x14ac:dyDescent="0.25">
      <c r="A458" s="296">
        <v>501810788</v>
      </c>
      <c r="B458" s="296" t="s">
        <v>4104</v>
      </c>
      <c r="C458" s="296" t="s">
        <v>183</v>
      </c>
      <c r="D458" s="296" t="s">
        <v>183</v>
      </c>
      <c r="E458" s="296" t="s">
        <v>183</v>
      </c>
      <c r="F458" s="296" t="s">
        <v>4105</v>
      </c>
      <c r="G458" s="296" t="s">
        <v>4106</v>
      </c>
      <c r="H458" s="296" t="s">
        <v>4107</v>
      </c>
      <c r="I458" s="296" t="s">
        <v>3976</v>
      </c>
      <c r="J458" s="296" t="s">
        <v>4108</v>
      </c>
      <c r="K458" s="296" t="s">
        <v>4109</v>
      </c>
      <c r="L458" s="296" t="s">
        <v>4104</v>
      </c>
      <c r="M458" s="296" t="s">
        <v>179</v>
      </c>
      <c r="N458" s="296" t="s">
        <v>4105</v>
      </c>
      <c r="O458" s="296" t="s">
        <v>4106</v>
      </c>
      <c r="P458" s="296" t="s">
        <v>4107</v>
      </c>
      <c r="Q458" s="296" t="s">
        <v>183</v>
      </c>
      <c r="R458" s="296" t="s">
        <v>4110</v>
      </c>
      <c r="S458" s="296" t="s">
        <v>185</v>
      </c>
      <c r="T458" s="296" t="s">
        <v>185</v>
      </c>
      <c r="U458" s="296" t="s">
        <v>186</v>
      </c>
      <c r="V458" s="296" t="s">
        <v>187</v>
      </c>
      <c r="W458" s="296" t="s">
        <v>188</v>
      </c>
      <c r="X458" s="296" t="s">
        <v>404</v>
      </c>
      <c r="Y458" s="296" t="s">
        <v>183</v>
      </c>
      <c r="Z458" s="296" t="s">
        <v>183</v>
      </c>
      <c r="AA458" s="296" t="s">
        <v>183</v>
      </c>
      <c r="AB458" s="296" t="s">
        <v>183</v>
      </c>
      <c r="AC458" s="296" t="s">
        <v>4111</v>
      </c>
      <c r="AD458" s="296" t="s">
        <v>4112</v>
      </c>
      <c r="AE458" s="296" t="s">
        <v>192</v>
      </c>
      <c r="AF458" s="296" t="s">
        <v>193</v>
      </c>
      <c r="AG458" s="296">
        <v>17043.75</v>
      </c>
      <c r="AH458" s="298">
        <v>42682</v>
      </c>
      <c r="AJ458" s="296" t="s">
        <v>194</v>
      </c>
      <c r="AK458" s="299">
        <f>COUNTIF($A$3:A$917,A458)</f>
        <v>2</v>
      </c>
    </row>
    <row r="459" spans="1:37" x14ac:dyDescent="0.25">
      <c r="A459" s="296">
        <v>602570445</v>
      </c>
      <c r="B459" s="296" t="s">
        <v>4113</v>
      </c>
      <c r="C459" s="296" t="s">
        <v>183</v>
      </c>
      <c r="D459" s="296" t="s">
        <v>183</v>
      </c>
      <c r="E459" s="296" t="s">
        <v>183</v>
      </c>
      <c r="F459" s="296" t="s">
        <v>4114</v>
      </c>
      <c r="G459" s="296" t="s">
        <v>278</v>
      </c>
      <c r="H459" s="296" t="s">
        <v>4115</v>
      </c>
      <c r="I459" s="296" t="s">
        <v>3976</v>
      </c>
      <c r="J459" s="296" t="s">
        <v>4116</v>
      </c>
      <c r="K459" s="296" t="s">
        <v>4117</v>
      </c>
      <c r="L459" s="296" t="s">
        <v>4113</v>
      </c>
      <c r="M459" s="296" t="s">
        <v>179</v>
      </c>
      <c r="N459" s="296" t="s">
        <v>4114</v>
      </c>
      <c r="O459" s="296" t="s">
        <v>278</v>
      </c>
      <c r="P459" s="296" t="s">
        <v>4115</v>
      </c>
      <c r="Q459" s="296" t="s">
        <v>183</v>
      </c>
      <c r="R459" s="296" t="s">
        <v>4118</v>
      </c>
      <c r="S459" s="296" t="s">
        <v>185</v>
      </c>
      <c r="T459" s="296" t="s">
        <v>185</v>
      </c>
      <c r="U459" s="296" t="s">
        <v>186</v>
      </c>
      <c r="V459" s="296" t="s">
        <v>187</v>
      </c>
      <c r="W459" s="296" t="s">
        <v>188</v>
      </c>
      <c r="X459" s="296" t="s">
        <v>188</v>
      </c>
      <c r="Y459" s="296" t="s">
        <v>183</v>
      </c>
      <c r="Z459" s="296" t="s">
        <v>183</v>
      </c>
      <c r="AA459" s="296" t="s">
        <v>183</v>
      </c>
      <c r="AB459" s="296" t="s">
        <v>183</v>
      </c>
      <c r="AC459" s="296" t="s">
        <v>4119</v>
      </c>
      <c r="AD459" s="296" t="s">
        <v>4120</v>
      </c>
      <c r="AE459" s="296" t="s">
        <v>192</v>
      </c>
      <c r="AF459" s="296" t="s">
        <v>193</v>
      </c>
      <c r="AG459" s="296">
        <v>16730.5</v>
      </c>
      <c r="AH459" s="298">
        <v>41431</v>
      </c>
      <c r="AJ459" s="296" t="s">
        <v>194</v>
      </c>
      <c r="AK459" s="299">
        <f>COUNTIF($A$3:A$917,A459)</f>
        <v>1</v>
      </c>
    </row>
    <row r="460" spans="1:37" x14ac:dyDescent="0.25">
      <c r="A460" s="296">
        <v>3101247326</v>
      </c>
      <c r="B460" s="296" t="s">
        <v>4121</v>
      </c>
      <c r="C460" s="296" t="s">
        <v>183</v>
      </c>
      <c r="D460" s="296" t="s">
        <v>183</v>
      </c>
      <c r="E460" s="296" t="s">
        <v>183</v>
      </c>
      <c r="F460" s="296" t="s">
        <v>4122</v>
      </c>
      <c r="G460" s="296" t="s">
        <v>4123</v>
      </c>
      <c r="H460" s="296" t="s">
        <v>4124</v>
      </c>
      <c r="I460" s="296" t="s">
        <v>3976</v>
      </c>
      <c r="J460" s="296" t="s">
        <v>4125</v>
      </c>
      <c r="K460" s="296" t="s">
        <v>4126</v>
      </c>
      <c r="L460" s="296" t="s">
        <v>4127</v>
      </c>
      <c r="M460" s="296" t="s">
        <v>503</v>
      </c>
      <c r="N460" s="296" t="s">
        <v>4128</v>
      </c>
      <c r="O460" s="296" t="s">
        <v>183</v>
      </c>
      <c r="P460" s="296" t="s">
        <v>4129</v>
      </c>
      <c r="Q460" s="296" t="s">
        <v>183</v>
      </c>
      <c r="R460" s="296" t="s">
        <v>4130</v>
      </c>
      <c r="S460" s="296" t="s">
        <v>185</v>
      </c>
      <c r="T460" s="296" t="s">
        <v>185</v>
      </c>
      <c r="U460" s="296" t="s">
        <v>186</v>
      </c>
      <c r="V460" s="296" t="s">
        <v>187</v>
      </c>
      <c r="W460" s="296" t="s">
        <v>188</v>
      </c>
      <c r="X460" s="296" t="s">
        <v>256</v>
      </c>
      <c r="Y460" s="296" t="s">
        <v>183</v>
      </c>
      <c r="Z460" s="296" t="s">
        <v>183</v>
      </c>
      <c r="AA460" s="296" t="s">
        <v>183</v>
      </c>
      <c r="AB460" s="296" t="s">
        <v>183</v>
      </c>
      <c r="AC460" s="296" t="s">
        <v>4131</v>
      </c>
      <c r="AD460" s="296" t="s">
        <v>4132</v>
      </c>
      <c r="AE460" s="296" t="s">
        <v>192</v>
      </c>
      <c r="AF460" s="296" t="s">
        <v>193</v>
      </c>
      <c r="AG460" s="296">
        <v>0</v>
      </c>
      <c r="AH460" s="298">
        <v>36560</v>
      </c>
      <c r="AJ460" s="296" t="s">
        <v>194</v>
      </c>
      <c r="AK460" s="299">
        <f>COUNTIF($A$3:A$917,A460)</f>
        <v>2</v>
      </c>
    </row>
    <row r="461" spans="1:37" x14ac:dyDescent="0.25">
      <c r="A461" s="296">
        <v>501840794</v>
      </c>
      <c r="B461" s="296" t="s">
        <v>4133</v>
      </c>
      <c r="C461" s="296" t="s">
        <v>183</v>
      </c>
      <c r="D461" s="296" t="s">
        <v>183</v>
      </c>
      <c r="E461" s="296" t="s">
        <v>183</v>
      </c>
      <c r="F461" s="296" t="s">
        <v>4134</v>
      </c>
      <c r="G461" s="296" t="s">
        <v>4134</v>
      </c>
      <c r="H461" s="296" t="s">
        <v>4135</v>
      </c>
      <c r="I461" s="296" t="s">
        <v>3976</v>
      </c>
      <c r="J461" s="296" t="s">
        <v>4136</v>
      </c>
      <c r="K461" s="296" t="s">
        <v>4137</v>
      </c>
      <c r="L461" s="296" t="s">
        <v>4133</v>
      </c>
      <c r="M461" s="296" t="s">
        <v>179</v>
      </c>
      <c r="N461" s="296" t="s">
        <v>4134</v>
      </c>
      <c r="O461" s="296" t="s">
        <v>4134</v>
      </c>
      <c r="P461" s="296" t="s">
        <v>4135</v>
      </c>
      <c r="Q461" s="296" t="s">
        <v>183</v>
      </c>
      <c r="R461" s="296" t="s">
        <v>4138</v>
      </c>
      <c r="S461" s="296" t="s">
        <v>185</v>
      </c>
      <c r="T461" s="296" t="s">
        <v>185</v>
      </c>
      <c r="U461" s="296" t="s">
        <v>186</v>
      </c>
      <c r="V461" s="296" t="s">
        <v>187</v>
      </c>
      <c r="W461" s="296" t="s">
        <v>188</v>
      </c>
      <c r="X461" s="296" t="s">
        <v>246</v>
      </c>
      <c r="Y461" s="296" t="s">
        <v>183</v>
      </c>
      <c r="Z461" s="296" t="s">
        <v>183</v>
      </c>
      <c r="AA461" s="296" t="s">
        <v>183</v>
      </c>
      <c r="AB461" s="296" t="s">
        <v>183</v>
      </c>
      <c r="AC461" s="296" t="s">
        <v>4139</v>
      </c>
      <c r="AD461" s="296" t="s">
        <v>4140</v>
      </c>
      <c r="AE461" s="296" t="s">
        <v>192</v>
      </c>
      <c r="AF461" s="296" t="s">
        <v>193</v>
      </c>
      <c r="AG461" s="296">
        <v>30829.5</v>
      </c>
      <c r="AH461" s="298">
        <v>36648</v>
      </c>
      <c r="AJ461" s="296" t="s">
        <v>194</v>
      </c>
      <c r="AK461" s="299">
        <f>COUNTIF($A$3:A$917,A461)</f>
        <v>1</v>
      </c>
    </row>
    <row r="462" spans="1:37" x14ac:dyDescent="0.25">
      <c r="A462" s="296">
        <v>305140371</v>
      </c>
      <c r="B462" s="296" t="s">
        <v>2732</v>
      </c>
      <c r="C462" s="296" t="s">
        <v>183</v>
      </c>
      <c r="D462" s="296" t="s">
        <v>183</v>
      </c>
      <c r="E462" s="296" t="s">
        <v>183</v>
      </c>
      <c r="F462" s="296" t="s">
        <v>2733</v>
      </c>
      <c r="G462" s="296" t="s">
        <v>2733</v>
      </c>
      <c r="H462" s="296" t="s">
        <v>2734</v>
      </c>
      <c r="I462" s="296" t="s">
        <v>3976</v>
      </c>
      <c r="J462" s="296" t="s">
        <v>2735</v>
      </c>
      <c r="K462" s="296" t="s">
        <v>637</v>
      </c>
      <c r="L462" s="296" t="s">
        <v>638</v>
      </c>
      <c r="M462" s="296" t="s">
        <v>179</v>
      </c>
      <c r="N462" s="296" t="s">
        <v>639</v>
      </c>
      <c r="O462" s="296" t="s">
        <v>639</v>
      </c>
      <c r="P462" s="296" t="s">
        <v>640</v>
      </c>
      <c r="Q462" s="296" t="s">
        <v>183</v>
      </c>
      <c r="R462" s="296" t="s">
        <v>641</v>
      </c>
      <c r="S462" s="296" t="s">
        <v>185</v>
      </c>
      <c r="T462" s="296" t="s">
        <v>185</v>
      </c>
      <c r="U462" s="296" t="s">
        <v>186</v>
      </c>
      <c r="V462" s="296" t="s">
        <v>187</v>
      </c>
      <c r="W462" s="296" t="s">
        <v>188</v>
      </c>
      <c r="X462" s="296" t="s">
        <v>189</v>
      </c>
      <c r="Y462" s="296" t="s">
        <v>183</v>
      </c>
      <c r="Z462" s="296" t="s">
        <v>183</v>
      </c>
      <c r="AA462" s="296" t="s">
        <v>183</v>
      </c>
      <c r="AB462" s="296" t="s">
        <v>183</v>
      </c>
      <c r="AC462" s="296" t="s">
        <v>642</v>
      </c>
      <c r="AD462" s="296" t="s">
        <v>4141</v>
      </c>
      <c r="AE462" s="296" t="s">
        <v>192</v>
      </c>
      <c r="AF462" s="296" t="s">
        <v>193</v>
      </c>
      <c r="AG462" s="296">
        <v>0</v>
      </c>
      <c r="AH462" s="298">
        <v>45966</v>
      </c>
      <c r="AJ462" s="296" t="s">
        <v>194</v>
      </c>
      <c r="AK462" s="299">
        <f>COUNTIF($A$3:A$917,A462)</f>
        <v>2</v>
      </c>
    </row>
    <row r="463" spans="1:37" x14ac:dyDescent="0.25">
      <c r="A463" s="296">
        <v>602540843</v>
      </c>
      <c r="B463" s="296" t="s">
        <v>4142</v>
      </c>
      <c r="C463" s="296" t="s">
        <v>183</v>
      </c>
      <c r="D463" s="296" t="s">
        <v>183</v>
      </c>
      <c r="E463" s="296" t="s">
        <v>183</v>
      </c>
      <c r="F463" s="296" t="s">
        <v>4143</v>
      </c>
      <c r="G463" s="296" t="s">
        <v>183</v>
      </c>
      <c r="H463" s="296" t="s">
        <v>4144</v>
      </c>
      <c r="I463" s="296" t="s">
        <v>4145</v>
      </c>
      <c r="J463" s="296" t="s">
        <v>4146</v>
      </c>
      <c r="K463" s="296" t="s">
        <v>3574</v>
      </c>
      <c r="L463" s="296" t="s">
        <v>3575</v>
      </c>
      <c r="M463" s="296" t="s">
        <v>179</v>
      </c>
      <c r="N463" s="296" t="s">
        <v>3576</v>
      </c>
      <c r="O463" s="296" t="s">
        <v>3570</v>
      </c>
      <c r="P463" s="296" t="s">
        <v>3571</v>
      </c>
      <c r="Q463" s="296" t="s">
        <v>183</v>
      </c>
      <c r="R463" s="296" t="s">
        <v>3577</v>
      </c>
      <c r="S463" s="296" t="s">
        <v>185</v>
      </c>
      <c r="T463" s="296" t="s">
        <v>185</v>
      </c>
      <c r="U463" s="296" t="s">
        <v>186</v>
      </c>
      <c r="V463" s="296" t="s">
        <v>187</v>
      </c>
      <c r="W463" s="296" t="s">
        <v>188</v>
      </c>
      <c r="X463" s="296" t="s">
        <v>189</v>
      </c>
      <c r="Y463" s="296" t="s">
        <v>183</v>
      </c>
      <c r="Z463" s="296" t="s">
        <v>183</v>
      </c>
      <c r="AA463" s="296" t="s">
        <v>183</v>
      </c>
      <c r="AB463" s="296" t="s">
        <v>183</v>
      </c>
      <c r="AC463" s="296" t="s">
        <v>3578</v>
      </c>
      <c r="AD463" s="296" t="s">
        <v>4147</v>
      </c>
      <c r="AE463" s="296" t="s">
        <v>192</v>
      </c>
      <c r="AF463" s="296" t="s">
        <v>193</v>
      </c>
      <c r="AG463" s="296">
        <v>0</v>
      </c>
      <c r="AH463" s="298">
        <v>45966</v>
      </c>
      <c r="AJ463" s="296" t="s">
        <v>194</v>
      </c>
      <c r="AK463" s="299">
        <f>COUNTIF($A$3:A$917,A463)</f>
        <v>1</v>
      </c>
    </row>
    <row r="464" spans="1:37" x14ac:dyDescent="0.25">
      <c r="A464" s="296">
        <v>117000526525</v>
      </c>
      <c r="B464" s="296" t="s">
        <v>4148</v>
      </c>
      <c r="C464" s="296" t="s">
        <v>183</v>
      </c>
      <c r="D464" s="296" t="s">
        <v>183</v>
      </c>
      <c r="E464" s="296" t="s">
        <v>183</v>
      </c>
      <c r="F464" s="296" t="s">
        <v>4149</v>
      </c>
      <c r="G464" s="296" t="s">
        <v>4149</v>
      </c>
      <c r="H464" s="296" t="s">
        <v>4150</v>
      </c>
      <c r="I464" s="296" t="s">
        <v>4145</v>
      </c>
      <c r="J464" s="296" t="s">
        <v>4151</v>
      </c>
      <c r="K464" s="296" t="s">
        <v>4152</v>
      </c>
      <c r="L464" s="296" t="s">
        <v>4153</v>
      </c>
      <c r="M464" s="296" t="s">
        <v>179</v>
      </c>
      <c r="N464" s="296" t="s">
        <v>4154</v>
      </c>
      <c r="O464" s="296" t="s">
        <v>183</v>
      </c>
      <c r="P464" s="296" t="s">
        <v>4155</v>
      </c>
      <c r="Q464" s="296" t="s">
        <v>183</v>
      </c>
      <c r="R464" s="296" t="s">
        <v>4156</v>
      </c>
      <c r="S464" s="296" t="s">
        <v>185</v>
      </c>
      <c r="T464" s="296" t="s">
        <v>185</v>
      </c>
      <c r="U464" s="296" t="s">
        <v>186</v>
      </c>
      <c r="V464" s="296" t="s">
        <v>187</v>
      </c>
      <c r="W464" s="296" t="s">
        <v>188</v>
      </c>
      <c r="X464" s="296" t="s">
        <v>189</v>
      </c>
      <c r="Y464" s="296" t="s">
        <v>183</v>
      </c>
      <c r="Z464" s="296" t="s">
        <v>183</v>
      </c>
      <c r="AA464" s="296" t="s">
        <v>183</v>
      </c>
      <c r="AB464" s="296" t="s">
        <v>183</v>
      </c>
      <c r="AC464" s="296" t="s">
        <v>4157</v>
      </c>
      <c r="AD464" s="296" t="s">
        <v>4158</v>
      </c>
      <c r="AE464" s="296" t="s">
        <v>192</v>
      </c>
      <c r="AF464" s="296" t="s">
        <v>193</v>
      </c>
      <c r="AG464" s="296">
        <v>0</v>
      </c>
      <c r="AH464" s="298">
        <v>44494</v>
      </c>
      <c r="AJ464" s="296" t="s">
        <v>194</v>
      </c>
      <c r="AK464" s="299">
        <f>COUNTIF($A$3:A$917,A464)</f>
        <v>1</v>
      </c>
    </row>
    <row r="465" spans="1:37" x14ac:dyDescent="0.25">
      <c r="A465" s="296">
        <v>114160740</v>
      </c>
      <c r="B465" s="296" t="s">
        <v>4159</v>
      </c>
      <c r="C465" s="296" t="s">
        <v>183</v>
      </c>
      <c r="D465" s="296" t="s">
        <v>183</v>
      </c>
      <c r="E465" s="296" t="s">
        <v>183</v>
      </c>
      <c r="F465" s="296" t="s">
        <v>4160</v>
      </c>
      <c r="G465" s="296" t="s">
        <v>183</v>
      </c>
      <c r="H465" s="296" t="s">
        <v>4161</v>
      </c>
      <c r="I465" s="296" t="s">
        <v>4145</v>
      </c>
      <c r="J465" s="296" t="s">
        <v>4162</v>
      </c>
      <c r="K465" s="296" t="s">
        <v>4163</v>
      </c>
      <c r="L465" s="296" t="s">
        <v>4164</v>
      </c>
      <c r="M465" s="296" t="s">
        <v>179</v>
      </c>
      <c r="N465" s="296" t="s">
        <v>1643</v>
      </c>
      <c r="O465" s="296" t="s">
        <v>183</v>
      </c>
      <c r="P465" s="296" t="s">
        <v>4165</v>
      </c>
      <c r="Q465" s="296" t="s">
        <v>183</v>
      </c>
      <c r="R465" s="296" t="s">
        <v>4166</v>
      </c>
      <c r="S465" s="296" t="s">
        <v>185</v>
      </c>
      <c r="T465" s="296" t="s">
        <v>185</v>
      </c>
      <c r="U465" s="296" t="s">
        <v>186</v>
      </c>
      <c r="V465" s="296" t="s">
        <v>187</v>
      </c>
      <c r="W465" s="296" t="s">
        <v>188</v>
      </c>
      <c r="X465" s="296" t="s">
        <v>189</v>
      </c>
      <c r="Y465" s="296" t="s">
        <v>183</v>
      </c>
      <c r="Z465" s="296" t="s">
        <v>183</v>
      </c>
      <c r="AA465" s="296" t="s">
        <v>183</v>
      </c>
      <c r="AB465" s="296" t="s">
        <v>183</v>
      </c>
      <c r="AC465" s="296" t="s">
        <v>4167</v>
      </c>
      <c r="AD465" s="296" t="s">
        <v>4168</v>
      </c>
      <c r="AE465" s="296" t="s">
        <v>192</v>
      </c>
      <c r="AF465" s="296" t="s">
        <v>193</v>
      </c>
      <c r="AG465" s="296">
        <v>0</v>
      </c>
      <c r="AH465" s="298">
        <v>44740</v>
      </c>
      <c r="AJ465" s="296" t="s">
        <v>194</v>
      </c>
      <c r="AK465" s="299">
        <f>COUNTIF($A$3:A$917,A465)</f>
        <v>1</v>
      </c>
    </row>
    <row r="466" spans="1:37" x14ac:dyDescent="0.25">
      <c r="A466" s="296">
        <v>503770199</v>
      </c>
      <c r="B466" s="296" t="s">
        <v>4169</v>
      </c>
      <c r="C466" s="296" t="s">
        <v>183</v>
      </c>
      <c r="D466" s="296" t="s">
        <v>183</v>
      </c>
      <c r="E466" s="296" t="s">
        <v>183</v>
      </c>
      <c r="F466" s="296" t="s">
        <v>4170</v>
      </c>
      <c r="G466" s="296" t="s">
        <v>4171</v>
      </c>
      <c r="H466" s="296" t="s">
        <v>4172</v>
      </c>
      <c r="I466" s="296" t="s">
        <v>4145</v>
      </c>
      <c r="J466" s="296" t="s">
        <v>4173</v>
      </c>
      <c r="K466" s="296" t="s">
        <v>4174</v>
      </c>
      <c r="L466" s="296" t="s">
        <v>4175</v>
      </c>
      <c r="M466" s="296" t="s">
        <v>179</v>
      </c>
      <c r="N466" s="296" t="s">
        <v>4176</v>
      </c>
      <c r="O466" s="296" t="s">
        <v>4177</v>
      </c>
      <c r="P466" s="296" t="s">
        <v>4178</v>
      </c>
      <c r="Q466" s="296" t="s">
        <v>183</v>
      </c>
      <c r="R466" s="296" t="s">
        <v>4179</v>
      </c>
      <c r="S466" s="296" t="s">
        <v>185</v>
      </c>
      <c r="T466" s="296" t="s">
        <v>185</v>
      </c>
      <c r="U466" s="296" t="s">
        <v>186</v>
      </c>
      <c r="V466" s="296" t="s">
        <v>187</v>
      </c>
      <c r="W466" s="296" t="s">
        <v>188</v>
      </c>
      <c r="X466" s="296" t="s">
        <v>189</v>
      </c>
      <c r="Y466" s="296" t="s">
        <v>183</v>
      </c>
      <c r="Z466" s="296" t="s">
        <v>183</v>
      </c>
      <c r="AA466" s="296" t="s">
        <v>183</v>
      </c>
      <c r="AB466" s="296" t="s">
        <v>183</v>
      </c>
      <c r="AC466" s="296" t="s">
        <v>4180</v>
      </c>
      <c r="AD466" s="296" t="s">
        <v>4181</v>
      </c>
      <c r="AE466" s="296" t="s">
        <v>192</v>
      </c>
      <c r="AF466" s="296" t="s">
        <v>193</v>
      </c>
      <c r="AG466" s="296">
        <v>0</v>
      </c>
      <c r="AH466" s="298">
        <v>45218</v>
      </c>
      <c r="AJ466" s="296" t="s">
        <v>194</v>
      </c>
      <c r="AK466" s="299">
        <f>COUNTIF($A$3:A$917,A466)</f>
        <v>1</v>
      </c>
    </row>
    <row r="467" spans="1:37" x14ac:dyDescent="0.25">
      <c r="A467" s="296">
        <v>401470601</v>
      </c>
      <c r="B467" s="296" t="s">
        <v>4182</v>
      </c>
      <c r="C467" s="296" t="s">
        <v>183</v>
      </c>
      <c r="D467" s="296" t="s">
        <v>183</v>
      </c>
      <c r="E467" s="296" t="s">
        <v>183</v>
      </c>
      <c r="F467" s="296" t="s">
        <v>4183</v>
      </c>
      <c r="G467" s="296" t="s">
        <v>4183</v>
      </c>
      <c r="H467" s="296" t="s">
        <v>4184</v>
      </c>
      <c r="I467" s="296" t="s">
        <v>4145</v>
      </c>
      <c r="J467" s="296" t="s">
        <v>4185</v>
      </c>
      <c r="K467" s="296" t="s">
        <v>4186</v>
      </c>
      <c r="L467" s="296" t="s">
        <v>4182</v>
      </c>
      <c r="M467" s="296" t="s">
        <v>179</v>
      </c>
      <c r="N467" s="296" t="s">
        <v>4183</v>
      </c>
      <c r="O467" s="296" t="s">
        <v>4183</v>
      </c>
      <c r="P467" s="296" t="s">
        <v>4184</v>
      </c>
      <c r="Q467" s="296" t="s">
        <v>183</v>
      </c>
      <c r="R467" s="296" t="s">
        <v>4187</v>
      </c>
      <c r="S467" s="296" t="s">
        <v>185</v>
      </c>
      <c r="T467" s="296" t="s">
        <v>185</v>
      </c>
      <c r="U467" s="296" t="s">
        <v>186</v>
      </c>
      <c r="V467" s="296" t="s">
        <v>187</v>
      </c>
      <c r="W467" s="296" t="s">
        <v>188</v>
      </c>
      <c r="X467" s="296" t="s">
        <v>189</v>
      </c>
      <c r="Y467" s="296" t="s">
        <v>183</v>
      </c>
      <c r="Z467" s="296" t="s">
        <v>183</v>
      </c>
      <c r="AA467" s="296" t="s">
        <v>183</v>
      </c>
      <c r="AB467" s="296" t="s">
        <v>183</v>
      </c>
      <c r="AC467" s="296" t="s">
        <v>4188</v>
      </c>
      <c r="AD467" s="296" t="s">
        <v>4189</v>
      </c>
      <c r="AE467" s="296" t="s">
        <v>192</v>
      </c>
      <c r="AF467" s="296" t="s">
        <v>193</v>
      </c>
      <c r="AG467" s="296">
        <v>0</v>
      </c>
      <c r="AH467" s="298">
        <v>44501</v>
      </c>
      <c r="AJ467" s="296" t="s">
        <v>194</v>
      </c>
      <c r="AK467" s="299">
        <f>COUNTIF($A$3:A$917,A467)</f>
        <v>1</v>
      </c>
    </row>
    <row r="468" spans="1:37" x14ac:dyDescent="0.25">
      <c r="A468" s="296">
        <v>3101665793</v>
      </c>
      <c r="B468" s="296" t="s">
        <v>945</v>
      </c>
      <c r="C468" s="296" t="s">
        <v>183</v>
      </c>
      <c r="D468" s="296" t="s">
        <v>183</v>
      </c>
      <c r="E468" s="296" t="s">
        <v>183</v>
      </c>
      <c r="F468" s="296" t="s">
        <v>946</v>
      </c>
      <c r="G468" s="296" t="s">
        <v>947</v>
      </c>
      <c r="H468" s="296" t="s">
        <v>948</v>
      </c>
      <c r="I468" s="296" t="s">
        <v>4145</v>
      </c>
      <c r="J468" s="296" t="s">
        <v>4190</v>
      </c>
      <c r="K468" s="296" t="s">
        <v>951</v>
      </c>
      <c r="L468" s="296" t="s">
        <v>952</v>
      </c>
      <c r="M468" s="296" t="s">
        <v>179</v>
      </c>
      <c r="N468" s="296" t="s">
        <v>953</v>
      </c>
      <c r="O468" s="296" t="s">
        <v>954</v>
      </c>
      <c r="P468" s="296" t="s">
        <v>948</v>
      </c>
      <c r="Q468" s="296" t="s">
        <v>183</v>
      </c>
      <c r="R468" s="296" t="s">
        <v>955</v>
      </c>
      <c r="S468" s="296" t="s">
        <v>185</v>
      </c>
      <c r="T468" s="296" t="s">
        <v>185</v>
      </c>
      <c r="U468" s="296" t="s">
        <v>186</v>
      </c>
      <c r="V468" s="296" t="s">
        <v>187</v>
      </c>
      <c r="W468" s="296" t="s">
        <v>188</v>
      </c>
      <c r="X468" s="296" t="s">
        <v>224</v>
      </c>
      <c r="Y468" s="296" t="s">
        <v>183</v>
      </c>
      <c r="Z468" s="296" t="s">
        <v>183</v>
      </c>
      <c r="AA468" s="296" t="s">
        <v>183</v>
      </c>
      <c r="AB468" s="296" t="s">
        <v>183</v>
      </c>
      <c r="AC468" s="296" t="s">
        <v>956</v>
      </c>
      <c r="AD468" s="296" t="s">
        <v>4191</v>
      </c>
      <c r="AE468" s="296" t="s">
        <v>192</v>
      </c>
      <c r="AF468" s="296" t="s">
        <v>193</v>
      </c>
      <c r="AG468" s="296">
        <v>0</v>
      </c>
      <c r="AH468" s="298">
        <v>45412</v>
      </c>
      <c r="AJ468" s="296" t="s">
        <v>194</v>
      </c>
      <c r="AK468" s="299">
        <f>COUNTIF($A$3:A$917,A468)</f>
        <v>7</v>
      </c>
    </row>
    <row r="469" spans="1:37" x14ac:dyDescent="0.25">
      <c r="A469" s="296">
        <v>504260137</v>
      </c>
      <c r="B469" s="296" t="s">
        <v>4192</v>
      </c>
      <c r="C469" s="296" t="s">
        <v>183</v>
      </c>
      <c r="D469" s="296" t="s">
        <v>183</v>
      </c>
      <c r="E469" s="296" t="s">
        <v>183</v>
      </c>
      <c r="F469" s="296" t="s">
        <v>4193</v>
      </c>
      <c r="G469" s="296" t="s">
        <v>183</v>
      </c>
      <c r="H469" s="296" t="s">
        <v>4194</v>
      </c>
      <c r="I469" s="296" t="s">
        <v>4145</v>
      </c>
      <c r="J469" s="296" t="s">
        <v>4195</v>
      </c>
      <c r="K469" s="296" t="s">
        <v>4196</v>
      </c>
      <c r="L469" s="296" t="s">
        <v>4197</v>
      </c>
      <c r="M469" s="296" t="s">
        <v>179</v>
      </c>
      <c r="N469" s="296" t="s">
        <v>4198</v>
      </c>
      <c r="O469" s="296" t="s">
        <v>4198</v>
      </c>
      <c r="P469" s="296" t="s">
        <v>4199</v>
      </c>
      <c r="Q469" s="296" t="s">
        <v>183</v>
      </c>
      <c r="R469" s="296" t="s">
        <v>4200</v>
      </c>
      <c r="S469" s="296" t="s">
        <v>185</v>
      </c>
      <c r="T469" s="296" t="s">
        <v>185</v>
      </c>
      <c r="U469" s="296" t="s">
        <v>186</v>
      </c>
      <c r="V469" s="296" t="s">
        <v>187</v>
      </c>
      <c r="W469" s="296" t="s">
        <v>188</v>
      </c>
      <c r="X469" s="296" t="s">
        <v>189</v>
      </c>
      <c r="Y469" s="296" t="s">
        <v>183</v>
      </c>
      <c r="Z469" s="296" t="s">
        <v>183</v>
      </c>
      <c r="AA469" s="296" t="s">
        <v>183</v>
      </c>
      <c r="AB469" s="296" t="s">
        <v>183</v>
      </c>
      <c r="AC469" s="296" t="s">
        <v>4201</v>
      </c>
      <c r="AD469" s="296" t="s">
        <v>4202</v>
      </c>
      <c r="AE469" s="296" t="s">
        <v>192</v>
      </c>
      <c r="AF469" s="296" t="s">
        <v>193</v>
      </c>
      <c r="AG469" s="296">
        <v>0</v>
      </c>
      <c r="AH469" s="298">
        <v>45939</v>
      </c>
      <c r="AJ469" s="296" t="s">
        <v>194</v>
      </c>
      <c r="AK469" s="299">
        <f>COUNTIF($A$3:A$917,A469)</f>
        <v>1</v>
      </c>
    </row>
    <row r="470" spans="1:37" x14ac:dyDescent="0.25">
      <c r="A470" s="337">
        <v>503170889</v>
      </c>
      <c r="B470" s="296" t="s">
        <v>4203</v>
      </c>
      <c r="C470" s="296" t="s">
        <v>183</v>
      </c>
      <c r="D470" s="296" t="s">
        <v>183</v>
      </c>
      <c r="E470" s="296" t="s">
        <v>183</v>
      </c>
      <c r="F470" s="296" t="s">
        <v>4204</v>
      </c>
      <c r="G470" s="296" t="s">
        <v>4204</v>
      </c>
      <c r="H470" s="296" t="s">
        <v>4205</v>
      </c>
      <c r="I470" s="296" t="s">
        <v>4206</v>
      </c>
      <c r="J470" s="296" t="s">
        <v>4207</v>
      </c>
      <c r="K470" s="296" t="s">
        <v>183</v>
      </c>
      <c r="L470" s="296" t="s">
        <v>183</v>
      </c>
      <c r="M470" s="296" t="s">
        <v>183</v>
      </c>
      <c r="N470" s="296" t="s">
        <v>1353</v>
      </c>
      <c r="O470" s="296" t="s">
        <v>183</v>
      </c>
      <c r="P470" s="296" t="s">
        <v>183</v>
      </c>
      <c r="Q470" s="296" t="s">
        <v>183</v>
      </c>
      <c r="R470" s="296" t="s">
        <v>183</v>
      </c>
      <c r="S470" s="296" t="s">
        <v>183</v>
      </c>
      <c r="T470" s="296" t="s">
        <v>183</v>
      </c>
      <c r="U470" s="296" t="s">
        <v>183</v>
      </c>
      <c r="V470" s="296" t="s">
        <v>183</v>
      </c>
      <c r="W470" s="296" t="s">
        <v>183</v>
      </c>
      <c r="X470" s="296" t="s">
        <v>183</v>
      </c>
      <c r="Y470" s="296" t="s">
        <v>183</v>
      </c>
      <c r="Z470" s="296" t="s">
        <v>183</v>
      </c>
      <c r="AA470" s="296" t="s">
        <v>183</v>
      </c>
      <c r="AB470" s="296" t="s">
        <v>183</v>
      </c>
      <c r="AC470" s="296" t="s">
        <v>183</v>
      </c>
      <c r="AD470" s="296" t="s">
        <v>4208</v>
      </c>
      <c r="AE470" s="296" t="s">
        <v>192</v>
      </c>
      <c r="AF470" s="296" t="s">
        <v>193</v>
      </c>
      <c r="AG470" s="296">
        <v>0</v>
      </c>
      <c r="AH470" s="298">
        <v>45350</v>
      </c>
      <c r="AJ470" s="296" t="s">
        <v>194</v>
      </c>
      <c r="AK470" s="299">
        <f>COUNTIF($A$3:A$917,A470)</f>
        <v>1</v>
      </c>
    </row>
    <row r="471" spans="1:37" x14ac:dyDescent="0.25">
      <c r="A471" s="296">
        <v>207690647</v>
      </c>
      <c r="B471" s="296" t="s">
        <v>4209</v>
      </c>
      <c r="C471" s="296" t="s">
        <v>183</v>
      </c>
      <c r="D471" s="296" t="s">
        <v>183</v>
      </c>
      <c r="E471" s="296" t="s">
        <v>183</v>
      </c>
      <c r="F471" s="296" t="s">
        <v>4210</v>
      </c>
      <c r="G471" s="296" t="s">
        <v>183</v>
      </c>
      <c r="H471" s="296" t="s">
        <v>4211</v>
      </c>
      <c r="I471" s="296" t="s">
        <v>4206</v>
      </c>
      <c r="J471" s="296" t="s">
        <v>4212</v>
      </c>
      <c r="K471" s="296" t="s">
        <v>183</v>
      </c>
      <c r="L471" s="296" t="s">
        <v>183</v>
      </c>
      <c r="M471" s="296" t="s">
        <v>183</v>
      </c>
      <c r="N471" s="296" t="s">
        <v>1811</v>
      </c>
      <c r="O471" s="296" t="s">
        <v>183</v>
      </c>
      <c r="P471" s="296" t="s">
        <v>183</v>
      </c>
      <c r="Q471" s="296" t="s">
        <v>183</v>
      </c>
      <c r="R471" s="296" t="s">
        <v>183</v>
      </c>
      <c r="S471" s="296" t="s">
        <v>183</v>
      </c>
      <c r="T471" s="296" t="s">
        <v>183</v>
      </c>
      <c r="U471" s="296" t="s">
        <v>183</v>
      </c>
      <c r="V471" s="296" t="s">
        <v>183</v>
      </c>
      <c r="W471" s="296" t="s">
        <v>183</v>
      </c>
      <c r="X471" s="296" t="s">
        <v>183</v>
      </c>
      <c r="Y471" s="296" t="s">
        <v>183</v>
      </c>
      <c r="Z471" s="296" t="s">
        <v>183</v>
      </c>
      <c r="AA471" s="296" t="s">
        <v>183</v>
      </c>
      <c r="AB471" s="296" t="s">
        <v>183</v>
      </c>
      <c r="AC471" s="296" t="s">
        <v>183</v>
      </c>
      <c r="AD471" s="296" t="s">
        <v>4213</v>
      </c>
      <c r="AE471" s="296" t="s">
        <v>192</v>
      </c>
      <c r="AF471" s="296" t="s">
        <v>193</v>
      </c>
      <c r="AG471" s="296">
        <v>0</v>
      </c>
      <c r="AH471" s="298">
        <v>45580</v>
      </c>
      <c r="AJ471" s="296" t="s">
        <v>194</v>
      </c>
      <c r="AK471" s="299">
        <f>COUNTIF($A$3:A$917,A471)</f>
        <v>1</v>
      </c>
    </row>
    <row r="472" spans="1:37" x14ac:dyDescent="0.25">
      <c r="A472" s="296">
        <v>503270087</v>
      </c>
      <c r="B472" s="296" t="s">
        <v>4214</v>
      </c>
      <c r="C472" s="296" t="s">
        <v>183</v>
      </c>
      <c r="D472" s="296" t="s">
        <v>183</v>
      </c>
      <c r="E472" s="296" t="s">
        <v>183</v>
      </c>
      <c r="F472" s="296" t="s">
        <v>4215</v>
      </c>
      <c r="G472" s="296" t="s">
        <v>4215</v>
      </c>
      <c r="H472" s="296" t="s">
        <v>4216</v>
      </c>
      <c r="I472" s="296" t="s">
        <v>4217</v>
      </c>
      <c r="J472" s="296" t="s">
        <v>4218</v>
      </c>
      <c r="K472" s="296" t="s">
        <v>4219</v>
      </c>
      <c r="L472" s="296" t="s">
        <v>4220</v>
      </c>
      <c r="M472" s="296" t="s">
        <v>179</v>
      </c>
      <c r="N472" s="296" t="s">
        <v>4215</v>
      </c>
      <c r="O472" s="296" t="s">
        <v>278</v>
      </c>
      <c r="P472" s="296" t="s">
        <v>4216</v>
      </c>
      <c r="Q472" s="296" t="s">
        <v>183</v>
      </c>
      <c r="R472" s="296" t="s">
        <v>4221</v>
      </c>
      <c r="S472" s="296" t="s">
        <v>185</v>
      </c>
      <c r="T472" s="296" t="s">
        <v>185</v>
      </c>
      <c r="U472" s="296" t="s">
        <v>186</v>
      </c>
      <c r="V472" s="296" t="s">
        <v>187</v>
      </c>
      <c r="W472" s="296" t="s">
        <v>188</v>
      </c>
      <c r="X472" s="296" t="s">
        <v>404</v>
      </c>
      <c r="Y472" s="296" t="s">
        <v>183</v>
      </c>
      <c r="Z472" s="296" t="s">
        <v>183</v>
      </c>
      <c r="AA472" s="296" t="s">
        <v>183</v>
      </c>
      <c r="AB472" s="296" t="s">
        <v>183</v>
      </c>
      <c r="AC472" s="296" t="s">
        <v>4222</v>
      </c>
      <c r="AD472" s="296" t="s">
        <v>4223</v>
      </c>
      <c r="AE472" s="296" t="s">
        <v>192</v>
      </c>
      <c r="AF472" s="296" t="s">
        <v>193</v>
      </c>
      <c r="AG472" s="296">
        <v>0</v>
      </c>
      <c r="AH472" s="298">
        <v>45922</v>
      </c>
      <c r="AJ472" s="296" t="s">
        <v>194</v>
      </c>
      <c r="AK472" s="299">
        <f>COUNTIF($A$3:A$917,A472)</f>
        <v>1</v>
      </c>
    </row>
    <row r="473" spans="1:37" x14ac:dyDescent="0.25">
      <c r="A473" s="296">
        <v>206330249</v>
      </c>
      <c r="B473" s="296" t="s">
        <v>4224</v>
      </c>
      <c r="C473" s="296" t="s">
        <v>183</v>
      </c>
      <c r="D473" s="296" t="s">
        <v>183</v>
      </c>
      <c r="E473" s="296" t="s">
        <v>183</v>
      </c>
      <c r="F473" s="296" t="s">
        <v>4225</v>
      </c>
      <c r="G473" s="296" t="s">
        <v>4226</v>
      </c>
      <c r="H473" s="296" t="s">
        <v>4227</v>
      </c>
      <c r="I473" s="296" t="s">
        <v>4217</v>
      </c>
      <c r="J473" s="296" t="s">
        <v>4228</v>
      </c>
      <c r="K473" s="296" t="s">
        <v>4229</v>
      </c>
      <c r="L473" s="296" t="s">
        <v>4230</v>
      </c>
      <c r="M473" s="296" t="s">
        <v>179</v>
      </c>
      <c r="N473" s="296" t="s">
        <v>4231</v>
      </c>
      <c r="O473" s="296" t="s">
        <v>4232</v>
      </c>
      <c r="P473" s="296" t="s">
        <v>4233</v>
      </c>
      <c r="Q473" s="296" t="s">
        <v>183</v>
      </c>
      <c r="R473" s="296" t="s">
        <v>4234</v>
      </c>
      <c r="S473" s="296" t="s">
        <v>185</v>
      </c>
      <c r="T473" s="296" t="s">
        <v>185</v>
      </c>
      <c r="U473" s="296" t="s">
        <v>186</v>
      </c>
      <c r="V473" s="296" t="s">
        <v>187</v>
      </c>
      <c r="W473" s="296" t="s">
        <v>188</v>
      </c>
      <c r="X473" s="296" t="s">
        <v>189</v>
      </c>
      <c r="Y473" s="296" t="s">
        <v>183</v>
      </c>
      <c r="Z473" s="296" t="s">
        <v>183</v>
      </c>
      <c r="AA473" s="296" t="s">
        <v>183</v>
      </c>
      <c r="AB473" s="296" t="s">
        <v>183</v>
      </c>
      <c r="AC473" s="296" t="s">
        <v>4235</v>
      </c>
      <c r="AD473" s="296" t="s">
        <v>4236</v>
      </c>
      <c r="AE473" s="296" t="s">
        <v>192</v>
      </c>
      <c r="AF473" s="296" t="s">
        <v>193</v>
      </c>
      <c r="AG473" s="296">
        <v>0</v>
      </c>
      <c r="AH473" s="298">
        <v>41417</v>
      </c>
      <c r="AJ473" s="296" t="s">
        <v>194</v>
      </c>
      <c r="AK473" s="299">
        <f>COUNTIF($A$3:A$917,A473)</f>
        <v>1</v>
      </c>
    </row>
    <row r="474" spans="1:37" x14ac:dyDescent="0.25">
      <c r="A474" s="296">
        <v>155812290516</v>
      </c>
      <c r="B474" s="296" t="s">
        <v>4237</v>
      </c>
      <c r="C474" s="296" t="s">
        <v>183</v>
      </c>
      <c r="D474" s="296" t="s">
        <v>183</v>
      </c>
      <c r="E474" s="296" t="s">
        <v>183</v>
      </c>
      <c r="F474" s="296" t="s">
        <v>4238</v>
      </c>
      <c r="G474" s="296" t="s">
        <v>183</v>
      </c>
      <c r="H474" s="296" t="s">
        <v>4239</v>
      </c>
      <c r="I474" s="296" t="s">
        <v>4217</v>
      </c>
      <c r="J474" s="296" t="s">
        <v>4240</v>
      </c>
      <c r="K474" s="296" t="s">
        <v>2229</v>
      </c>
      <c r="L474" s="296" t="s">
        <v>2230</v>
      </c>
      <c r="M474" s="296" t="s">
        <v>179</v>
      </c>
      <c r="N474" s="296" t="s">
        <v>2231</v>
      </c>
      <c r="O474" s="296" t="s">
        <v>2231</v>
      </c>
      <c r="P474" s="296" t="s">
        <v>2232</v>
      </c>
      <c r="Q474" s="296" t="s">
        <v>183</v>
      </c>
      <c r="R474" s="296" t="s">
        <v>2961</v>
      </c>
      <c r="S474" s="296" t="s">
        <v>194</v>
      </c>
      <c r="T474" s="296" t="s">
        <v>185</v>
      </c>
      <c r="U474" s="296" t="s">
        <v>186</v>
      </c>
      <c r="V474" s="296" t="s">
        <v>187</v>
      </c>
      <c r="W474" s="296" t="s">
        <v>188</v>
      </c>
      <c r="X474" s="296" t="s">
        <v>189</v>
      </c>
      <c r="Y474" s="296" t="s">
        <v>183</v>
      </c>
      <c r="Z474" s="296" t="s">
        <v>183</v>
      </c>
      <c r="AA474" s="296" t="s">
        <v>183</v>
      </c>
      <c r="AB474" s="296" t="s">
        <v>183</v>
      </c>
      <c r="AC474" s="296" t="s">
        <v>2962</v>
      </c>
      <c r="AD474" s="296" t="s">
        <v>4241</v>
      </c>
      <c r="AE474" s="296" t="s">
        <v>192</v>
      </c>
      <c r="AF474" s="296" t="s">
        <v>193</v>
      </c>
      <c r="AG474" s="296">
        <v>0</v>
      </c>
      <c r="AH474" s="298">
        <v>44958</v>
      </c>
      <c r="AJ474" s="296" t="s">
        <v>194</v>
      </c>
      <c r="AK474" s="299">
        <f>COUNTIF($A$3:A$917,A474)</f>
        <v>1</v>
      </c>
    </row>
    <row r="475" spans="1:37" x14ac:dyDescent="0.25">
      <c r="A475" s="296">
        <v>3102758106</v>
      </c>
      <c r="B475" s="296" t="s">
        <v>4242</v>
      </c>
      <c r="C475" s="296" t="s">
        <v>4243</v>
      </c>
      <c r="D475" s="296" t="s">
        <v>4244</v>
      </c>
      <c r="E475" s="296" t="s">
        <v>172</v>
      </c>
      <c r="F475" s="296" t="s">
        <v>4245</v>
      </c>
      <c r="G475" s="296" t="s">
        <v>278</v>
      </c>
      <c r="H475" s="296" t="s">
        <v>4246</v>
      </c>
      <c r="I475" s="296" t="s">
        <v>4217</v>
      </c>
      <c r="J475" s="296" t="s">
        <v>4247</v>
      </c>
      <c r="K475" s="296" t="s">
        <v>2060</v>
      </c>
      <c r="L475" s="296" t="s">
        <v>2061</v>
      </c>
      <c r="M475" s="296" t="s">
        <v>179</v>
      </c>
      <c r="N475" s="296" t="s">
        <v>2062</v>
      </c>
      <c r="O475" s="296" t="s">
        <v>183</v>
      </c>
      <c r="P475" s="296" t="s">
        <v>2063</v>
      </c>
      <c r="Q475" s="296" t="s">
        <v>183</v>
      </c>
      <c r="R475" s="296" t="s">
        <v>2064</v>
      </c>
      <c r="S475" s="296" t="s">
        <v>185</v>
      </c>
      <c r="T475" s="296" t="s">
        <v>185</v>
      </c>
      <c r="U475" s="296" t="s">
        <v>186</v>
      </c>
      <c r="V475" s="296" t="s">
        <v>187</v>
      </c>
      <c r="W475" s="296" t="s">
        <v>188</v>
      </c>
      <c r="X475" s="296" t="s">
        <v>189</v>
      </c>
      <c r="Y475" s="296" t="s">
        <v>183</v>
      </c>
      <c r="Z475" s="296" t="s">
        <v>183</v>
      </c>
      <c r="AA475" s="296" t="s">
        <v>183</v>
      </c>
      <c r="AB475" s="296" t="s">
        <v>183</v>
      </c>
      <c r="AC475" s="296" t="s">
        <v>2065</v>
      </c>
      <c r="AD475" s="296" t="s">
        <v>4248</v>
      </c>
      <c r="AE475" s="296" t="s">
        <v>192</v>
      </c>
      <c r="AF475" s="296" t="s">
        <v>193</v>
      </c>
      <c r="AG475" s="296">
        <v>0</v>
      </c>
      <c r="AH475" s="298">
        <v>45399</v>
      </c>
      <c r="AJ475" s="296" t="s">
        <v>194</v>
      </c>
      <c r="AK475" s="299">
        <f>COUNTIF($A$3:A$917,A475)</f>
        <v>1</v>
      </c>
    </row>
    <row r="476" spans="1:37" x14ac:dyDescent="0.25">
      <c r="A476" s="296">
        <v>155834538428</v>
      </c>
      <c r="B476" s="296" t="s">
        <v>4249</v>
      </c>
      <c r="C476" s="296" t="s">
        <v>183</v>
      </c>
      <c r="D476" s="296" t="s">
        <v>183</v>
      </c>
      <c r="E476" s="296" t="s">
        <v>183</v>
      </c>
      <c r="F476" s="296" t="s">
        <v>4250</v>
      </c>
      <c r="G476" s="296" t="s">
        <v>4250</v>
      </c>
      <c r="H476" s="296" t="s">
        <v>4251</v>
      </c>
      <c r="I476" s="296" t="s">
        <v>4217</v>
      </c>
      <c r="J476" s="296" t="s">
        <v>4252</v>
      </c>
      <c r="K476" s="296" t="s">
        <v>2923</v>
      </c>
      <c r="L476" s="296" t="s">
        <v>2924</v>
      </c>
      <c r="M476" s="296" t="s">
        <v>179</v>
      </c>
      <c r="N476" s="296" t="s">
        <v>2925</v>
      </c>
      <c r="O476" s="296" t="s">
        <v>2926</v>
      </c>
      <c r="P476" s="296" t="s">
        <v>2927</v>
      </c>
      <c r="Q476" s="296" t="s">
        <v>183</v>
      </c>
      <c r="R476" s="296" t="s">
        <v>2928</v>
      </c>
      <c r="S476" s="296" t="s">
        <v>194</v>
      </c>
      <c r="T476" s="296" t="s">
        <v>185</v>
      </c>
      <c r="U476" s="296" t="s">
        <v>186</v>
      </c>
      <c r="V476" s="296" t="s">
        <v>187</v>
      </c>
      <c r="W476" s="296" t="s">
        <v>188</v>
      </c>
      <c r="X476" s="296" t="s">
        <v>189</v>
      </c>
      <c r="Y476" s="296" t="s">
        <v>183</v>
      </c>
      <c r="Z476" s="296" t="s">
        <v>183</v>
      </c>
      <c r="AA476" s="296" t="s">
        <v>183</v>
      </c>
      <c r="AB476" s="296" t="s">
        <v>183</v>
      </c>
      <c r="AC476" s="296" t="s">
        <v>2929</v>
      </c>
      <c r="AD476" s="296" t="s">
        <v>4253</v>
      </c>
      <c r="AE476" s="296" t="s">
        <v>192</v>
      </c>
      <c r="AF476" s="296" t="s">
        <v>193</v>
      </c>
      <c r="AG476" s="296">
        <v>0</v>
      </c>
      <c r="AH476" s="298">
        <v>44628</v>
      </c>
      <c r="AJ476" s="296" t="s">
        <v>194</v>
      </c>
      <c r="AK476" s="299">
        <f>COUNTIF($A$3:A$917,A476)</f>
        <v>1</v>
      </c>
    </row>
    <row r="477" spans="1:37" x14ac:dyDescent="0.25">
      <c r="A477" s="296">
        <v>116890466</v>
      </c>
      <c r="B477" s="296" t="s">
        <v>4254</v>
      </c>
      <c r="C477" s="296" t="s">
        <v>183</v>
      </c>
      <c r="D477" s="296" t="s">
        <v>183</v>
      </c>
      <c r="E477" s="296" t="s">
        <v>183</v>
      </c>
      <c r="F477" s="296" t="s">
        <v>4255</v>
      </c>
      <c r="G477" s="296" t="s">
        <v>183</v>
      </c>
      <c r="H477" s="296" t="s">
        <v>4256</v>
      </c>
      <c r="I477" s="296" t="s">
        <v>4257</v>
      </c>
      <c r="J477" s="296" t="s">
        <v>4258</v>
      </c>
      <c r="K477" s="296" t="s">
        <v>183</v>
      </c>
      <c r="L477" s="296" t="s">
        <v>183</v>
      </c>
      <c r="M477" s="296" t="s">
        <v>183</v>
      </c>
      <c r="N477" s="296" t="s">
        <v>2062</v>
      </c>
      <c r="O477" s="296" t="s">
        <v>183</v>
      </c>
      <c r="P477" s="296" t="s">
        <v>183</v>
      </c>
      <c r="Q477" s="296" t="s">
        <v>183</v>
      </c>
      <c r="R477" s="296" t="s">
        <v>183</v>
      </c>
      <c r="S477" s="296" t="s">
        <v>183</v>
      </c>
      <c r="T477" s="296" t="s">
        <v>183</v>
      </c>
      <c r="U477" s="296" t="s">
        <v>183</v>
      </c>
      <c r="V477" s="296" t="s">
        <v>183</v>
      </c>
      <c r="W477" s="296" t="s">
        <v>183</v>
      </c>
      <c r="X477" s="296" t="s">
        <v>183</v>
      </c>
      <c r="Y477" s="296" t="s">
        <v>183</v>
      </c>
      <c r="Z477" s="296" t="s">
        <v>183</v>
      </c>
      <c r="AA477" s="296" t="s">
        <v>183</v>
      </c>
      <c r="AB477" s="296" t="s">
        <v>183</v>
      </c>
      <c r="AC477" s="296" t="s">
        <v>183</v>
      </c>
      <c r="AD477" s="296" t="s">
        <v>4259</v>
      </c>
      <c r="AE477" s="296" t="s">
        <v>192</v>
      </c>
      <c r="AF477" s="296" t="s">
        <v>193</v>
      </c>
      <c r="AG477" s="296">
        <v>0</v>
      </c>
      <c r="AH477" s="298">
        <v>45918</v>
      </c>
      <c r="AJ477" s="296" t="s">
        <v>194</v>
      </c>
      <c r="AK477" s="299">
        <f>COUNTIF($A$3:A$917,A477)</f>
        <v>1</v>
      </c>
    </row>
    <row r="478" spans="1:37" x14ac:dyDescent="0.25">
      <c r="A478" s="296">
        <v>3102898199</v>
      </c>
      <c r="B478" s="296" t="s">
        <v>430</v>
      </c>
      <c r="C478" s="296" t="s">
        <v>431</v>
      </c>
      <c r="D478" s="296" t="s">
        <v>432</v>
      </c>
      <c r="E478" s="296" t="s">
        <v>172</v>
      </c>
      <c r="F478" s="296" t="s">
        <v>433</v>
      </c>
      <c r="G478" s="296" t="s">
        <v>278</v>
      </c>
      <c r="H478" s="296" t="s">
        <v>434</v>
      </c>
      <c r="I478" s="296" t="s">
        <v>4257</v>
      </c>
      <c r="J478" s="296" t="s">
        <v>436</v>
      </c>
      <c r="K478" s="296" t="s">
        <v>183</v>
      </c>
      <c r="L478" s="296" t="s">
        <v>183</v>
      </c>
      <c r="M478" s="296" t="s">
        <v>183</v>
      </c>
      <c r="N478" s="296" t="s">
        <v>3455</v>
      </c>
      <c r="O478" s="296" t="s">
        <v>183</v>
      </c>
      <c r="P478" s="296" t="s">
        <v>183</v>
      </c>
      <c r="Q478" s="296" t="s">
        <v>183</v>
      </c>
      <c r="R478" s="296" t="s">
        <v>183</v>
      </c>
      <c r="S478" s="296" t="s">
        <v>183</v>
      </c>
      <c r="T478" s="296" t="s">
        <v>183</v>
      </c>
      <c r="U478" s="296" t="s">
        <v>183</v>
      </c>
      <c r="V478" s="296" t="s">
        <v>183</v>
      </c>
      <c r="W478" s="296" t="s">
        <v>183</v>
      </c>
      <c r="X478" s="296" t="s">
        <v>183</v>
      </c>
      <c r="Y478" s="296" t="s">
        <v>183</v>
      </c>
      <c r="Z478" s="296" t="s">
        <v>183</v>
      </c>
      <c r="AA478" s="296" t="s">
        <v>183</v>
      </c>
      <c r="AB478" s="296" t="s">
        <v>183</v>
      </c>
      <c r="AC478" s="296" t="s">
        <v>183</v>
      </c>
      <c r="AD478" s="296" t="s">
        <v>4260</v>
      </c>
      <c r="AE478" s="296" t="s">
        <v>192</v>
      </c>
      <c r="AF478" s="296" t="s">
        <v>193</v>
      </c>
      <c r="AG478" s="296">
        <v>0</v>
      </c>
      <c r="AH478" s="298">
        <v>45974</v>
      </c>
      <c r="AJ478" s="296" t="s">
        <v>194</v>
      </c>
      <c r="AK478" s="299">
        <f>COUNTIF($A$3:A$917,A478)</f>
        <v>3</v>
      </c>
    </row>
    <row r="479" spans="1:37" x14ac:dyDescent="0.25">
      <c r="A479" s="296">
        <v>111660132</v>
      </c>
      <c r="B479" s="296" t="s">
        <v>4261</v>
      </c>
      <c r="C479" s="296" t="s">
        <v>183</v>
      </c>
      <c r="D479" s="296" t="s">
        <v>183</v>
      </c>
      <c r="E479" s="296" t="s">
        <v>183</v>
      </c>
      <c r="F479" s="296" t="s">
        <v>4262</v>
      </c>
      <c r="G479" s="296" t="s">
        <v>4262</v>
      </c>
      <c r="H479" s="296" t="s">
        <v>4263</v>
      </c>
      <c r="I479" s="296" t="s">
        <v>4264</v>
      </c>
      <c r="J479" s="296" t="s">
        <v>4265</v>
      </c>
      <c r="K479" s="296" t="s">
        <v>768</v>
      </c>
      <c r="L479" s="296" t="s">
        <v>769</v>
      </c>
      <c r="M479" s="296" t="s">
        <v>179</v>
      </c>
      <c r="N479" s="296" t="s">
        <v>770</v>
      </c>
      <c r="O479" s="296" t="s">
        <v>770</v>
      </c>
      <c r="P479" s="296" t="s">
        <v>771</v>
      </c>
      <c r="Q479" s="296" t="s">
        <v>183</v>
      </c>
      <c r="R479" s="296" t="s">
        <v>772</v>
      </c>
      <c r="S479" s="296" t="s">
        <v>185</v>
      </c>
      <c r="T479" s="296" t="s">
        <v>185</v>
      </c>
      <c r="U479" s="296" t="s">
        <v>186</v>
      </c>
      <c r="V479" s="296" t="s">
        <v>187</v>
      </c>
      <c r="W479" s="296" t="s">
        <v>188</v>
      </c>
      <c r="X479" s="296" t="s">
        <v>256</v>
      </c>
      <c r="Y479" s="296" t="s">
        <v>183</v>
      </c>
      <c r="Z479" s="296" t="s">
        <v>183</v>
      </c>
      <c r="AA479" s="296" t="s">
        <v>183</v>
      </c>
      <c r="AB479" s="296" t="s">
        <v>183</v>
      </c>
      <c r="AC479" s="296" t="s">
        <v>773</v>
      </c>
      <c r="AD479" s="296" t="s">
        <v>4266</v>
      </c>
      <c r="AE479" s="296" t="s">
        <v>192</v>
      </c>
      <c r="AF479" s="296" t="s">
        <v>193</v>
      </c>
      <c r="AG479" s="296">
        <v>0</v>
      </c>
      <c r="AH479" s="298">
        <v>43738</v>
      </c>
      <c r="AJ479" s="296" t="s">
        <v>194</v>
      </c>
      <c r="AK479" s="299">
        <f>COUNTIF($A$3:A$917,A479)</f>
        <v>1</v>
      </c>
    </row>
    <row r="480" spans="1:37" x14ac:dyDescent="0.25">
      <c r="A480" s="296">
        <v>114360458</v>
      </c>
      <c r="B480" s="296" t="s">
        <v>4267</v>
      </c>
      <c r="C480" s="296" t="s">
        <v>183</v>
      </c>
      <c r="D480" s="296" t="s">
        <v>183</v>
      </c>
      <c r="E480" s="296" t="s">
        <v>183</v>
      </c>
      <c r="F480" s="296" t="s">
        <v>4268</v>
      </c>
      <c r="G480" s="296" t="s">
        <v>183</v>
      </c>
      <c r="H480" s="296" t="s">
        <v>4269</v>
      </c>
      <c r="I480" s="296" t="s">
        <v>4264</v>
      </c>
      <c r="J480" s="296" t="s">
        <v>4270</v>
      </c>
      <c r="K480" s="296" t="s">
        <v>3531</v>
      </c>
      <c r="L480" s="296" t="s">
        <v>3532</v>
      </c>
      <c r="M480" s="296" t="s">
        <v>179</v>
      </c>
      <c r="N480" s="296" t="s">
        <v>3533</v>
      </c>
      <c r="O480" s="296" t="s">
        <v>3534</v>
      </c>
      <c r="P480" s="296" t="s">
        <v>3535</v>
      </c>
      <c r="Q480" s="296" t="s">
        <v>183</v>
      </c>
      <c r="R480" s="296" t="s">
        <v>3536</v>
      </c>
      <c r="S480" s="296" t="s">
        <v>185</v>
      </c>
      <c r="T480" s="296" t="s">
        <v>185</v>
      </c>
      <c r="U480" s="296" t="s">
        <v>186</v>
      </c>
      <c r="V480" s="296" t="s">
        <v>187</v>
      </c>
      <c r="W480" s="296" t="s">
        <v>188</v>
      </c>
      <c r="X480" s="296" t="s">
        <v>189</v>
      </c>
      <c r="Y480" s="296" t="s">
        <v>183</v>
      </c>
      <c r="Z480" s="296" t="s">
        <v>183</v>
      </c>
      <c r="AA480" s="296" t="s">
        <v>183</v>
      </c>
      <c r="AB480" s="296" t="s">
        <v>183</v>
      </c>
      <c r="AC480" s="296" t="s">
        <v>3537</v>
      </c>
      <c r="AD480" s="296" t="s">
        <v>4271</v>
      </c>
      <c r="AE480" s="296" t="s">
        <v>192</v>
      </c>
      <c r="AF480" s="296" t="s">
        <v>193</v>
      </c>
      <c r="AG480" s="296">
        <v>0</v>
      </c>
      <c r="AH480" s="298">
        <v>43682</v>
      </c>
      <c r="AJ480" s="296" t="s">
        <v>194</v>
      </c>
      <c r="AK480" s="299">
        <f>COUNTIF($A$3:A$917,A480)</f>
        <v>1</v>
      </c>
    </row>
    <row r="481" spans="1:37" x14ac:dyDescent="0.25">
      <c r="A481" s="296">
        <v>206790479</v>
      </c>
      <c r="B481" s="296" t="s">
        <v>4272</v>
      </c>
      <c r="C481" s="296" t="s">
        <v>183</v>
      </c>
      <c r="D481" s="296" t="s">
        <v>183</v>
      </c>
      <c r="E481" s="296" t="s">
        <v>183</v>
      </c>
      <c r="F481" s="296" t="s">
        <v>4273</v>
      </c>
      <c r="G481" s="296" t="s">
        <v>4274</v>
      </c>
      <c r="H481" s="296" t="s">
        <v>4275</v>
      </c>
      <c r="I481" s="296" t="s">
        <v>4276</v>
      </c>
      <c r="J481" s="296" t="s">
        <v>4277</v>
      </c>
      <c r="K481" s="296" t="s">
        <v>4278</v>
      </c>
      <c r="L481" s="296" t="s">
        <v>4279</v>
      </c>
      <c r="M481" s="296" t="s">
        <v>179</v>
      </c>
      <c r="N481" s="296" t="s">
        <v>4280</v>
      </c>
      <c r="O481" s="296" t="s">
        <v>4281</v>
      </c>
      <c r="P481" s="296" t="s">
        <v>183</v>
      </c>
      <c r="Q481" s="296" t="s">
        <v>183</v>
      </c>
      <c r="R481" s="296" t="s">
        <v>4282</v>
      </c>
      <c r="S481" s="296" t="s">
        <v>185</v>
      </c>
      <c r="T481" s="296" t="s">
        <v>185</v>
      </c>
      <c r="U481" s="296" t="s">
        <v>186</v>
      </c>
      <c r="V481" s="296" t="s">
        <v>187</v>
      </c>
      <c r="W481" s="296" t="s">
        <v>188</v>
      </c>
      <c r="X481" s="296" t="s">
        <v>246</v>
      </c>
      <c r="Y481" s="296" t="s">
        <v>183</v>
      </c>
      <c r="Z481" s="296" t="s">
        <v>183</v>
      </c>
      <c r="AA481" s="296" t="s">
        <v>183</v>
      </c>
      <c r="AB481" s="296" t="s">
        <v>183</v>
      </c>
      <c r="AC481" s="296" t="s">
        <v>4283</v>
      </c>
      <c r="AD481" s="296" t="s">
        <v>4284</v>
      </c>
      <c r="AE481" s="296" t="s">
        <v>192</v>
      </c>
      <c r="AF481" s="296" t="s">
        <v>193</v>
      </c>
      <c r="AG481" s="296">
        <v>0</v>
      </c>
      <c r="AH481" s="298">
        <v>44302</v>
      </c>
      <c r="AJ481" s="296" t="s">
        <v>194</v>
      </c>
      <c r="AK481" s="299">
        <f>COUNTIF($A$3:A$917,A481)</f>
        <v>1</v>
      </c>
    </row>
    <row r="482" spans="1:37" x14ac:dyDescent="0.25">
      <c r="A482" s="296">
        <v>3102769846</v>
      </c>
      <c r="B482" s="296" t="s">
        <v>2347</v>
      </c>
      <c r="C482" s="296" t="s">
        <v>183</v>
      </c>
      <c r="D482" s="296" t="s">
        <v>183</v>
      </c>
      <c r="E482" s="296" t="s">
        <v>183</v>
      </c>
      <c r="F482" s="296" t="s">
        <v>2348</v>
      </c>
      <c r="G482" s="296" t="s">
        <v>2348</v>
      </c>
      <c r="H482" s="296" t="s">
        <v>2349</v>
      </c>
      <c r="I482" s="296" t="s">
        <v>4276</v>
      </c>
      <c r="J482" s="296" t="s">
        <v>2351</v>
      </c>
      <c r="K482" s="296" t="s">
        <v>2352</v>
      </c>
      <c r="L482" s="296" t="s">
        <v>2353</v>
      </c>
      <c r="M482" s="296" t="s">
        <v>179</v>
      </c>
      <c r="N482" s="296" t="s">
        <v>2354</v>
      </c>
      <c r="O482" s="296" t="s">
        <v>183</v>
      </c>
      <c r="P482" s="296" t="s">
        <v>2355</v>
      </c>
      <c r="Q482" s="296" t="s">
        <v>183</v>
      </c>
      <c r="R482" s="296" t="s">
        <v>2356</v>
      </c>
      <c r="S482" s="296" t="s">
        <v>185</v>
      </c>
      <c r="T482" s="296" t="s">
        <v>185</v>
      </c>
      <c r="U482" s="296" t="s">
        <v>186</v>
      </c>
      <c r="V482" s="296" t="s">
        <v>187</v>
      </c>
      <c r="W482" s="296" t="s">
        <v>188</v>
      </c>
      <c r="X482" s="296" t="s">
        <v>308</v>
      </c>
      <c r="Y482" s="296" t="s">
        <v>183</v>
      </c>
      <c r="Z482" s="296" t="s">
        <v>183</v>
      </c>
      <c r="AA482" s="296" t="s">
        <v>183</v>
      </c>
      <c r="AB482" s="296" t="s">
        <v>183</v>
      </c>
      <c r="AC482" s="296" t="s">
        <v>2357</v>
      </c>
      <c r="AD482" s="296" t="s">
        <v>4285</v>
      </c>
      <c r="AE482" s="296" t="s">
        <v>192</v>
      </c>
      <c r="AF482" s="296" t="s">
        <v>193</v>
      </c>
      <c r="AG482" s="296">
        <v>15594</v>
      </c>
      <c r="AH482" s="298">
        <v>43844</v>
      </c>
      <c r="AJ482" s="296" t="s">
        <v>194</v>
      </c>
      <c r="AK482" s="299">
        <f>COUNTIF($A$3:A$917,A482)</f>
        <v>2</v>
      </c>
    </row>
    <row r="483" spans="1:37" x14ac:dyDescent="0.25">
      <c r="A483" s="296">
        <v>502440423</v>
      </c>
      <c r="B483" s="296" t="s">
        <v>4286</v>
      </c>
      <c r="C483" s="296" t="s">
        <v>183</v>
      </c>
      <c r="D483" s="296" t="s">
        <v>183</v>
      </c>
      <c r="E483" s="296" t="s">
        <v>183</v>
      </c>
      <c r="F483" s="296" t="s">
        <v>4287</v>
      </c>
      <c r="G483" s="296" t="s">
        <v>183</v>
      </c>
      <c r="H483" s="296" t="s">
        <v>4288</v>
      </c>
      <c r="I483" s="296" t="s">
        <v>4276</v>
      </c>
      <c r="J483" s="296" t="s">
        <v>4289</v>
      </c>
      <c r="K483" s="296" t="s">
        <v>4290</v>
      </c>
      <c r="L483" s="296" t="s">
        <v>4291</v>
      </c>
      <c r="M483" s="296" t="s">
        <v>179</v>
      </c>
      <c r="N483" s="296" t="s">
        <v>4292</v>
      </c>
      <c r="O483" s="296" t="s">
        <v>3751</v>
      </c>
      <c r="P483" s="296" t="s">
        <v>4293</v>
      </c>
      <c r="Q483" s="296" t="s">
        <v>183</v>
      </c>
      <c r="R483" s="296" t="s">
        <v>4294</v>
      </c>
      <c r="S483" s="296" t="s">
        <v>185</v>
      </c>
      <c r="T483" s="296" t="s">
        <v>185</v>
      </c>
      <c r="U483" s="296" t="s">
        <v>186</v>
      </c>
      <c r="V483" s="296" t="s">
        <v>187</v>
      </c>
      <c r="W483" s="296" t="s">
        <v>188</v>
      </c>
      <c r="X483" s="296" t="s">
        <v>404</v>
      </c>
      <c r="Y483" s="296" t="s">
        <v>183</v>
      </c>
      <c r="Z483" s="296" t="s">
        <v>183</v>
      </c>
      <c r="AA483" s="296" t="s">
        <v>183</v>
      </c>
      <c r="AB483" s="296" t="s">
        <v>183</v>
      </c>
      <c r="AC483" s="296" t="s">
        <v>4295</v>
      </c>
      <c r="AD483" s="296" t="s">
        <v>4296</v>
      </c>
      <c r="AE483" s="296" t="s">
        <v>192</v>
      </c>
      <c r="AF483" s="296" t="s">
        <v>193</v>
      </c>
      <c r="AG483" s="296">
        <v>0</v>
      </c>
      <c r="AH483" s="298">
        <v>45370</v>
      </c>
      <c r="AJ483" s="296" t="s">
        <v>194</v>
      </c>
      <c r="AK483" s="299">
        <f>COUNTIF($A$3:A$917,A483)</f>
        <v>1</v>
      </c>
    </row>
    <row r="484" spans="1:37" x14ac:dyDescent="0.25">
      <c r="A484" s="296">
        <v>3101155347</v>
      </c>
      <c r="B484" s="296" t="s">
        <v>4297</v>
      </c>
      <c r="C484" s="296" t="s">
        <v>183</v>
      </c>
      <c r="D484" s="296" t="s">
        <v>183</v>
      </c>
      <c r="E484" s="296" t="s">
        <v>183</v>
      </c>
      <c r="F484" s="296" t="s">
        <v>4298</v>
      </c>
      <c r="G484" s="296" t="s">
        <v>4299</v>
      </c>
      <c r="H484" s="296" t="s">
        <v>4300</v>
      </c>
      <c r="I484" s="296" t="s">
        <v>4301</v>
      </c>
      <c r="J484" s="296" t="s">
        <v>4302</v>
      </c>
      <c r="K484" s="296" t="s">
        <v>862</v>
      </c>
      <c r="L484" s="296" t="s">
        <v>863</v>
      </c>
      <c r="M484" s="296" t="s">
        <v>179</v>
      </c>
      <c r="N484" s="296" t="s">
        <v>465</v>
      </c>
      <c r="O484" s="296" t="s">
        <v>864</v>
      </c>
      <c r="P484" s="296" t="s">
        <v>865</v>
      </c>
      <c r="Q484" s="296" t="s">
        <v>183</v>
      </c>
      <c r="R484" s="296" t="s">
        <v>4303</v>
      </c>
      <c r="S484" s="296" t="s">
        <v>185</v>
      </c>
      <c r="T484" s="296" t="s">
        <v>185</v>
      </c>
      <c r="U484" s="296" t="s">
        <v>186</v>
      </c>
      <c r="V484" s="296" t="s">
        <v>187</v>
      </c>
      <c r="W484" s="296" t="s">
        <v>188</v>
      </c>
      <c r="X484" s="296" t="s">
        <v>224</v>
      </c>
      <c r="Y484" s="296" t="s">
        <v>183</v>
      </c>
      <c r="Z484" s="296" t="s">
        <v>183</v>
      </c>
      <c r="AA484" s="296" t="s">
        <v>183</v>
      </c>
      <c r="AB484" s="296" t="s">
        <v>183</v>
      </c>
      <c r="AC484" s="296" t="s">
        <v>4304</v>
      </c>
      <c r="AD484" s="296" t="s">
        <v>4305</v>
      </c>
      <c r="AE484" s="296" t="s">
        <v>192</v>
      </c>
      <c r="AF484" s="296" t="s">
        <v>193</v>
      </c>
      <c r="AG484" s="296">
        <v>3685823.75</v>
      </c>
      <c r="AH484" s="298">
        <v>36616</v>
      </c>
      <c r="AJ484" s="296" t="s">
        <v>194</v>
      </c>
      <c r="AK484" s="299">
        <f>COUNTIF($A$3:A$917,A484)</f>
        <v>1</v>
      </c>
    </row>
    <row r="485" spans="1:37" x14ac:dyDescent="0.25">
      <c r="A485" s="296">
        <v>3101649435</v>
      </c>
      <c r="B485" s="296" t="s">
        <v>3636</v>
      </c>
      <c r="C485" s="296" t="s">
        <v>183</v>
      </c>
      <c r="D485" s="296" t="s">
        <v>183</v>
      </c>
      <c r="E485" s="296" t="s">
        <v>183</v>
      </c>
      <c r="F485" s="296" t="s">
        <v>3632</v>
      </c>
      <c r="G485" s="296" t="s">
        <v>3637</v>
      </c>
      <c r="H485" s="296" t="s">
        <v>3638</v>
      </c>
      <c r="I485" s="296" t="s">
        <v>4301</v>
      </c>
      <c r="J485" s="296" t="s">
        <v>4306</v>
      </c>
      <c r="K485" s="296" t="s">
        <v>862</v>
      </c>
      <c r="L485" s="296" t="s">
        <v>863</v>
      </c>
      <c r="M485" s="296" t="s">
        <v>179</v>
      </c>
      <c r="N485" s="296" t="s">
        <v>465</v>
      </c>
      <c r="O485" s="296" t="s">
        <v>864</v>
      </c>
      <c r="P485" s="296" t="s">
        <v>865</v>
      </c>
      <c r="Q485" s="296" t="s">
        <v>183</v>
      </c>
      <c r="R485" s="296" t="s">
        <v>4307</v>
      </c>
      <c r="S485" s="296" t="s">
        <v>185</v>
      </c>
      <c r="T485" s="296" t="s">
        <v>185</v>
      </c>
      <c r="U485" s="296" t="s">
        <v>186</v>
      </c>
      <c r="V485" s="296" t="s">
        <v>187</v>
      </c>
      <c r="W485" s="296" t="s">
        <v>188</v>
      </c>
      <c r="X485" s="296" t="s">
        <v>189</v>
      </c>
      <c r="Y485" s="296" t="s">
        <v>183</v>
      </c>
      <c r="Z485" s="296" t="s">
        <v>183</v>
      </c>
      <c r="AA485" s="296" t="s">
        <v>183</v>
      </c>
      <c r="AB485" s="296" t="s">
        <v>183</v>
      </c>
      <c r="AC485" s="296" t="s">
        <v>4308</v>
      </c>
      <c r="AD485" s="296" t="s">
        <v>4309</v>
      </c>
      <c r="AE485" s="296" t="s">
        <v>192</v>
      </c>
      <c r="AF485" s="296" t="s">
        <v>193</v>
      </c>
      <c r="AG485" s="296">
        <v>0</v>
      </c>
      <c r="AH485" s="298">
        <v>41934</v>
      </c>
      <c r="AJ485" s="296" t="s">
        <v>194</v>
      </c>
      <c r="AK485" s="299">
        <f>COUNTIF($A$3:A$917,A485)</f>
        <v>1</v>
      </c>
    </row>
    <row r="486" spans="1:37" x14ac:dyDescent="0.25">
      <c r="A486" s="296">
        <v>3101644281</v>
      </c>
      <c r="B486" s="296" t="s">
        <v>4310</v>
      </c>
      <c r="C486" s="296" t="s">
        <v>183</v>
      </c>
      <c r="D486" s="296" t="s">
        <v>183</v>
      </c>
      <c r="E486" s="296" t="s">
        <v>183</v>
      </c>
      <c r="F486" s="296" t="s">
        <v>968</v>
      </c>
      <c r="G486" s="296" t="s">
        <v>969</v>
      </c>
      <c r="H486" s="296" t="s">
        <v>970</v>
      </c>
      <c r="I486" s="296" t="s">
        <v>4301</v>
      </c>
      <c r="J486" s="296" t="s">
        <v>4311</v>
      </c>
      <c r="K486" s="296" t="s">
        <v>973</v>
      </c>
      <c r="L486" s="296" t="s">
        <v>967</v>
      </c>
      <c r="M486" s="296" t="s">
        <v>179</v>
      </c>
      <c r="N486" s="296" t="s">
        <v>968</v>
      </c>
      <c r="O486" s="296" t="s">
        <v>969</v>
      </c>
      <c r="P486" s="296" t="s">
        <v>970</v>
      </c>
      <c r="Q486" s="296" t="s">
        <v>183</v>
      </c>
      <c r="R486" s="296" t="s">
        <v>974</v>
      </c>
      <c r="S486" s="296" t="s">
        <v>185</v>
      </c>
      <c r="T486" s="296" t="s">
        <v>185</v>
      </c>
      <c r="U486" s="296" t="s">
        <v>186</v>
      </c>
      <c r="V486" s="296" t="s">
        <v>187</v>
      </c>
      <c r="W486" s="296" t="s">
        <v>188</v>
      </c>
      <c r="X486" s="296" t="s">
        <v>224</v>
      </c>
      <c r="Y486" s="296" t="s">
        <v>183</v>
      </c>
      <c r="Z486" s="296" t="s">
        <v>183</v>
      </c>
      <c r="AA486" s="296" t="s">
        <v>183</v>
      </c>
      <c r="AB486" s="296" t="s">
        <v>183</v>
      </c>
      <c r="AC486" s="296" t="s">
        <v>975</v>
      </c>
      <c r="AD486" s="296" t="s">
        <v>4312</v>
      </c>
      <c r="AE486" s="296" t="s">
        <v>192</v>
      </c>
      <c r="AF486" s="296" t="s">
        <v>193</v>
      </c>
      <c r="AG486" s="296">
        <v>0</v>
      </c>
      <c r="AH486" s="298">
        <v>42824</v>
      </c>
      <c r="AJ486" s="296" t="s">
        <v>194</v>
      </c>
      <c r="AK486" s="299">
        <f>COUNTIF($A$3:A$917,A486)</f>
        <v>1</v>
      </c>
    </row>
    <row r="487" spans="1:37" x14ac:dyDescent="0.25">
      <c r="A487" s="296">
        <v>3101512403</v>
      </c>
      <c r="B487" s="296" t="s">
        <v>4313</v>
      </c>
      <c r="C487" s="296" t="s">
        <v>183</v>
      </c>
      <c r="D487" s="296" t="s">
        <v>183</v>
      </c>
      <c r="E487" s="296" t="s">
        <v>183</v>
      </c>
      <c r="F487" s="296" t="s">
        <v>968</v>
      </c>
      <c r="G487" s="296" t="s">
        <v>969</v>
      </c>
      <c r="H487" s="296" t="s">
        <v>970</v>
      </c>
      <c r="I487" s="296" t="s">
        <v>4301</v>
      </c>
      <c r="J487" s="296" t="s">
        <v>4314</v>
      </c>
      <c r="K487" s="296" t="s">
        <v>973</v>
      </c>
      <c r="L487" s="296" t="s">
        <v>967</v>
      </c>
      <c r="M487" s="296" t="s">
        <v>179</v>
      </c>
      <c r="N487" s="296" t="s">
        <v>968</v>
      </c>
      <c r="O487" s="296" t="s">
        <v>969</v>
      </c>
      <c r="P487" s="296" t="s">
        <v>970</v>
      </c>
      <c r="Q487" s="296" t="s">
        <v>183</v>
      </c>
      <c r="R487" s="296" t="s">
        <v>974</v>
      </c>
      <c r="S487" s="296" t="s">
        <v>185</v>
      </c>
      <c r="T487" s="296" t="s">
        <v>185</v>
      </c>
      <c r="U487" s="296" t="s">
        <v>186</v>
      </c>
      <c r="V487" s="296" t="s">
        <v>187</v>
      </c>
      <c r="W487" s="296" t="s">
        <v>188</v>
      </c>
      <c r="X487" s="296" t="s">
        <v>224</v>
      </c>
      <c r="Y487" s="296" t="s">
        <v>183</v>
      </c>
      <c r="Z487" s="296" t="s">
        <v>183</v>
      </c>
      <c r="AA487" s="296" t="s">
        <v>183</v>
      </c>
      <c r="AB487" s="296" t="s">
        <v>183</v>
      </c>
      <c r="AC487" s="296" t="s">
        <v>975</v>
      </c>
      <c r="AD487" s="296" t="s">
        <v>4315</v>
      </c>
      <c r="AE487" s="296" t="s">
        <v>192</v>
      </c>
      <c r="AF487" s="296" t="s">
        <v>193</v>
      </c>
      <c r="AG487" s="296">
        <v>0</v>
      </c>
      <c r="AH487" s="298">
        <v>42824</v>
      </c>
      <c r="AJ487" s="296" t="s">
        <v>194</v>
      </c>
      <c r="AK487" s="299">
        <f>COUNTIF($A$3:A$917,A487)</f>
        <v>1</v>
      </c>
    </row>
    <row r="488" spans="1:37" x14ac:dyDescent="0.25">
      <c r="A488" s="296">
        <v>3101147592</v>
      </c>
      <c r="B488" s="296" t="s">
        <v>4316</v>
      </c>
      <c r="C488" s="296" t="s">
        <v>183</v>
      </c>
      <c r="D488" s="296" t="s">
        <v>183</v>
      </c>
      <c r="E488" s="296" t="s">
        <v>183</v>
      </c>
      <c r="F488" s="296" t="s">
        <v>4317</v>
      </c>
      <c r="G488" s="296" t="s">
        <v>4299</v>
      </c>
      <c r="H488" s="296" t="s">
        <v>4318</v>
      </c>
      <c r="I488" s="296" t="s">
        <v>4301</v>
      </c>
      <c r="J488" s="296" t="s">
        <v>4319</v>
      </c>
      <c r="K488" s="296" t="s">
        <v>4320</v>
      </c>
      <c r="L488" s="296" t="s">
        <v>4321</v>
      </c>
      <c r="M488" s="296" t="s">
        <v>179</v>
      </c>
      <c r="N488" s="296" t="s">
        <v>2282</v>
      </c>
      <c r="O488" s="296" t="s">
        <v>2282</v>
      </c>
      <c r="P488" s="296" t="s">
        <v>4322</v>
      </c>
      <c r="Q488" s="296" t="s">
        <v>183</v>
      </c>
      <c r="R488" s="296" t="s">
        <v>4323</v>
      </c>
      <c r="S488" s="296" t="s">
        <v>185</v>
      </c>
      <c r="T488" s="296" t="s">
        <v>185</v>
      </c>
      <c r="U488" s="296" t="s">
        <v>186</v>
      </c>
      <c r="V488" s="296" t="s">
        <v>187</v>
      </c>
      <c r="W488" s="296" t="s">
        <v>188</v>
      </c>
      <c r="X488" s="296" t="s">
        <v>308</v>
      </c>
      <c r="Y488" s="296" t="s">
        <v>183</v>
      </c>
      <c r="Z488" s="296" t="s">
        <v>183</v>
      </c>
      <c r="AA488" s="296" t="s">
        <v>183</v>
      </c>
      <c r="AB488" s="296" t="s">
        <v>183</v>
      </c>
      <c r="AC488" s="296" t="s">
        <v>4324</v>
      </c>
      <c r="AD488" s="296" t="s">
        <v>4325</v>
      </c>
      <c r="AE488" s="296" t="s">
        <v>192</v>
      </c>
      <c r="AF488" s="296" t="s">
        <v>193</v>
      </c>
      <c r="AG488" s="296">
        <v>1928559</v>
      </c>
      <c r="AH488" s="298">
        <v>36802</v>
      </c>
      <c r="AJ488" s="296" t="s">
        <v>194</v>
      </c>
      <c r="AK488" s="299">
        <f>COUNTIF($A$3:A$917,A488)</f>
        <v>1</v>
      </c>
    </row>
    <row r="489" spans="1:37" x14ac:dyDescent="0.25">
      <c r="A489" s="296">
        <v>3102140259</v>
      </c>
      <c r="B489" s="296" t="s">
        <v>4326</v>
      </c>
      <c r="C489" s="296" t="s">
        <v>183</v>
      </c>
      <c r="D489" s="296" t="s">
        <v>183</v>
      </c>
      <c r="E489" s="296" t="s">
        <v>183</v>
      </c>
      <c r="F489" s="296" t="s">
        <v>968</v>
      </c>
      <c r="G489" s="296" t="s">
        <v>969</v>
      </c>
      <c r="H489" s="296" t="s">
        <v>970</v>
      </c>
      <c r="I489" s="296" t="s">
        <v>4301</v>
      </c>
      <c r="J489" s="296" t="s">
        <v>4327</v>
      </c>
      <c r="K489" s="296" t="s">
        <v>4328</v>
      </c>
      <c r="L489" s="296" t="s">
        <v>4326</v>
      </c>
      <c r="M489" s="296" t="s">
        <v>179</v>
      </c>
      <c r="N489" s="296" t="s">
        <v>968</v>
      </c>
      <c r="O489" s="296" t="s">
        <v>969</v>
      </c>
      <c r="P489" s="296" t="s">
        <v>970</v>
      </c>
      <c r="Q489" s="296" t="s">
        <v>183</v>
      </c>
      <c r="R489" s="296" t="s">
        <v>4329</v>
      </c>
      <c r="S489" s="296" t="s">
        <v>185</v>
      </c>
      <c r="T489" s="296" t="s">
        <v>185</v>
      </c>
      <c r="U489" s="296" t="s">
        <v>186</v>
      </c>
      <c r="V489" s="296" t="s">
        <v>187</v>
      </c>
      <c r="W489" s="296" t="s">
        <v>188</v>
      </c>
      <c r="X489" s="296" t="s">
        <v>224</v>
      </c>
      <c r="Y489" s="296" t="s">
        <v>183</v>
      </c>
      <c r="Z489" s="296" t="s">
        <v>183</v>
      </c>
      <c r="AA489" s="296" t="s">
        <v>183</v>
      </c>
      <c r="AB489" s="296" t="s">
        <v>183</v>
      </c>
      <c r="AC489" s="296" t="s">
        <v>4330</v>
      </c>
      <c r="AD489" s="296" t="s">
        <v>4331</v>
      </c>
      <c r="AE489" s="296" t="s">
        <v>192</v>
      </c>
      <c r="AF489" s="296" t="s">
        <v>193</v>
      </c>
      <c r="AG489" s="296">
        <v>0</v>
      </c>
      <c r="AH489" s="298">
        <v>42034</v>
      </c>
      <c r="AJ489" s="296" t="s">
        <v>194</v>
      </c>
      <c r="AK489" s="299">
        <f>COUNTIF($A$3:A$917,A489)</f>
        <v>1</v>
      </c>
    </row>
    <row r="490" spans="1:37" x14ac:dyDescent="0.25">
      <c r="A490" s="296">
        <v>3101311377</v>
      </c>
      <c r="B490" s="296" t="s">
        <v>4332</v>
      </c>
      <c r="C490" s="296" t="s">
        <v>183</v>
      </c>
      <c r="D490" s="296" t="s">
        <v>183</v>
      </c>
      <c r="E490" s="296" t="s">
        <v>183</v>
      </c>
      <c r="F490" s="296" t="s">
        <v>4333</v>
      </c>
      <c r="G490" s="296" t="s">
        <v>4334</v>
      </c>
      <c r="H490" s="296" t="s">
        <v>4335</v>
      </c>
      <c r="I490" s="296" t="s">
        <v>4301</v>
      </c>
      <c r="J490" s="296" t="s">
        <v>4336</v>
      </c>
      <c r="K490" s="296" t="s">
        <v>862</v>
      </c>
      <c r="L490" s="296" t="s">
        <v>863</v>
      </c>
      <c r="M490" s="296" t="s">
        <v>179</v>
      </c>
      <c r="N490" s="296" t="s">
        <v>465</v>
      </c>
      <c r="O490" s="296" t="s">
        <v>864</v>
      </c>
      <c r="P490" s="296" t="s">
        <v>865</v>
      </c>
      <c r="Q490" s="296" t="s">
        <v>183</v>
      </c>
      <c r="R490" s="296" t="s">
        <v>4337</v>
      </c>
      <c r="S490" s="296" t="s">
        <v>185</v>
      </c>
      <c r="T490" s="296" t="s">
        <v>185</v>
      </c>
      <c r="U490" s="296" t="s">
        <v>186</v>
      </c>
      <c r="V490" s="296" t="s">
        <v>187</v>
      </c>
      <c r="W490" s="296" t="s">
        <v>188</v>
      </c>
      <c r="X490" s="296" t="s">
        <v>224</v>
      </c>
      <c r="Y490" s="296" t="s">
        <v>183</v>
      </c>
      <c r="Z490" s="296" t="s">
        <v>183</v>
      </c>
      <c r="AA490" s="296" t="s">
        <v>183</v>
      </c>
      <c r="AB490" s="296" t="s">
        <v>183</v>
      </c>
      <c r="AC490" s="296" t="s">
        <v>3095</v>
      </c>
      <c r="AD490" s="296" t="s">
        <v>4338</v>
      </c>
      <c r="AE490" s="296" t="s">
        <v>192</v>
      </c>
      <c r="AF490" s="296" t="s">
        <v>193</v>
      </c>
      <c r="AG490" s="296">
        <v>0</v>
      </c>
      <c r="AH490" s="298">
        <v>42202</v>
      </c>
      <c r="AJ490" s="296" t="s">
        <v>194</v>
      </c>
      <c r="AK490" s="299">
        <f>COUNTIF($A$3:A$917,A490)</f>
        <v>1</v>
      </c>
    </row>
    <row r="491" spans="1:37" x14ac:dyDescent="0.25">
      <c r="A491" s="296">
        <v>3101341639</v>
      </c>
      <c r="B491" s="296" t="s">
        <v>4339</v>
      </c>
      <c r="C491" s="296" t="s">
        <v>183</v>
      </c>
      <c r="D491" s="296" t="s">
        <v>183</v>
      </c>
      <c r="E491" s="296" t="s">
        <v>183</v>
      </c>
      <c r="F491" s="296" t="s">
        <v>4340</v>
      </c>
      <c r="G491" s="296" t="s">
        <v>4341</v>
      </c>
      <c r="H491" s="296" t="s">
        <v>4342</v>
      </c>
      <c r="I491" s="296" t="s">
        <v>4343</v>
      </c>
      <c r="J491" s="296" t="s">
        <v>4344</v>
      </c>
      <c r="K491" s="296" t="s">
        <v>4345</v>
      </c>
      <c r="L491" s="296" t="s">
        <v>4346</v>
      </c>
      <c r="M491" s="296" t="s">
        <v>179</v>
      </c>
      <c r="N491" s="296" t="s">
        <v>4347</v>
      </c>
      <c r="O491" s="296" t="s">
        <v>4348</v>
      </c>
      <c r="P491" s="296" t="s">
        <v>4349</v>
      </c>
      <c r="Q491" s="296" t="s">
        <v>183</v>
      </c>
      <c r="R491" s="296" t="s">
        <v>4350</v>
      </c>
      <c r="S491" s="296" t="s">
        <v>185</v>
      </c>
      <c r="T491" s="296" t="s">
        <v>185</v>
      </c>
      <c r="U491" s="296" t="s">
        <v>186</v>
      </c>
      <c r="V491" s="296" t="s">
        <v>187</v>
      </c>
      <c r="W491" s="296" t="s">
        <v>188</v>
      </c>
      <c r="X491" s="296" t="s">
        <v>189</v>
      </c>
      <c r="Y491" s="296" t="s">
        <v>183</v>
      </c>
      <c r="Z491" s="296" t="s">
        <v>183</v>
      </c>
      <c r="AA491" s="296" t="s">
        <v>183</v>
      </c>
      <c r="AB491" s="296" t="s">
        <v>183</v>
      </c>
      <c r="AC491" s="296" t="s">
        <v>4351</v>
      </c>
      <c r="AD491" s="296" t="s">
        <v>4352</v>
      </c>
      <c r="AE491" s="296" t="s">
        <v>192</v>
      </c>
      <c r="AF491" s="296" t="s">
        <v>193</v>
      </c>
      <c r="AG491" s="296">
        <v>0</v>
      </c>
      <c r="AH491" s="298">
        <v>39009</v>
      </c>
      <c r="AJ491" s="296" t="s">
        <v>194</v>
      </c>
      <c r="AK491" s="299">
        <f>COUNTIF($A$3:A$917,A491)</f>
        <v>1</v>
      </c>
    </row>
    <row r="492" spans="1:37" x14ac:dyDescent="0.25">
      <c r="A492" s="296">
        <v>503760103</v>
      </c>
      <c r="B492" s="296" t="s">
        <v>4353</v>
      </c>
      <c r="C492" s="296" t="s">
        <v>183</v>
      </c>
      <c r="D492" s="296" t="s">
        <v>183</v>
      </c>
      <c r="E492" s="296" t="s">
        <v>183</v>
      </c>
      <c r="F492" s="296" t="s">
        <v>4354</v>
      </c>
      <c r="G492" s="296" t="s">
        <v>183</v>
      </c>
      <c r="H492" s="296" t="s">
        <v>4355</v>
      </c>
      <c r="I492" s="296" t="s">
        <v>4356</v>
      </c>
      <c r="J492" s="296" t="s">
        <v>4357</v>
      </c>
      <c r="K492" s="296" t="s">
        <v>2582</v>
      </c>
      <c r="L492" s="296" t="s">
        <v>2583</v>
      </c>
      <c r="M492" s="296" t="s">
        <v>179</v>
      </c>
      <c r="N492" s="296" t="s">
        <v>2584</v>
      </c>
      <c r="O492" s="296" t="s">
        <v>2584</v>
      </c>
      <c r="P492" s="296" t="s">
        <v>2585</v>
      </c>
      <c r="Q492" s="296" t="s">
        <v>183</v>
      </c>
      <c r="R492" s="296" t="s">
        <v>2586</v>
      </c>
      <c r="S492" s="296" t="s">
        <v>185</v>
      </c>
      <c r="T492" s="296" t="s">
        <v>185</v>
      </c>
      <c r="U492" s="296" t="s">
        <v>186</v>
      </c>
      <c r="V492" s="296" t="s">
        <v>187</v>
      </c>
      <c r="W492" s="296" t="s">
        <v>188</v>
      </c>
      <c r="X492" s="296" t="s">
        <v>189</v>
      </c>
      <c r="Y492" s="296" t="s">
        <v>183</v>
      </c>
      <c r="Z492" s="296" t="s">
        <v>183</v>
      </c>
      <c r="AA492" s="296" t="s">
        <v>183</v>
      </c>
      <c r="AB492" s="296" t="s">
        <v>183</v>
      </c>
      <c r="AC492" s="296" t="s">
        <v>2587</v>
      </c>
      <c r="AD492" s="296" t="s">
        <v>4358</v>
      </c>
      <c r="AE492" s="296" t="s">
        <v>192</v>
      </c>
      <c r="AF492" s="296" t="s">
        <v>193</v>
      </c>
      <c r="AG492" s="296">
        <v>0</v>
      </c>
      <c r="AH492" s="298">
        <v>44746</v>
      </c>
      <c r="AJ492" s="296" t="s">
        <v>194</v>
      </c>
      <c r="AK492" s="299">
        <f>COUNTIF($A$3:A$917,A492)</f>
        <v>1</v>
      </c>
    </row>
    <row r="493" spans="1:37" x14ac:dyDescent="0.25">
      <c r="A493" s="296">
        <v>504690797</v>
      </c>
      <c r="B493" s="296" t="s">
        <v>1866</v>
      </c>
      <c r="C493" s="296" t="s">
        <v>183</v>
      </c>
      <c r="D493" s="296" t="s">
        <v>183</v>
      </c>
      <c r="E493" s="296" t="s">
        <v>183</v>
      </c>
      <c r="F493" s="296" t="s">
        <v>1867</v>
      </c>
      <c r="G493" s="296" t="s">
        <v>1867</v>
      </c>
      <c r="H493" s="296" t="s">
        <v>1868</v>
      </c>
      <c r="I493" s="296" t="s">
        <v>4359</v>
      </c>
      <c r="J493" s="296" t="s">
        <v>1870</v>
      </c>
      <c r="K493" s="296" t="s">
        <v>1269</v>
      </c>
      <c r="L493" s="296" t="s">
        <v>1270</v>
      </c>
      <c r="M493" s="296" t="s">
        <v>179</v>
      </c>
      <c r="N493" s="296" t="s">
        <v>1271</v>
      </c>
      <c r="O493" s="296" t="s">
        <v>1272</v>
      </c>
      <c r="P493" s="296" t="s">
        <v>1273</v>
      </c>
      <c r="Q493" s="296" t="s">
        <v>183</v>
      </c>
      <c r="R493" s="296" t="s">
        <v>1871</v>
      </c>
      <c r="S493" s="296" t="s">
        <v>185</v>
      </c>
      <c r="T493" s="296" t="s">
        <v>185</v>
      </c>
      <c r="U493" s="296" t="s">
        <v>186</v>
      </c>
      <c r="V493" s="296" t="s">
        <v>187</v>
      </c>
      <c r="W493" s="296" t="s">
        <v>188</v>
      </c>
      <c r="X493" s="296" t="s">
        <v>189</v>
      </c>
      <c r="Y493" s="296" t="s">
        <v>183</v>
      </c>
      <c r="Z493" s="296" t="s">
        <v>183</v>
      </c>
      <c r="AA493" s="296" t="s">
        <v>183</v>
      </c>
      <c r="AB493" s="296" t="s">
        <v>183</v>
      </c>
      <c r="AC493" s="296" t="s">
        <v>1872</v>
      </c>
      <c r="AD493" s="296" t="s">
        <v>4360</v>
      </c>
      <c r="AE493" s="296" t="s">
        <v>192</v>
      </c>
      <c r="AF493" s="296" t="s">
        <v>193</v>
      </c>
      <c r="AG493" s="296">
        <v>0</v>
      </c>
      <c r="AH493" s="298">
        <v>45565</v>
      </c>
      <c r="AJ493" s="296" t="s">
        <v>194</v>
      </c>
      <c r="AK493" s="299">
        <f>COUNTIF($A$3:A$917,A493)</f>
        <v>3</v>
      </c>
    </row>
    <row r="494" spans="1:37" x14ac:dyDescent="0.25">
      <c r="A494" s="296">
        <v>503000730</v>
      </c>
      <c r="B494" s="296" t="s">
        <v>1883</v>
      </c>
      <c r="C494" s="296" t="s">
        <v>183</v>
      </c>
      <c r="D494" s="296" t="s">
        <v>183</v>
      </c>
      <c r="E494" s="296" t="s">
        <v>183</v>
      </c>
      <c r="F494" s="296" t="s">
        <v>1884</v>
      </c>
      <c r="G494" s="296" t="s">
        <v>1884</v>
      </c>
      <c r="H494" s="296" t="s">
        <v>1885</v>
      </c>
      <c r="I494" s="296" t="s">
        <v>4359</v>
      </c>
      <c r="J494" s="296" t="s">
        <v>4361</v>
      </c>
      <c r="K494" s="296" t="s">
        <v>355</v>
      </c>
      <c r="L494" s="296" t="s">
        <v>356</v>
      </c>
      <c r="M494" s="296" t="s">
        <v>179</v>
      </c>
      <c r="N494" s="296" t="s">
        <v>278</v>
      </c>
      <c r="O494" s="296" t="s">
        <v>278</v>
      </c>
      <c r="P494" s="296" t="s">
        <v>183</v>
      </c>
      <c r="Q494" s="296" t="s">
        <v>183</v>
      </c>
      <c r="R494" s="296" t="s">
        <v>357</v>
      </c>
      <c r="S494" s="296" t="s">
        <v>185</v>
      </c>
      <c r="T494" s="296" t="s">
        <v>185</v>
      </c>
      <c r="U494" s="296" t="s">
        <v>186</v>
      </c>
      <c r="V494" s="296" t="s">
        <v>187</v>
      </c>
      <c r="W494" s="296" t="s">
        <v>188</v>
      </c>
      <c r="X494" s="296" t="s">
        <v>189</v>
      </c>
      <c r="Y494" s="296" t="s">
        <v>183</v>
      </c>
      <c r="Z494" s="296" t="s">
        <v>183</v>
      </c>
      <c r="AA494" s="296" t="s">
        <v>183</v>
      </c>
      <c r="AB494" s="296" t="s">
        <v>183</v>
      </c>
      <c r="AC494" s="296" t="s">
        <v>358</v>
      </c>
      <c r="AD494" s="296" t="s">
        <v>4362</v>
      </c>
      <c r="AE494" s="296" t="s">
        <v>192</v>
      </c>
      <c r="AF494" s="296" t="s">
        <v>193</v>
      </c>
      <c r="AG494" s="296">
        <v>0</v>
      </c>
      <c r="AH494" s="298">
        <v>44684</v>
      </c>
      <c r="AJ494" s="296" t="s">
        <v>194</v>
      </c>
      <c r="AK494" s="299">
        <f>COUNTIF($A$3:A$917,A494)</f>
        <v>2</v>
      </c>
    </row>
    <row r="495" spans="1:37" x14ac:dyDescent="0.25">
      <c r="A495" s="296">
        <v>111520839</v>
      </c>
      <c r="B495" s="296" t="s">
        <v>4363</v>
      </c>
      <c r="C495" s="296" t="s">
        <v>183</v>
      </c>
      <c r="D495" s="296" t="s">
        <v>183</v>
      </c>
      <c r="E495" s="296" t="s">
        <v>183</v>
      </c>
      <c r="F495" s="296" t="s">
        <v>4364</v>
      </c>
      <c r="G495" s="296" t="s">
        <v>183</v>
      </c>
      <c r="H495" s="296" t="s">
        <v>4365</v>
      </c>
      <c r="I495" s="296" t="s">
        <v>4359</v>
      </c>
      <c r="J495" s="296" t="s">
        <v>4366</v>
      </c>
      <c r="K495" s="296" t="s">
        <v>862</v>
      </c>
      <c r="L495" s="296" t="s">
        <v>863</v>
      </c>
      <c r="M495" s="296" t="s">
        <v>179</v>
      </c>
      <c r="N495" s="296" t="s">
        <v>465</v>
      </c>
      <c r="O495" s="296" t="s">
        <v>864</v>
      </c>
      <c r="P495" s="296" t="s">
        <v>865</v>
      </c>
      <c r="Q495" s="296" t="s">
        <v>183</v>
      </c>
      <c r="R495" s="296" t="s">
        <v>4367</v>
      </c>
      <c r="S495" s="296" t="s">
        <v>185</v>
      </c>
      <c r="T495" s="296" t="s">
        <v>185</v>
      </c>
      <c r="U495" s="296" t="s">
        <v>186</v>
      </c>
      <c r="V495" s="296" t="s">
        <v>187</v>
      </c>
      <c r="W495" s="296" t="s">
        <v>188</v>
      </c>
      <c r="X495" s="296" t="s">
        <v>189</v>
      </c>
      <c r="Y495" s="296" t="s">
        <v>183</v>
      </c>
      <c r="Z495" s="296" t="s">
        <v>183</v>
      </c>
      <c r="AA495" s="296" t="s">
        <v>183</v>
      </c>
      <c r="AB495" s="296" t="s">
        <v>183</v>
      </c>
      <c r="AC495" s="296" t="s">
        <v>4368</v>
      </c>
      <c r="AD495" s="296" t="s">
        <v>4369</v>
      </c>
      <c r="AE495" s="296" t="s">
        <v>192</v>
      </c>
      <c r="AF495" s="296" t="s">
        <v>193</v>
      </c>
      <c r="AG495" s="296">
        <v>0</v>
      </c>
      <c r="AH495" s="298">
        <v>45252</v>
      </c>
      <c r="AJ495" s="296" t="s">
        <v>194</v>
      </c>
      <c r="AK495" s="299">
        <f>COUNTIF($A$3:A$917,A495)</f>
        <v>1</v>
      </c>
    </row>
    <row r="496" spans="1:37" x14ac:dyDescent="0.25">
      <c r="A496" s="296">
        <v>503130961</v>
      </c>
      <c r="B496" s="296" t="s">
        <v>351</v>
      </c>
      <c r="C496" s="296" t="s">
        <v>183</v>
      </c>
      <c r="D496" s="296" t="s">
        <v>183</v>
      </c>
      <c r="E496" s="296" t="s">
        <v>183</v>
      </c>
      <c r="F496" s="296" t="s">
        <v>352</v>
      </c>
      <c r="G496" s="296" t="s">
        <v>352</v>
      </c>
      <c r="H496" s="296" t="s">
        <v>353</v>
      </c>
      <c r="I496" s="296" t="s">
        <v>4359</v>
      </c>
      <c r="J496" s="296" t="s">
        <v>4370</v>
      </c>
      <c r="K496" s="296" t="s">
        <v>355</v>
      </c>
      <c r="L496" s="296" t="s">
        <v>356</v>
      </c>
      <c r="M496" s="296" t="s">
        <v>179</v>
      </c>
      <c r="N496" s="296" t="s">
        <v>278</v>
      </c>
      <c r="O496" s="296" t="s">
        <v>278</v>
      </c>
      <c r="P496" s="296" t="s">
        <v>183</v>
      </c>
      <c r="Q496" s="296" t="s">
        <v>183</v>
      </c>
      <c r="R496" s="296" t="s">
        <v>357</v>
      </c>
      <c r="S496" s="296" t="s">
        <v>185</v>
      </c>
      <c r="T496" s="296" t="s">
        <v>185</v>
      </c>
      <c r="U496" s="296" t="s">
        <v>186</v>
      </c>
      <c r="V496" s="296" t="s">
        <v>187</v>
      </c>
      <c r="W496" s="296" t="s">
        <v>188</v>
      </c>
      <c r="X496" s="296" t="s">
        <v>189</v>
      </c>
      <c r="Y496" s="296" t="s">
        <v>183</v>
      </c>
      <c r="Z496" s="296" t="s">
        <v>183</v>
      </c>
      <c r="AA496" s="296" t="s">
        <v>183</v>
      </c>
      <c r="AB496" s="296" t="s">
        <v>183</v>
      </c>
      <c r="AC496" s="296" t="s">
        <v>358</v>
      </c>
      <c r="AD496" s="296" t="s">
        <v>4371</v>
      </c>
      <c r="AE496" s="296" t="s">
        <v>192</v>
      </c>
      <c r="AF496" s="296" t="s">
        <v>193</v>
      </c>
      <c r="AG496" s="296">
        <v>0</v>
      </c>
      <c r="AH496" s="298">
        <v>44915</v>
      </c>
      <c r="AJ496" s="296" t="s">
        <v>194</v>
      </c>
      <c r="AK496" s="299">
        <f>COUNTIF($A$3:A$917,A496)</f>
        <v>2</v>
      </c>
    </row>
    <row r="497" spans="1:37" x14ac:dyDescent="0.25">
      <c r="A497" s="296">
        <v>206090001</v>
      </c>
      <c r="B497" s="296" t="s">
        <v>4372</v>
      </c>
      <c r="C497" s="296" t="s">
        <v>183</v>
      </c>
      <c r="D497" s="296" t="s">
        <v>183</v>
      </c>
      <c r="E497" s="296" t="s">
        <v>183</v>
      </c>
      <c r="F497" s="296" t="s">
        <v>4373</v>
      </c>
      <c r="G497" s="296" t="s">
        <v>183</v>
      </c>
      <c r="H497" s="296" t="s">
        <v>4374</v>
      </c>
      <c r="I497" s="296" t="s">
        <v>4359</v>
      </c>
      <c r="J497" s="296" t="s">
        <v>4375</v>
      </c>
      <c r="K497" s="296" t="s">
        <v>4376</v>
      </c>
      <c r="L497" s="296" t="s">
        <v>4377</v>
      </c>
      <c r="M497" s="296" t="s">
        <v>179</v>
      </c>
      <c r="N497" s="296" t="s">
        <v>1597</v>
      </c>
      <c r="O497" s="296" t="s">
        <v>1597</v>
      </c>
      <c r="P497" s="296" t="s">
        <v>4378</v>
      </c>
      <c r="Q497" s="296" t="s">
        <v>183</v>
      </c>
      <c r="R497" s="296" t="s">
        <v>4379</v>
      </c>
      <c r="S497" s="296" t="s">
        <v>185</v>
      </c>
      <c r="T497" s="296" t="s">
        <v>185</v>
      </c>
      <c r="U497" s="296" t="s">
        <v>186</v>
      </c>
      <c r="V497" s="296" t="s">
        <v>187</v>
      </c>
      <c r="W497" s="296" t="s">
        <v>188</v>
      </c>
      <c r="X497" s="296" t="s">
        <v>404</v>
      </c>
      <c r="Y497" s="296" t="s">
        <v>183</v>
      </c>
      <c r="Z497" s="296" t="s">
        <v>183</v>
      </c>
      <c r="AA497" s="296" t="s">
        <v>183</v>
      </c>
      <c r="AB497" s="296" t="s">
        <v>183</v>
      </c>
      <c r="AC497" s="296" t="s">
        <v>4380</v>
      </c>
      <c r="AD497" s="296" t="s">
        <v>4381</v>
      </c>
      <c r="AE497" s="296" t="s">
        <v>192</v>
      </c>
      <c r="AF497" s="296" t="s">
        <v>193</v>
      </c>
      <c r="AG497" s="296">
        <v>0</v>
      </c>
      <c r="AH497" s="298">
        <v>45945</v>
      </c>
      <c r="AJ497" s="296" t="s">
        <v>194</v>
      </c>
      <c r="AK497" s="299">
        <f>COUNTIF($A$3:A$917,A497)</f>
        <v>2</v>
      </c>
    </row>
    <row r="498" spans="1:37" x14ac:dyDescent="0.25">
      <c r="A498" s="296">
        <v>208270837</v>
      </c>
      <c r="B498" s="296" t="s">
        <v>3867</v>
      </c>
      <c r="C498" s="296" t="s">
        <v>183</v>
      </c>
      <c r="D498" s="296" t="s">
        <v>183</v>
      </c>
      <c r="E498" s="296" t="s">
        <v>183</v>
      </c>
      <c r="F498" s="296" t="s">
        <v>3868</v>
      </c>
      <c r="G498" s="296" t="s">
        <v>3868</v>
      </c>
      <c r="H498" s="296" t="s">
        <v>3869</v>
      </c>
      <c r="I498" s="296" t="s">
        <v>4359</v>
      </c>
      <c r="J498" s="296" t="s">
        <v>4382</v>
      </c>
      <c r="K498" s="296" t="s">
        <v>3871</v>
      </c>
      <c r="L498" s="296" t="s">
        <v>3872</v>
      </c>
      <c r="M498" s="296" t="s">
        <v>179</v>
      </c>
      <c r="N498" s="296" t="s">
        <v>1570</v>
      </c>
      <c r="O498" s="296" t="s">
        <v>1570</v>
      </c>
      <c r="P498" s="296" t="s">
        <v>3873</v>
      </c>
      <c r="Q498" s="296" t="s">
        <v>183</v>
      </c>
      <c r="R498" s="296" t="s">
        <v>3874</v>
      </c>
      <c r="S498" s="296" t="s">
        <v>185</v>
      </c>
      <c r="T498" s="296" t="s">
        <v>185</v>
      </c>
      <c r="U498" s="296" t="s">
        <v>186</v>
      </c>
      <c r="V498" s="296" t="s">
        <v>187</v>
      </c>
      <c r="W498" s="296" t="s">
        <v>188</v>
      </c>
      <c r="X498" s="296" t="s">
        <v>189</v>
      </c>
      <c r="Y498" s="296" t="s">
        <v>183</v>
      </c>
      <c r="Z498" s="296" t="s">
        <v>183</v>
      </c>
      <c r="AA498" s="296" t="s">
        <v>183</v>
      </c>
      <c r="AB498" s="296" t="s">
        <v>183</v>
      </c>
      <c r="AC498" s="296" t="s">
        <v>3875</v>
      </c>
      <c r="AD498" s="296" t="s">
        <v>4383</v>
      </c>
      <c r="AE498" s="296" t="s">
        <v>192</v>
      </c>
      <c r="AF498" s="296" t="s">
        <v>193</v>
      </c>
      <c r="AG498" s="296">
        <v>0</v>
      </c>
      <c r="AH498" s="298">
        <v>45555</v>
      </c>
      <c r="AJ498" s="296" t="s">
        <v>194</v>
      </c>
      <c r="AK498" s="299">
        <f>COUNTIF($A$3:A$917,A498)</f>
        <v>3</v>
      </c>
    </row>
    <row r="499" spans="1:37" x14ac:dyDescent="0.25">
      <c r="A499" s="296">
        <v>501160115</v>
      </c>
      <c r="B499" s="296" t="s">
        <v>3049</v>
      </c>
      <c r="C499" s="296" t="s">
        <v>183</v>
      </c>
      <c r="D499" s="296" t="s">
        <v>183</v>
      </c>
      <c r="E499" s="296" t="s">
        <v>183</v>
      </c>
      <c r="F499" s="296" t="s">
        <v>3050</v>
      </c>
      <c r="G499" s="296" t="s">
        <v>3051</v>
      </c>
      <c r="H499" s="296" t="s">
        <v>3052</v>
      </c>
      <c r="I499" s="296" t="s">
        <v>4384</v>
      </c>
      <c r="J499" s="296" t="s">
        <v>3053</v>
      </c>
      <c r="K499" s="296" t="s">
        <v>3054</v>
      </c>
      <c r="L499" s="296" t="s">
        <v>3055</v>
      </c>
      <c r="M499" s="296" t="s">
        <v>179</v>
      </c>
      <c r="N499" s="296" t="s">
        <v>3050</v>
      </c>
      <c r="O499" s="296" t="s">
        <v>3050</v>
      </c>
      <c r="P499" s="296" t="s">
        <v>3052</v>
      </c>
      <c r="Q499" s="296" t="s">
        <v>183</v>
      </c>
      <c r="R499" s="296" t="s">
        <v>3056</v>
      </c>
      <c r="S499" s="296" t="s">
        <v>185</v>
      </c>
      <c r="T499" s="296" t="s">
        <v>185</v>
      </c>
      <c r="U499" s="296" t="s">
        <v>186</v>
      </c>
      <c r="V499" s="296" t="s">
        <v>187</v>
      </c>
      <c r="W499" s="296" t="s">
        <v>188</v>
      </c>
      <c r="X499" s="296" t="s">
        <v>189</v>
      </c>
      <c r="Y499" s="296" t="s">
        <v>183</v>
      </c>
      <c r="Z499" s="296" t="s">
        <v>183</v>
      </c>
      <c r="AA499" s="296" t="s">
        <v>183</v>
      </c>
      <c r="AB499" s="296" t="s">
        <v>183</v>
      </c>
      <c r="AC499" s="296" t="s">
        <v>3057</v>
      </c>
      <c r="AD499" s="296" t="s">
        <v>4385</v>
      </c>
      <c r="AE499" s="296" t="s">
        <v>192</v>
      </c>
      <c r="AF499" s="296" t="s">
        <v>193</v>
      </c>
      <c r="AG499" s="296">
        <v>26648.75</v>
      </c>
      <c r="AH499" s="298">
        <v>43501</v>
      </c>
      <c r="AJ499" s="296" t="s">
        <v>194</v>
      </c>
      <c r="AK499" s="299">
        <f>COUNTIF($A$3:A$917,A499)</f>
        <v>2</v>
      </c>
    </row>
    <row r="500" spans="1:37" x14ac:dyDescent="0.25">
      <c r="A500" s="296">
        <v>503240301</v>
      </c>
      <c r="B500" s="296" t="s">
        <v>4386</v>
      </c>
      <c r="C500" s="296" t="s">
        <v>183</v>
      </c>
      <c r="D500" s="296" t="s">
        <v>183</v>
      </c>
      <c r="E500" s="296" t="s">
        <v>183</v>
      </c>
      <c r="F500" s="296" t="s">
        <v>4387</v>
      </c>
      <c r="G500" s="296" t="s">
        <v>4387</v>
      </c>
      <c r="H500" s="296" t="s">
        <v>4388</v>
      </c>
      <c r="I500" s="296" t="s">
        <v>4389</v>
      </c>
      <c r="J500" s="296" t="s">
        <v>4390</v>
      </c>
      <c r="K500" s="296" t="s">
        <v>2986</v>
      </c>
      <c r="L500" s="296" t="s">
        <v>2987</v>
      </c>
      <c r="M500" s="296" t="s">
        <v>179</v>
      </c>
      <c r="N500" s="296" t="s">
        <v>2988</v>
      </c>
      <c r="O500" s="296" t="s">
        <v>2988</v>
      </c>
      <c r="P500" s="296" t="s">
        <v>2989</v>
      </c>
      <c r="Q500" s="296" t="s">
        <v>183</v>
      </c>
      <c r="R500" s="296" t="s">
        <v>2990</v>
      </c>
      <c r="S500" s="296" t="s">
        <v>185</v>
      </c>
      <c r="T500" s="296" t="s">
        <v>185</v>
      </c>
      <c r="U500" s="296" t="s">
        <v>186</v>
      </c>
      <c r="V500" s="296" t="s">
        <v>187</v>
      </c>
      <c r="W500" s="296" t="s">
        <v>188</v>
      </c>
      <c r="X500" s="296" t="s">
        <v>189</v>
      </c>
      <c r="Y500" s="296" t="s">
        <v>183</v>
      </c>
      <c r="Z500" s="296" t="s">
        <v>183</v>
      </c>
      <c r="AA500" s="296" t="s">
        <v>183</v>
      </c>
      <c r="AB500" s="296" t="s">
        <v>183</v>
      </c>
      <c r="AC500" s="296" t="s">
        <v>2991</v>
      </c>
      <c r="AD500" s="296" t="s">
        <v>4391</v>
      </c>
      <c r="AE500" s="296" t="s">
        <v>192</v>
      </c>
      <c r="AF500" s="296" t="s">
        <v>193</v>
      </c>
      <c r="AG500" s="296">
        <v>0</v>
      </c>
      <c r="AH500" s="298">
        <v>44349</v>
      </c>
      <c r="AJ500" s="296" t="s">
        <v>194</v>
      </c>
      <c r="AK500" s="299">
        <f>COUNTIF($A$3:A$917,A500)</f>
        <v>1</v>
      </c>
    </row>
    <row r="501" spans="1:37" x14ac:dyDescent="0.25">
      <c r="A501" s="296">
        <v>3101127973</v>
      </c>
      <c r="B501" s="296" t="s">
        <v>4392</v>
      </c>
      <c r="C501" s="296" t="s">
        <v>4393</v>
      </c>
      <c r="D501" s="296" t="s">
        <v>4394</v>
      </c>
      <c r="E501" s="296" t="s">
        <v>172</v>
      </c>
      <c r="F501" s="296" t="s">
        <v>4395</v>
      </c>
      <c r="G501" s="296" t="s">
        <v>4396</v>
      </c>
      <c r="H501" s="296" t="s">
        <v>4397</v>
      </c>
      <c r="I501" s="296" t="s">
        <v>4389</v>
      </c>
      <c r="J501" s="296" t="s">
        <v>4398</v>
      </c>
      <c r="K501" s="296" t="s">
        <v>4399</v>
      </c>
      <c r="L501" s="296" t="s">
        <v>4392</v>
      </c>
      <c r="M501" s="296" t="s">
        <v>179</v>
      </c>
      <c r="N501" s="296" t="s">
        <v>4395</v>
      </c>
      <c r="O501" s="296" t="s">
        <v>4396</v>
      </c>
      <c r="P501" s="296" t="s">
        <v>4397</v>
      </c>
      <c r="Q501" s="296" t="s">
        <v>183</v>
      </c>
      <c r="R501" s="296" t="s">
        <v>4400</v>
      </c>
      <c r="S501" s="296" t="s">
        <v>185</v>
      </c>
      <c r="T501" s="296" t="s">
        <v>185</v>
      </c>
      <c r="U501" s="296" t="s">
        <v>186</v>
      </c>
      <c r="V501" s="296" t="s">
        <v>187</v>
      </c>
      <c r="W501" s="296" t="s">
        <v>188</v>
      </c>
      <c r="X501" s="296" t="s">
        <v>189</v>
      </c>
      <c r="Y501" s="296" t="s">
        <v>183</v>
      </c>
      <c r="Z501" s="296" t="s">
        <v>183</v>
      </c>
      <c r="AA501" s="296" t="s">
        <v>183</v>
      </c>
      <c r="AB501" s="296" t="s">
        <v>183</v>
      </c>
      <c r="AC501" s="296" t="s">
        <v>4401</v>
      </c>
      <c r="AD501" s="296" t="s">
        <v>4402</v>
      </c>
      <c r="AE501" s="296" t="s">
        <v>192</v>
      </c>
      <c r="AF501" s="296" t="s">
        <v>193</v>
      </c>
      <c r="AG501" s="296">
        <v>21419</v>
      </c>
      <c r="AH501" s="298">
        <v>42067</v>
      </c>
      <c r="AJ501" s="296" t="s">
        <v>194</v>
      </c>
      <c r="AK501" s="299">
        <f>COUNTIF($A$3:A$917,A501)</f>
        <v>1</v>
      </c>
    </row>
    <row r="502" spans="1:37" x14ac:dyDescent="0.25">
      <c r="A502" s="296">
        <v>155815282518</v>
      </c>
      <c r="B502" s="296" t="s">
        <v>4403</v>
      </c>
      <c r="C502" s="296" t="s">
        <v>183</v>
      </c>
      <c r="D502" s="296" t="s">
        <v>183</v>
      </c>
      <c r="E502" s="296" t="s">
        <v>183</v>
      </c>
      <c r="F502" s="296" t="s">
        <v>4404</v>
      </c>
      <c r="G502" s="296" t="s">
        <v>4405</v>
      </c>
      <c r="H502" s="296" t="s">
        <v>4406</v>
      </c>
      <c r="I502" s="296" t="s">
        <v>4407</v>
      </c>
      <c r="J502" s="296" t="s">
        <v>4408</v>
      </c>
      <c r="K502" s="296" t="s">
        <v>183</v>
      </c>
      <c r="L502" s="296" t="s">
        <v>183</v>
      </c>
      <c r="M502" s="296" t="s">
        <v>183</v>
      </c>
      <c r="N502" s="296" t="s">
        <v>1291</v>
      </c>
      <c r="O502" s="296" t="s">
        <v>183</v>
      </c>
      <c r="P502" s="296" t="s">
        <v>183</v>
      </c>
      <c r="Q502" s="296" t="s">
        <v>183</v>
      </c>
      <c r="R502" s="296" t="s">
        <v>183</v>
      </c>
      <c r="S502" s="296" t="s">
        <v>183</v>
      </c>
      <c r="T502" s="296" t="s">
        <v>183</v>
      </c>
      <c r="U502" s="296" t="s">
        <v>183</v>
      </c>
      <c r="V502" s="296" t="s">
        <v>183</v>
      </c>
      <c r="W502" s="296" t="s">
        <v>183</v>
      </c>
      <c r="X502" s="296" t="s">
        <v>183</v>
      </c>
      <c r="Y502" s="296" t="s">
        <v>183</v>
      </c>
      <c r="Z502" s="296" t="s">
        <v>183</v>
      </c>
      <c r="AA502" s="296" t="s">
        <v>183</v>
      </c>
      <c r="AB502" s="296" t="s">
        <v>183</v>
      </c>
      <c r="AC502" s="296" t="s">
        <v>183</v>
      </c>
      <c r="AD502" s="296" t="s">
        <v>4409</v>
      </c>
      <c r="AE502" s="296" t="s">
        <v>192</v>
      </c>
      <c r="AF502" s="296" t="s">
        <v>193</v>
      </c>
      <c r="AG502" s="296">
        <v>0</v>
      </c>
      <c r="AH502" s="298">
        <v>44593</v>
      </c>
      <c r="AJ502" s="296" t="s">
        <v>194</v>
      </c>
      <c r="AK502" s="299">
        <f>COUNTIF($A$3:A$917,A502)</f>
        <v>1</v>
      </c>
    </row>
    <row r="503" spans="1:37" x14ac:dyDescent="0.25">
      <c r="A503" s="296">
        <v>3101786255</v>
      </c>
      <c r="B503" s="296" t="s">
        <v>4410</v>
      </c>
      <c r="C503" s="296" t="s">
        <v>183</v>
      </c>
      <c r="D503" s="296" t="s">
        <v>183</v>
      </c>
      <c r="E503" s="296" t="s">
        <v>183</v>
      </c>
      <c r="F503" s="296" t="s">
        <v>3604</v>
      </c>
      <c r="G503" s="296" t="s">
        <v>183</v>
      </c>
      <c r="H503" s="296" t="s">
        <v>4411</v>
      </c>
      <c r="I503" s="296" t="s">
        <v>4412</v>
      </c>
      <c r="J503" s="296" t="s">
        <v>4413</v>
      </c>
      <c r="K503" s="296" t="s">
        <v>602</v>
      </c>
      <c r="L503" s="296" t="s">
        <v>603</v>
      </c>
      <c r="M503" s="296" t="s">
        <v>179</v>
      </c>
      <c r="N503" s="296" t="s">
        <v>604</v>
      </c>
      <c r="O503" s="296" t="s">
        <v>604</v>
      </c>
      <c r="P503" s="296" t="s">
        <v>605</v>
      </c>
      <c r="Q503" s="296" t="s">
        <v>183</v>
      </c>
      <c r="R503" s="296" t="s">
        <v>1281</v>
      </c>
      <c r="S503" s="296" t="s">
        <v>185</v>
      </c>
      <c r="T503" s="296" t="s">
        <v>185</v>
      </c>
      <c r="U503" s="296" t="s">
        <v>186</v>
      </c>
      <c r="V503" s="296" t="s">
        <v>187</v>
      </c>
      <c r="W503" s="296" t="s">
        <v>188</v>
      </c>
      <c r="X503" s="296" t="s">
        <v>189</v>
      </c>
      <c r="Y503" s="296" t="s">
        <v>183</v>
      </c>
      <c r="Z503" s="296" t="s">
        <v>183</v>
      </c>
      <c r="AA503" s="296" t="s">
        <v>183</v>
      </c>
      <c r="AB503" s="296" t="s">
        <v>183</v>
      </c>
      <c r="AC503" s="296" t="s">
        <v>1282</v>
      </c>
      <c r="AD503" s="296" t="s">
        <v>4414</v>
      </c>
      <c r="AE503" s="296" t="s">
        <v>192</v>
      </c>
      <c r="AF503" s="296" t="s">
        <v>193</v>
      </c>
      <c r="AG503" s="296">
        <v>20956</v>
      </c>
      <c r="AH503" s="298">
        <v>43804</v>
      </c>
      <c r="AJ503" s="296" t="s">
        <v>194</v>
      </c>
      <c r="AK503" s="299">
        <f>COUNTIF($A$3:A$917,A503)</f>
        <v>1</v>
      </c>
    </row>
    <row r="504" spans="1:37" x14ac:dyDescent="0.25">
      <c r="A504" s="296">
        <v>3102904313</v>
      </c>
      <c r="B504" s="296" t="s">
        <v>4415</v>
      </c>
      <c r="C504" s="296" t="s">
        <v>4416</v>
      </c>
      <c r="D504" s="296" t="s">
        <v>4417</v>
      </c>
      <c r="E504" s="296" t="s">
        <v>172</v>
      </c>
      <c r="F504" s="296" t="s">
        <v>4418</v>
      </c>
      <c r="G504" s="296" t="s">
        <v>183</v>
      </c>
      <c r="H504" s="296" t="s">
        <v>4419</v>
      </c>
      <c r="I504" s="296" t="s">
        <v>4412</v>
      </c>
      <c r="J504" s="296" t="s">
        <v>4420</v>
      </c>
      <c r="K504" s="296" t="s">
        <v>4421</v>
      </c>
      <c r="L504" s="296" t="s">
        <v>4415</v>
      </c>
      <c r="M504" s="296" t="s">
        <v>179</v>
      </c>
      <c r="N504" s="296" t="s">
        <v>4418</v>
      </c>
      <c r="O504" s="296" t="s">
        <v>4422</v>
      </c>
      <c r="P504" s="296" t="s">
        <v>4423</v>
      </c>
      <c r="Q504" s="296" t="s">
        <v>183</v>
      </c>
      <c r="R504" s="296" t="s">
        <v>4424</v>
      </c>
      <c r="S504" s="296" t="s">
        <v>185</v>
      </c>
      <c r="T504" s="296" t="s">
        <v>185</v>
      </c>
      <c r="U504" s="296" t="s">
        <v>186</v>
      </c>
      <c r="V504" s="296" t="s">
        <v>187</v>
      </c>
      <c r="W504" s="296" t="s">
        <v>188</v>
      </c>
      <c r="X504" s="296" t="s">
        <v>189</v>
      </c>
      <c r="Y504" s="296" t="s">
        <v>183</v>
      </c>
      <c r="Z504" s="296" t="s">
        <v>183</v>
      </c>
      <c r="AA504" s="296" t="s">
        <v>183</v>
      </c>
      <c r="AB504" s="296" t="s">
        <v>183</v>
      </c>
      <c r="AC504" s="296" t="s">
        <v>4425</v>
      </c>
      <c r="AD504" s="296" t="s">
        <v>4426</v>
      </c>
      <c r="AE504" s="296" t="s">
        <v>192</v>
      </c>
      <c r="AF504" s="296" t="s">
        <v>193</v>
      </c>
      <c r="AG504" s="296">
        <v>0</v>
      </c>
      <c r="AH504" s="298">
        <v>45877</v>
      </c>
      <c r="AJ504" s="296" t="s">
        <v>194</v>
      </c>
      <c r="AK504" s="299">
        <f>COUNTIF($A$3:A$917,A504)</f>
        <v>1</v>
      </c>
    </row>
    <row r="505" spans="1:37" x14ac:dyDescent="0.25">
      <c r="A505" s="296">
        <v>3102921369</v>
      </c>
      <c r="B505" s="296" t="s">
        <v>3142</v>
      </c>
      <c r="C505" s="296" t="s">
        <v>3143</v>
      </c>
      <c r="D505" s="296" t="s">
        <v>3144</v>
      </c>
      <c r="E505" s="296" t="s">
        <v>1057</v>
      </c>
      <c r="F505" s="296" t="s">
        <v>3145</v>
      </c>
      <c r="G505" s="296" t="s">
        <v>183</v>
      </c>
      <c r="H505" s="296" t="s">
        <v>3146</v>
      </c>
      <c r="I505" s="296" t="s">
        <v>4412</v>
      </c>
      <c r="J505" s="296" t="s">
        <v>4427</v>
      </c>
      <c r="K505" s="296" t="s">
        <v>4428</v>
      </c>
      <c r="L505" s="296" t="s">
        <v>4429</v>
      </c>
      <c r="M505" s="296" t="s">
        <v>179</v>
      </c>
      <c r="N505" s="296" t="s">
        <v>465</v>
      </c>
      <c r="O505" s="296" t="s">
        <v>183</v>
      </c>
      <c r="P505" s="296" t="s">
        <v>4430</v>
      </c>
      <c r="Q505" s="296" t="s">
        <v>183</v>
      </c>
      <c r="R505" s="296" t="s">
        <v>4431</v>
      </c>
      <c r="S505" s="296" t="s">
        <v>185</v>
      </c>
      <c r="T505" s="296" t="s">
        <v>185</v>
      </c>
      <c r="U505" s="296" t="s">
        <v>186</v>
      </c>
      <c r="V505" s="296" t="s">
        <v>187</v>
      </c>
      <c r="W505" s="296" t="s">
        <v>188</v>
      </c>
      <c r="X505" s="296" t="s">
        <v>189</v>
      </c>
      <c r="Y505" s="296" t="s">
        <v>183</v>
      </c>
      <c r="Z505" s="296" t="s">
        <v>183</v>
      </c>
      <c r="AA505" s="296" t="s">
        <v>183</v>
      </c>
      <c r="AB505" s="296" t="s">
        <v>183</v>
      </c>
      <c r="AC505" s="296" t="s">
        <v>4432</v>
      </c>
      <c r="AD505" s="296" t="s">
        <v>4433</v>
      </c>
      <c r="AE505" s="296" t="s">
        <v>192</v>
      </c>
      <c r="AF505" s="296" t="s">
        <v>193</v>
      </c>
      <c r="AG505" s="296">
        <v>0</v>
      </c>
      <c r="AH505" s="298">
        <v>45842</v>
      </c>
      <c r="AJ505" s="296" t="s">
        <v>194</v>
      </c>
      <c r="AK505" s="299">
        <f>COUNTIF($A$3:A$917,A505)</f>
        <v>2</v>
      </c>
    </row>
    <row r="506" spans="1:37" x14ac:dyDescent="0.25">
      <c r="A506" s="296">
        <v>3102942001</v>
      </c>
      <c r="B506" s="296" t="s">
        <v>4434</v>
      </c>
      <c r="C506" s="296" t="s">
        <v>183</v>
      </c>
      <c r="D506" s="296" t="s">
        <v>183</v>
      </c>
      <c r="E506" s="296" t="s">
        <v>183</v>
      </c>
      <c r="F506" s="296" t="s">
        <v>4435</v>
      </c>
      <c r="G506" s="296" t="s">
        <v>4435</v>
      </c>
      <c r="H506" s="296" t="s">
        <v>4436</v>
      </c>
      <c r="I506" s="296" t="s">
        <v>4412</v>
      </c>
      <c r="J506" s="296" t="s">
        <v>4437</v>
      </c>
      <c r="K506" s="296" t="s">
        <v>4438</v>
      </c>
      <c r="L506" s="296" t="s">
        <v>4439</v>
      </c>
      <c r="M506" s="296" t="s">
        <v>179</v>
      </c>
      <c r="N506" s="296" t="s">
        <v>3267</v>
      </c>
      <c r="O506" s="296" t="s">
        <v>4440</v>
      </c>
      <c r="P506" s="296" t="s">
        <v>3268</v>
      </c>
      <c r="Q506" s="296" t="s">
        <v>183</v>
      </c>
      <c r="R506" s="296" t="s">
        <v>4441</v>
      </c>
      <c r="S506" s="296" t="s">
        <v>185</v>
      </c>
      <c r="T506" s="296" t="s">
        <v>185</v>
      </c>
      <c r="U506" s="296" t="s">
        <v>186</v>
      </c>
      <c r="V506" s="296" t="s">
        <v>187</v>
      </c>
      <c r="W506" s="296" t="s">
        <v>188</v>
      </c>
      <c r="X506" s="296" t="s">
        <v>189</v>
      </c>
      <c r="Y506" s="296" t="s">
        <v>183</v>
      </c>
      <c r="Z506" s="296" t="s">
        <v>183</v>
      </c>
      <c r="AA506" s="296" t="s">
        <v>183</v>
      </c>
      <c r="AB506" s="296" t="s">
        <v>183</v>
      </c>
      <c r="AC506" s="296" t="s">
        <v>4442</v>
      </c>
      <c r="AD506" s="296" t="s">
        <v>4443</v>
      </c>
      <c r="AE506" s="296" t="s">
        <v>192</v>
      </c>
      <c r="AF506" s="296" t="s">
        <v>193</v>
      </c>
      <c r="AG506" s="296">
        <v>0</v>
      </c>
      <c r="AH506" s="298">
        <v>45951</v>
      </c>
      <c r="AJ506" s="296" t="s">
        <v>194</v>
      </c>
      <c r="AK506" s="299">
        <f>COUNTIF($A$3:A$917,A506)</f>
        <v>1</v>
      </c>
    </row>
    <row r="507" spans="1:37" x14ac:dyDescent="0.25">
      <c r="A507" s="296">
        <v>3102944469</v>
      </c>
      <c r="B507" s="296" t="s">
        <v>4444</v>
      </c>
      <c r="C507" s="296" t="s">
        <v>4445</v>
      </c>
      <c r="D507" s="296" t="s">
        <v>4446</v>
      </c>
      <c r="E507" s="296" t="s">
        <v>1057</v>
      </c>
      <c r="F507" s="296" t="s">
        <v>4447</v>
      </c>
      <c r="G507" s="296" t="s">
        <v>183</v>
      </c>
      <c r="H507" s="296" t="s">
        <v>4448</v>
      </c>
      <c r="I507" s="296" t="s">
        <v>4412</v>
      </c>
      <c r="J507" s="296" t="s">
        <v>4449</v>
      </c>
      <c r="K507" s="296" t="s">
        <v>4450</v>
      </c>
      <c r="L507" s="296" t="s">
        <v>4451</v>
      </c>
      <c r="M507" s="296" t="s">
        <v>179</v>
      </c>
      <c r="N507" s="296" t="s">
        <v>4452</v>
      </c>
      <c r="O507" s="296" t="s">
        <v>278</v>
      </c>
      <c r="P507" s="296" t="s">
        <v>4453</v>
      </c>
      <c r="Q507" s="296" t="s">
        <v>183</v>
      </c>
      <c r="R507" s="296" t="s">
        <v>4454</v>
      </c>
      <c r="S507" s="296" t="s">
        <v>185</v>
      </c>
      <c r="T507" s="296" t="s">
        <v>185</v>
      </c>
      <c r="U507" s="296" t="s">
        <v>186</v>
      </c>
      <c r="V507" s="296" t="s">
        <v>187</v>
      </c>
      <c r="W507" s="296" t="s">
        <v>188</v>
      </c>
      <c r="X507" s="296" t="s">
        <v>256</v>
      </c>
      <c r="Y507" s="296" t="s">
        <v>183</v>
      </c>
      <c r="Z507" s="296" t="s">
        <v>183</v>
      </c>
      <c r="AA507" s="296" t="s">
        <v>183</v>
      </c>
      <c r="AB507" s="296" t="s">
        <v>183</v>
      </c>
      <c r="AC507" s="296" t="s">
        <v>4455</v>
      </c>
      <c r="AD507" s="296" t="s">
        <v>4456</v>
      </c>
      <c r="AE507" s="296" t="s">
        <v>192</v>
      </c>
      <c r="AF507" s="296" t="s">
        <v>193</v>
      </c>
      <c r="AG507" s="296">
        <v>0</v>
      </c>
      <c r="AH507" s="298">
        <v>45958</v>
      </c>
      <c r="AJ507" s="296" t="s">
        <v>194</v>
      </c>
      <c r="AK507" s="299">
        <f>COUNTIF($A$3:A$917,A507)</f>
        <v>1</v>
      </c>
    </row>
    <row r="508" spans="1:37" x14ac:dyDescent="0.25">
      <c r="A508" s="296">
        <v>502290724</v>
      </c>
      <c r="B508" s="296" t="s">
        <v>4457</v>
      </c>
      <c r="C508" s="296" t="s">
        <v>183</v>
      </c>
      <c r="D508" s="296" t="s">
        <v>183</v>
      </c>
      <c r="E508" s="296" t="s">
        <v>183</v>
      </c>
      <c r="F508" s="296" t="s">
        <v>4458</v>
      </c>
      <c r="G508" s="296" t="s">
        <v>4459</v>
      </c>
      <c r="H508" s="296" t="s">
        <v>4460</v>
      </c>
      <c r="I508" s="296" t="s">
        <v>4412</v>
      </c>
      <c r="J508" s="296" t="s">
        <v>4461</v>
      </c>
      <c r="K508" s="296" t="s">
        <v>4462</v>
      </c>
      <c r="L508" s="296" t="s">
        <v>4463</v>
      </c>
      <c r="M508" s="296" t="s">
        <v>179</v>
      </c>
      <c r="N508" s="296" t="s">
        <v>1627</v>
      </c>
      <c r="O508" s="296" t="s">
        <v>278</v>
      </c>
      <c r="P508" s="296" t="s">
        <v>4464</v>
      </c>
      <c r="Q508" s="296" t="s">
        <v>183</v>
      </c>
      <c r="R508" s="296" t="s">
        <v>4465</v>
      </c>
      <c r="S508" s="296" t="s">
        <v>185</v>
      </c>
      <c r="T508" s="296" t="s">
        <v>185</v>
      </c>
      <c r="U508" s="296" t="s">
        <v>186</v>
      </c>
      <c r="V508" s="296" t="s">
        <v>187</v>
      </c>
      <c r="W508" s="296" t="s">
        <v>188</v>
      </c>
      <c r="X508" s="296" t="s">
        <v>256</v>
      </c>
      <c r="Y508" s="296" t="s">
        <v>183</v>
      </c>
      <c r="Z508" s="296" t="s">
        <v>183</v>
      </c>
      <c r="AA508" s="296" t="s">
        <v>183</v>
      </c>
      <c r="AB508" s="296" t="s">
        <v>183</v>
      </c>
      <c r="AC508" s="296" t="s">
        <v>4466</v>
      </c>
      <c r="AD508" s="296" t="s">
        <v>4467</v>
      </c>
      <c r="AE508" s="296" t="s">
        <v>192</v>
      </c>
      <c r="AF508" s="296" t="s">
        <v>193</v>
      </c>
      <c r="AG508" s="296">
        <v>0</v>
      </c>
      <c r="AH508" s="298">
        <v>36543</v>
      </c>
      <c r="AJ508" s="296" t="s">
        <v>194</v>
      </c>
      <c r="AK508" s="299">
        <f>COUNTIF($A$3:A$917,A508)</f>
        <v>1</v>
      </c>
    </row>
    <row r="509" spans="1:37" x14ac:dyDescent="0.25">
      <c r="A509" s="296">
        <v>503430617</v>
      </c>
      <c r="B509" s="296" t="s">
        <v>3642</v>
      </c>
      <c r="C509" s="296" t="s">
        <v>183</v>
      </c>
      <c r="D509" s="296" t="s">
        <v>183</v>
      </c>
      <c r="E509" s="296" t="s">
        <v>183</v>
      </c>
      <c r="F509" s="296" t="s">
        <v>3643</v>
      </c>
      <c r="G509" s="296" t="s">
        <v>3643</v>
      </c>
      <c r="H509" s="296" t="s">
        <v>3644</v>
      </c>
      <c r="I509" s="296" t="s">
        <v>4412</v>
      </c>
      <c r="J509" s="296" t="s">
        <v>4468</v>
      </c>
      <c r="K509" s="296" t="s">
        <v>3646</v>
      </c>
      <c r="L509" s="296" t="s">
        <v>3647</v>
      </c>
      <c r="M509" s="296" t="s">
        <v>179</v>
      </c>
      <c r="N509" s="296" t="s">
        <v>3648</v>
      </c>
      <c r="O509" s="296" t="s">
        <v>183</v>
      </c>
      <c r="P509" s="296" t="s">
        <v>3649</v>
      </c>
      <c r="Q509" s="296" t="s">
        <v>183</v>
      </c>
      <c r="R509" s="296" t="s">
        <v>3650</v>
      </c>
      <c r="S509" s="296" t="s">
        <v>185</v>
      </c>
      <c r="T509" s="296" t="s">
        <v>185</v>
      </c>
      <c r="U509" s="296" t="s">
        <v>186</v>
      </c>
      <c r="V509" s="296" t="s">
        <v>187</v>
      </c>
      <c r="W509" s="296" t="s">
        <v>188</v>
      </c>
      <c r="X509" s="296" t="s">
        <v>246</v>
      </c>
      <c r="Y509" s="296" t="s">
        <v>183</v>
      </c>
      <c r="Z509" s="296" t="s">
        <v>183</v>
      </c>
      <c r="AA509" s="296" t="s">
        <v>183</v>
      </c>
      <c r="AB509" s="296" t="s">
        <v>183</v>
      </c>
      <c r="AC509" s="296" t="s">
        <v>3651</v>
      </c>
      <c r="AD509" s="296" t="s">
        <v>4469</v>
      </c>
      <c r="AE509" s="296" t="s">
        <v>192</v>
      </c>
      <c r="AF509" s="296" t="s">
        <v>193</v>
      </c>
      <c r="AG509" s="296">
        <v>0</v>
      </c>
      <c r="AH509" s="298">
        <v>44095</v>
      </c>
      <c r="AJ509" s="296" t="s">
        <v>194</v>
      </c>
      <c r="AK509" s="299">
        <f>COUNTIF($A$3:A$917,A509)</f>
        <v>2</v>
      </c>
    </row>
    <row r="510" spans="1:37" x14ac:dyDescent="0.25">
      <c r="A510" s="296">
        <v>502210168</v>
      </c>
      <c r="B510" s="296" t="s">
        <v>4470</v>
      </c>
      <c r="C510" s="296" t="s">
        <v>183</v>
      </c>
      <c r="D510" s="296" t="s">
        <v>183</v>
      </c>
      <c r="E510" s="296" t="s">
        <v>183</v>
      </c>
      <c r="F510" s="296" t="s">
        <v>4471</v>
      </c>
      <c r="G510" s="296" t="s">
        <v>4472</v>
      </c>
      <c r="H510" s="296" t="s">
        <v>4473</v>
      </c>
      <c r="I510" s="296" t="s">
        <v>4412</v>
      </c>
      <c r="J510" s="296" t="s">
        <v>4474</v>
      </c>
      <c r="K510" s="296" t="s">
        <v>4475</v>
      </c>
      <c r="L510" s="296" t="s">
        <v>4470</v>
      </c>
      <c r="M510" s="296" t="s">
        <v>179</v>
      </c>
      <c r="N510" s="296" t="s">
        <v>4471</v>
      </c>
      <c r="O510" s="296" t="s">
        <v>4472</v>
      </c>
      <c r="P510" s="296" t="s">
        <v>4473</v>
      </c>
      <c r="Q510" s="296" t="s">
        <v>183</v>
      </c>
      <c r="R510" s="296" t="s">
        <v>4476</v>
      </c>
      <c r="S510" s="296" t="s">
        <v>185</v>
      </c>
      <c r="T510" s="296" t="s">
        <v>185</v>
      </c>
      <c r="U510" s="296" t="s">
        <v>186</v>
      </c>
      <c r="V510" s="296" t="s">
        <v>187</v>
      </c>
      <c r="W510" s="296" t="s">
        <v>188</v>
      </c>
      <c r="X510" s="296" t="s">
        <v>256</v>
      </c>
      <c r="Y510" s="296" t="s">
        <v>183</v>
      </c>
      <c r="Z510" s="296" t="s">
        <v>183</v>
      </c>
      <c r="AA510" s="296" t="s">
        <v>183</v>
      </c>
      <c r="AB510" s="296" t="s">
        <v>183</v>
      </c>
      <c r="AC510" s="296" t="s">
        <v>4477</v>
      </c>
      <c r="AD510" s="296" t="s">
        <v>4478</v>
      </c>
      <c r="AE510" s="296" t="s">
        <v>192</v>
      </c>
      <c r="AF510" s="296" t="s">
        <v>193</v>
      </c>
      <c r="AG510" s="296">
        <v>26945.666666666664</v>
      </c>
      <c r="AH510" s="298">
        <v>38609</v>
      </c>
      <c r="AJ510" s="296" t="s">
        <v>194</v>
      </c>
      <c r="AK510" s="299">
        <f>COUNTIF($A$3:A$917,A510)</f>
        <v>1</v>
      </c>
    </row>
    <row r="511" spans="1:37" x14ac:dyDescent="0.25">
      <c r="A511" s="296">
        <v>112810805</v>
      </c>
      <c r="B511" s="296" t="s">
        <v>4479</v>
      </c>
      <c r="C511" s="296" t="s">
        <v>183</v>
      </c>
      <c r="D511" s="296" t="s">
        <v>183</v>
      </c>
      <c r="E511" s="296" t="s">
        <v>183</v>
      </c>
      <c r="F511" s="296" t="s">
        <v>4480</v>
      </c>
      <c r="G511" s="296" t="s">
        <v>183</v>
      </c>
      <c r="H511" s="296" t="s">
        <v>4481</v>
      </c>
      <c r="I511" s="296" t="s">
        <v>4412</v>
      </c>
      <c r="J511" s="296" t="s">
        <v>4482</v>
      </c>
      <c r="K511" s="296" t="s">
        <v>4152</v>
      </c>
      <c r="L511" s="296" t="s">
        <v>4153</v>
      </c>
      <c r="M511" s="296" t="s">
        <v>179</v>
      </c>
      <c r="N511" s="296" t="s">
        <v>4154</v>
      </c>
      <c r="O511" s="296" t="s">
        <v>183</v>
      </c>
      <c r="P511" s="296" t="s">
        <v>4155</v>
      </c>
      <c r="Q511" s="296" t="s">
        <v>183</v>
      </c>
      <c r="R511" s="296" t="s">
        <v>4156</v>
      </c>
      <c r="S511" s="296" t="s">
        <v>185</v>
      </c>
      <c r="T511" s="296" t="s">
        <v>185</v>
      </c>
      <c r="U511" s="296" t="s">
        <v>186</v>
      </c>
      <c r="V511" s="296" t="s">
        <v>187</v>
      </c>
      <c r="W511" s="296" t="s">
        <v>188</v>
      </c>
      <c r="X511" s="296" t="s">
        <v>189</v>
      </c>
      <c r="Y511" s="296" t="s">
        <v>183</v>
      </c>
      <c r="Z511" s="296" t="s">
        <v>183</v>
      </c>
      <c r="AA511" s="296" t="s">
        <v>183</v>
      </c>
      <c r="AB511" s="296" t="s">
        <v>183</v>
      </c>
      <c r="AC511" s="296" t="s">
        <v>4157</v>
      </c>
      <c r="AD511" s="296" t="s">
        <v>4483</v>
      </c>
      <c r="AE511" s="296" t="s">
        <v>192</v>
      </c>
      <c r="AF511" s="296" t="s">
        <v>193</v>
      </c>
      <c r="AG511" s="296">
        <v>0</v>
      </c>
      <c r="AH511" s="298">
        <v>45880</v>
      </c>
      <c r="AJ511" s="296" t="s">
        <v>194</v>
      </c>
      <c r="AK511" s="299">
        <f>COUNTIF($A$3:A$917,A511)</f>
        <v>1</v>
      </c>
    </row>
    <row r="512" spans="1:37" x14ac:dyDescent="0.25">
      <c r="A512" s="296">
        <v>103900864</v>
      </c>
      <c r="B512" s="296" t="s">
        <v>4484</v>
      </c>
      <c r="C512" s="296" t="s">
        <v>183</v>
      </c>
      <c r="D512" s="296" t="s">
        <v>183</v>
      </c>
      <c r="E512" s="296" t="s">
        <v>183</v>
      </c>
      <c r="F512" s="296" t="s">
        <v>4485</v>
      </c>
      <c r="G512" s="296" t="s">
        <v>183</v>
      </c>
      <c r="H512" s="296" t="s">
        <v>4486</v>
      </c>
      <c r="I512" s="296" t="s">
        <v>4412</v>
      </c>
      <c r="J512" s="296" t="s">
        <v>4487</v>
      </c>
      <c r="K512" s="296" t="s">
        <v>4488</v>
      </c>
      <c r="L512" s="296" t="s">
        <v>4484</v>
      </c>
      <c r="M512" s="296" t="s">
        <v>179</v>
      </c>
      <c r="N512" s="296" t="s">
        <v>4485</v>
      </c>
      <c r="O512" s="296" t="s">
        <v>183</v>
      </c>
      <c r="P512" s="296" t="s">
        <v>4486</v>
      </c>
      <c r="Q512" s="296" t="s">
        <v>183</v>
      </c>
      <c r="R512" s="296" t="s">
        <v>4489</v>
      </c>
      <c r="S512" s="296" t="s">
        <v>185</v>
      </c>
      <c r="T512" s="296" t="s">
        <v>185</v>
      </c>
      <c r="U512" s="296" t="s">
        <v>186</v>
      </c>
      <c r="V512" s="296" t="s">
        <v>187</v>
      </c>
      <c r="W512" s="296" t="s">
        <v>188</v>
      </c>
      <c r="X512" s="296" t="s">
        <v>189</v>
      </c>
      <c r="Y512" s="296" t="s">
        <v>183</v>
      </c>
      <c r="Z512" s="296" t="s">
        <v>183</v>
      </c>
      <c r="AA512" s="296" t="s">
        <v>183</v>
      </c>
      <c r="AB512" s="296" t="s">
        <v>183</v>
      </c>
      <c r="AC512" s="296" t="s">
        <v>4490</v>
      </c>
      <c r="AD512" s="296" t="s">
        <v>4491</v>
      </c>
      <c r="AE512" s="296" t="s">
        <v>192</v>
      </c>
      <c r="AF512" s="296" t="s">
        <v>193</v>
      </c>
      <c r="AG512" s="296">
        <v>25603</v>
      </c>
      <c r="AH512" s="298">
        <v>42375</v>
      </c>
      <c r="AJ512" s="296" t="s">
        <v>194</v>
      </c>
      <c r="AK512" s="299">
        <f>COUNTIF($A$3:A$917,A512)</f>
        <v>1</v>
      </c>
    </row>
    <row r="513" spans="1:37" x14ac:dyDescent="0.25">
      <c r="A513" s="296">
        <v>504200954</v>
      </c>
      <c r="B513" s="296" t="s">
        <v>4492</v>
      </c>
      <c r="C513" s="296" t="s">
        <v>183</v>
      </c>
      <c r="D513" s="296" t="s">
        <v>183</v>
      </c>
      <c r="E513" s="296" t="s">
        <v>183</v>
      </c>
      <c r="F513" s="296" t="s">
        <v>4493</v>
      </c>
      <c r="G513" s="296" t="s">
        <v>4493</v>
      </c>
      <c r="H513" s="296" t="s">
        <v>4494</v>
      </c>
      <c r="I513" s="296" t="s">
        <v>4412</v>
      </c>
      <c r="J513" s="296" t="s">
        <v>4495</v>
      </c>
      <c r="K513" s="296" t="s">
        <v>4496</v>
      </c>
      <c r="L513" s="296" t="s">
        <v>4497</v>
      </c>
      <c r="M513" s="296" t="s">
        <v>179</v>
      </c>
      <c r="N513" s="296" t="s">
        <v>4498</v>
      </c>
      <c r="O513" s="296" t="s">
        <v>183</v>
      </c>
      <c r="P513" s="296" t="s">
        <v>4499</v>
      </c>
      <c r="Q513" s="296" t="s">
        <v>183</v>
      </c>
      <c r="R513" s="296" t="s">
        <v>4500</v>
      </c>
      <c r="S513" s="296" t="s">
        <v>185</v>
      </c>
      <c r="T513" s="296" t="s">
        <v>185</v>
      </c>
      <c r="U513" s="296" t="s">
        <v>186</v>
      </c>
      <c r="V513" s="296" t="s">
        <v>187</v>
      </c>
      <c r="W513" s="296" t="s">
        <v>188</v>
      </c>
      <c r="X513" s="296" t="s">
        <v>224</v>
      </c>
      <c r="Y513" s="296" t="s">
        <v>183</v>
      </c>
      <c r="Z513" s="296" t="s">
        <v>183</v>
      </c>
      <c r="AA513" s="296" t="s">
        <v>183</v>
      </c>
      <c r="AB513" s="296" t="s">
        <v>183</v>
      </c>
      <c r="AC513" s="296" t="s">
        <v>4501</v>
      </c>
      <c r="AD513" s="296" t="s">
        <v>4502</v>
      </c>
      <c r="AE513" s="296" t="s">
        <v>192</v>
      </c>
      <c r="AF513" s="296" t="s">
        <v>193</v>
      </c>
      <c r="AG513" s="296">
        <v>0</v>
      </c>
      <c r="AH513" s="298">
        <v>45259</v>
      </c>
      <c r="AJ513" s="296" t="s">
        <v>194</v>
      </c>
      <c r="AK513" s="299">
        <f>COUNTIF($A$3:A$917,A513)</f>
        <v>1</v>
      </c>
    </row>
    <row r="514" spans="1:37" x14ac:dyDescent="0.25">
      <c r="A514" s="296">
        <v>503290690</v>
      </c>
      <c r="B514" s="296" t="s">
        <v>994</v>
      </c>
      <c r="C514" s="296" t="s">
        <v>183</v>
      </c>
      <c r="D514" s="296" t="s">
        <v>183</v>
      </c>
      <c r="E514" s="296" t="s">
        <v>183</v>
      </c>
      <c r="F514" s="296" t="s">
        <v>995</v>
      </c>
      <c r="G514" s="296" t="s">
        <v>995</v>
      </c>
      <c r="H514" s="296" t="s">
        <v>996</v>
      </c>
      <c r="I514" s="296" t="s">
        <v>4412</v>
      </c>
      <c r="J514" s="296" t="s">
        <v>998</v>
      </c>
      <c r="K514" s="296" t="s">
        <v>999</v>
      </c>
      <c r="L514" s="296" t="s">
        <v>340</v>
      </c>
      <c r="M514" s="296" t="s">
        <v>179</v>
      </c>
      <c r="N514" s="296" t="s">
        <v>341</v>
      </c>
      <c r="O514" s="296" t="s">
        <v>342</v>
      </c>
      <c r="P514" s="296" t="s">
        <v>343</v>
      </c>
      <c r="Q514" s="296" t="s">
        <v>183</v>
      </c>
      <c r="R514" s="296" t="s">
        <v>1000</v>
      </c>
      <c r="S514" s="296" t="s">
        <v>185</v>
      </c>
      <c r="T514" s="296" t="s">
        <v>185</v>
      </c>
      <c r="U514" s="296" t="s">
        <v>186</v>
      </c>
      <c r="V514" s="296" t="s">
        <v>187</v>
      </c>
      <c r="W514" s="296" t="s">
        <v>188</v>
      </c>
      <c r="X514" s="296" t="s">
        <v>246</v>
      </c>
      <c r="Y514" s="296" t="s">
        <v>183</v>
      </c>
      <c r="Z514" s="296" t="s">
        <v>183</v>
      </c>
      <c r="AA514" s="296" t="s">
        <v>183</v>
      </c>
      <c r="AB514" s="296" t="s">
        <v>183</v>
      </c>
      <c r="AC514" s="296" t="s">
        <v>1001</v>
      </c>
      <c r="AD514" s="296" t="s">
        <v>4503</v>
      </c>
      <c r="AE514" s="296" t="s">
        <v>192</v>
      </c>
      <c r="AF514" s="296" t="s">
        <v>193</v>
      </c>
      <c r="AG514" s="296">
        <v>0</v>
      </c>
      <c r="AH514" s="298">
        <v>45348</v>
      </c>
      <c r="AJ514" s="296" t="s">
        <v>194</v>
      </c>
      <c r="AK514" s="299">
        <f>COUNTIF($A$3:A$917,A514)</f>
        <v>2</v>
      </c>
    </row>
    <row r="515" spans="1:37" x14ac:dyDescent="0.25">
      <c r="A515" s="296">
        <v>501490163</v>
      </c>
      <c r="B515" s="296" t="s">
        <v>3694</v>
      </c>
      <c r="C515" s="296" t="s">
        <v>183</v>
      </c>
      <c r="D515" s="296" t="s">
        <v>183</v>
      </c>
      <c r="E515" s="296" t="s">
        <v>183</v>
      </c>
      <c r="F515" s="296" t="s">
        <v>3695</v>
      </c>
      <c r="G515" s="296" t="s">
        <v>3696</v>
      </c>
      <c r="H515" s="296" t="s">
        <v>3697</v>
      </c>
      <c r="I515" s="296" t="s">
        <v>4412</v>
      </c>
      <c r="J515" s="296" t="s">
        <v>4504</v>
      </c>
      <c r="K515" s="296" t="s">
        <v>3699</v>
      </c>
      <c r="L515" s="296" t="s">
        <v>3700</v>
      </c>
      <c r="M515" s="296" t="s">
        <v>179</v>
      </c>
      <c r="N515" s="296" t="s">
        <v>3696</v>
      </c>
      <c r="O515" s="296" t="s">
        <v>183</v>
      </c>
      <c r="P515" s="296" t="s">
        <v>3697</v>
      </c>
      <c r="Q515" s="296" t="s">
        <v>183</v>
      </c>
      <c r="R515" s="296" t="s">
        <v>3701</v>
      </c>
      <c r="S515" s="296" t="s">
        <v>185</v>
      </c>
      <c r="T515" s="296" t="s">
        <v>185</v>
      </c>
      <c r="U515" s="296" t="s">
        <v>186</v>
      </c>
      <c r="V515" s="296" t="s">
        <v>187</v>
      </c>
      <c r="W515" s="296" t="s">
        <v>188</v>
      </c>
      <c r="X515" s="296" t="s">
        <v>246</v>
      </c>
      <c r="Y515" s="296" t="s">
        <v>183</v>
      </c>
      <c r="Z515" s="296" t="s">
        <v>183</v>
      </c>
      <c r="AA515" s="296" t="s">
        <v>183</v>
      </c>
      <c r="AB515" s="296" t="s">
        <v>183</v>
      </c>
      <c r="AC515" s="296" t="s">
        <v>3702</v>
      </c>
      <c r="AD515" s="296" t="s">
        <v>4505</v>
      </c>
      <c r="AE515" s="296" t="s">
        <v>192</v>
      </c>
      <c r="AF515" s="296" t="s">
        <v>193</v>
      </c>
      <c r="AG515" s="296">
        <v>13384</v>
      </c>
      <c r="AH515" s="298">
        <v>43273</v>
      </c>
      <c r="AJ515" s="296" t="s">
        <v>194</v>
      </c>
      <c r="AK515" s="299">
        <f>COUNTIF($A$3:A$917,A515)</f>
        <v>2</v>
      </c>
    </row>
    <row r="516" spans="1:37" x14ac:dyDescent="0.25">
      <c r="A516" s="296">
        <v>3101755941</v>
      </c>
      <c r="B516" s="296" t="s">
        <v>1704</v>
      </c>
      <c r="C516" s="296" t="s">
        <v>183</v>
      </c>
      <c r="D516" s="296" t="s">
        <v>183</v>
      </c>
      <c r="E516" s="296" t="s">
        <v>183</v>
      </c>
      <c r="F516" s="296" t="s">
        <v>1705</v>
      </c>
      <c r="G516" s="296" t="s">
        <v>183</v>
      </c>
      <c r="H516" s="296" t="s">
        <v>1706</v>
      </c>
      <c r="I516" s="296" t="s">
        <v>4412</v>
      </c>
      <c r="J516" s="296" t="s">
        <v>1707</v>
      </c>
      <c r="K516" s="296" t="s">
        <v>1708</v>
      </c>
      <c r="L516" s="296" t="s">
        <v>1709</v>
      </c>
      <c r="M516" s="296" t="s">
        <v>179</v>
      </c>
      <c r="N516" s="296" t="s">
        <v>1705</v>
      </c>
      <c r="O516" s="296" t="s">
        <v>183</v>
      </c>
      <c r="P516" s="296" t="s">
        <v>1706</v>
      </c>
      <c r="Q516" s="296" t="s">
        <v>183</v>
      </c>
      <c r="R516" s="296" t="s">
        <v>1710</v>
      </c>
      <c r="S516" s="296" t="s">
        <v>185</v>
      </c>
      <c r="T516" s="296" t="s">
        <v>185</v>
      </c>
      <c r="U516" s="296" t="s">
        <v>186</v>
      </c>
      <c r="V516" s="296" t="s">
        <v>187</v>
      </c>
      <c r="W516" s="296" t="s">
        <v>188</v>
      </c>
      <c r="X516" s="296" t="s">
        <v>256</v>
      </c>
      <c r="Y516" s="296" t="s">
        <v>183</v>
      </c>
      <c r="Z516" s="296" t="s">
        <v>183</v>
      </c>
      <c r="AA516" s="296" t="s">
        <v>183</v>
      </c>
      <c r="AB516" s="296" t="s">
        <v>183</v>
      </c>
      <c r="AC516" s="296" t="s">
        <v>1711</v>
      </c>
      <c r="AD516" s="296" t="s">
        <v>4506</v>
      </c>
      <c r="AE516" s="296" t="s">
        <v>192</v>
      </c>
      <c r="AF516" s="296" t="s">
        <v>193</v>
      </c>
      <c r="AG516" s="296">
        <v>0</v>
      </c>
      <c r="AH516" s="298">
        <v>43397</v>
      </c>
      <c r="AJ516" s="296" t="s">
        <v>194</v>
      </c>
      <c r="AK516" s="299">
        <f>COUNTIF($A$3:A$917,A516)</f>
        <v>2</v>
      </c>
    </row>
    <row r="517" spans="1:37" x14ac:dyDescent="0.25">
      <c r="A517" s="296">
        <v>501940659</v>
      </c>
      <c r="B517" s="296" t="s">
        <v>1015</v>
      </c>
      <c r="C517" s="296" t="s">
        <v>183</v>
      </c>
      <c r="D517" s="296" t="s">
        <v>183</v>
      </c>
      <c r="E517" s="296" t="s">
        <v>183</v>
      </c>
      <c r="F517" s="296" t="s">
        <v>1016</v>
      </c>
      <c r="G517" s="296" t="s">
        <v>1016</v>
      </c>
      <c r="H517" s="296" t="s">
        <v>1017</v>
      </c>
      <c r="I517" s="296" t="s">
        <v>4412</v>
      </c>
      <c r="J517" s="296" t="s">
        <v>1018</v>
      </c>
      <c r="K517" s="296" t="s">
        <v>1019</v>
      </c>
      <c r="L517" s="296" t="s">
        <v>1015</v>
      </c>
      <c r="M517" s="296" t="s">
        <v>179</v>
      </c>
      <c r="N517" s="296" t="s">
        <v>1016</v>
      </c>
      <c r="O517" s="296" t="s">
        <v>1016</v>
      </c>
      <c r="P517" s="296" t="s">
        <v>1017</v>
      </c>
      <c r="Q517" s="296" t="s">
        <v>183</v>
      </c>
      <c r="R517" s="296" t="s">
        <v>1020</v>
      </c>
      <c r="S517" s="296" t="s">
        <v>185</v>
      </c>
      <c r="T517" s="296" t="s">
        <v>185</v>
      </c>
      <c r="U517" s="296" t="s">
        <v>186</v>
      </c>
      <c r="V517" s="296" t="s">
        <v>187</v>
      </c>
      <c r="W517" s="296" t="s">
        <v>188</v>
      </c>
      <c r="X517" s="296" t="s">
        <v>308</v>
      </c>
      <c r="Y517" s="296" t="s">
        <v>183</v>
      </c>
      <c r="Z517" s="296" t="s">
        <v>183</v>
      </c>
      <c r="AA517" s="296" t="s">
        <v>183</v>
      </c>
      <c r="AB517" s="296" t="s">
        <v>183</v>
      </c>
      <c r="AC517" s="296" t="s">
        <v>1021</v>
      </c>
      <c r="AD517" s="296" t="s">
        <v>4507</v>
      </c>
      <c r="AE517" s="296" t="s">
        <v>192</v>
      </c>
      <c r="AF517" s="296" t="s">
        <v>193</v>
      </c>
      <c r="AG517" s="296">
        <v>14089.75</v>
      </c>
      <c r="AH517" s="298">
        <v>38405</v>
      </c>
      <c r="AJ517" s="296" t="s">
        <v>194</v>
      </c>
      <c r="AK517" s="299">
        <f>COUNTIF($A$3:A$917,A517)</f>
        <v>2</v>
      </c>
    </row>
    <row r="518" spans="1:37" x14ac:dyDescent="0.25">
      <c r="A518" s="296">
        <v>3101805438</v>
      </c>
      <c r="B518" s="296" t="s">
        <v>4508</v>
      </c>
      <c r="C518" s="296" t="s">
        <v>183</v>
      </c>
      <c r="D518" s="296" t="s">
        <v>183</v>
      </c>
      <c r="E518" s="296" t="s">
        <v>183</v>
      </c>
      <c r="F518" s="296" t="s">
        <v>4509</v>
      </c>
      <c r="G518" s="296" t="s">
        <v>278</v>
      </c>
      <c r="H518" s="296" t="s">
        <v>4510</v>
      </c>
      <c r="I518" s="296" t="s">
        <v>4412</v>
      </c>
      <c r="J518" s="296" t="s">
        <v>4511</v>
      </c>
      <c r="K518" s="296" t="s">
        <v>1109</v>
      </c>
      <c r="L518" s="296" t="s">
        <v>1110</v>
      </c>
      <c r="M518" s="296" t="s">
        <v>179</v>
      </c>
      <c r="N518" s="296" t="s">
        <v>1111</v>
      </c>
      <c r="O518" s="296" t="s">
        <v>278</v>
      </c>
      <c r="P518" s="296" t="s">
        <v>1112</v>
      </c>
      <c r="Q518" s="296" t="s">
        <v>183</v>
      </c>
      <c r="R518" s="296" t="s">
        <v>4512</v>
      </c>
      <c r="S518" s="296" t="s">
        <v>185</v>
      </c>
      <c r="T518" s="296" t="s">
        <v>185</v>
      </c>
      <c r="U518" s="296" t="s">
        <v>186</v>
      </c>
      <c r="V518" s="296" t="s">
        <v>187</v>
      </c>
      <c r="W518" s="296" t="s">
        <v>188</v>
      </c>
      <c r="X518" s="296" t="s">
        <v>308</v>
      </c>
      <c r="Y518" s="296" t="s">
        <v>183</v>
      </c>
      <c r="Z518" s="296" t="s">
        <v>183</v>
      </c>
      <c r="AA518" s="296" t="s">
        <v>183</v>
      </c>
      <c r="AB518" s="296" t="s">
        <v>183</v>
      </c>
      <c r="AC518" s="296" t="s">
        <v>4513</v>
      </c>
      <c r="AD518" s="296" t="s">
        <v>4514</v>
      </c>
      <c r="AE518" s="296" t="s">
        <v>192</v>
      </c>
      <c r="AF518" s="296" t="s">
        <v>193</v>
      </c>
      <c r="AG518" s="296">
        <v>0</v>
      </c>
      <c r="AH518" s="298">
        <v>44242</v>
      </c>
      <c r="AJ518" s="296" t="s">
        <v>194</v>
      </c>
      <c r="AK518" s="299">
        <f>COUNTIF($A$3:A$917,A518)</f>
        <v>1</v>
      </c>
    </row>
    <row r="519" spans="1:37" x14ac:dyDescent="0.25">
      <c r="A519" s="296">
        <v>501810885</v>
      </c>
      <c r="B519" s="296" t="s">
        <v>1023</v>
      </c>
      <c r="C519" s="296" t="s">
        <v>183</v>
      </c>
      <c r="D519" s="296" t="s">
        <v>183</v>
      </c>
      <c r="E519" s="296" t="s">
        <v>183</v>
      </c>
      <c r="F519" s="296" t="s">
        <v>1024</v>
      </c>
      <c r="G519" s="296" t="s">
        <v>183</v>
      </c>
      <c r="H519" s="296" t="s">
        <v>1025</v>
      </c>
      <c r="I519" s="296" t="s">
        <v>4412</v>
      </c>
      <c r="J519" s="296" t="s">
        <v>4515</v>
      </c>
      <c r="K519" s="296" t="s">
        <v>1027</v>
      </c>
      <c r="L519" s="296" t="s">
        <v>1028</v>
      </c>
      <c r="M519" s="296" t="s">
        <v>179</v>
      </c>
      <c r="N519" s="296" t="s">
        <v>1024</v>
      </c>
      <c r="O519" s="296" t="s">
        <v>278</v>
      </c>
      <c r="P519" s="296" t="s">
        <v>1029</v>
      </c>
      <c r="Q519" s="296" t="s">
        <v>183</v>
      </c>
      <c r="R519" s="296" t="s">
        <v>1030</v>
      </c>
      <c r="S519" s="296" t="s">
        <v>185</v>
      </c>
      <c r="T519" s="296" t="s">
        <v>185</v>
      </c>
      <c r="U519" s="296" t="s">
        <v>186</v>
      </c>
      <c r="V519" s="296" t="s">
        <v>187</v>
      </c>
      <c r="W519" s="296" t="s">
        <v>188</v>
      </c>
      <c r="X519" s="296" t="s">
        <v>404</v>
      </c>
      <c r="Y519" s="296" t="s">
        <v>183</v>
      </c>
      <c r="Z519" s="296" t="s">
        <v>183</v>
      </c>
      <c r="AA519" s="296" t="s">
        <v>183</v>
      </c>
      <c r="AB519" s="296" t="s">
        <v>183</v>
      </c>
      <c r="AC519" s="296" t="s">
        <v>1031</v>
      </c>
      <c r="AD519" s="296" t="s">
        <v>4516</v>
      </c>
      <c r="AE519" s="296" t="s">
        <v>192</v>
      </c>
      <c r="AF519" s="296" t="s">
        <v>193</v>
      </c>
      <c r="AG519" s="296">
        <v>0</v>
      </c>
      <c r="AH519" s="298">
        <v>44063</v>
      </c>
      <c r="AJ519" s="296" t="s">
        <v>194</v>
      </c>
      <c r="AK519" s="299">
        <f>COUNTIF($A$3:A$917,A519)</f>
        <v>2</v>
      </c>
    </row>
    <row r="520" spans="1:37" x14ac:dyDescent="0.25">
      <c r="A520" s="296">
        <v>602950941</v>
      </c>
      <c r="B520" s="296" t="s">
        <v>4517</v>
      </c>
      <c r="C520" s="296" t="s">
        <v>183</v>
      </c>
      <c r="D520" s="296" t="s">
        <v>183</v>
      </c>
      <c r="E520" s="296" t="s">
        <v>183</v>
      </c>
      <c r="F520" s="296" t="s">
        <v>4518</v>
      </c>
      <c r="G520" s="296" t="s">
        <v>4518</v>
      </c>
      <c r="H520" s="296" t="s">
        <v>4519</v>
      </c>
      <c r="I520" s="296" t="s">
        <v>4412</v>
      </c>
      <c r="J520" s="296" t="s">
        <v>4520</v>
      </c>
      <c r="K520" s="296" t="s">
        <v>3847</v>
      </c>
      <c r="L520" s="296" t="s">
        <v>3848</v>
      </c>
      <c r="M520" s="296" t="s">
        <v>179</v>
      </c>
      <c r="N520" s="296" t="s">
        <v>3849</v>
      </c>
      <c r="O520" s="296" t="s">
        <v>3849</v>
      </c>
      <c r="P520" s="296" t="s">
        <v>3850</v>
      </c>
      <c r="Q520" s="296" t="s">
        <v>183</v>
      </c>
      <c r="R520" s="296" t="s">
        <v>3851</v>
      </c>
      <c r="S520" s="296" t="s">
        <v>185</v>
      </c>
      <c r="T520" s="296" t="s">
        <v>185</v>
      </c>
      <c r="U520" s="296" t="s">
        <v>186</v>
      </c>
      <c r="V520" s="296" t="s">
        <v>187</v>
      </c>
      <c r="W520" s="296" t="s">
        <v>188</v>
      </c>
      <c r="X520" s="296" t="s">
        <v>189</v>
      </c>
      <c r="Y520" s="296" t="s">
        <v>183</v>
      </c>
      <c r="Z520" s="296" t="s">
        <v>183</v>
      </c>
      <c r="AA520" s="296" t="s">
        <v>183</v>
      </c>
      <c r="AB520" s="296" t="s">
        <v>183</v>
      </c>
      <c r="AC520" s="296" t="s">
        <v>3852</v>
      </c>
      <c r="AD520" s="296" t="s">
        <v>4521</v>
      </c>
      <c r="AE520" s="296" t="s">
        <v>192</v>
      </c>
      <c r="AF520" s="296" t="s">
        <v>193</v>
      </c>
      <c r="AG520" s="296">
        <v>30514</v>
      </c>
      <c r="AH520" s="298">
        <v>44469</v>
      </c>
      <c r="AJ520" s="296" t="s">
        <v>194</v>
      </c>
      <c r="AK520" s="299">
        <f>COUNTIF($A$3:A$917,A520)</f>
        <v>2</v>
      </c>
    </row>
    <row r="521" spans="1:37" x14ac:dyDescent="0.25">
      <c r="A521" s="296">
        <v>207700340</v>
      </c>
      <c r="B521" s="296" t="s">
        <v>1033</v>
      </c>
      <c r="C521" s="296" t="s">
        <v>183</v>
      </c>
      <c r="D521" s="296" t="s">
        <v>183</v>
      </c>
      <c r="E521" s="296" t="s">
        <v>183</v>
      </c>
      <c r="F521" s="296" t="s">
        <v>1034</v>
      </c>
      <c r="G521" s="296" t="s">
        <v>1034</v>
      </c>
      <c r="H521" s="296" t="s">
        <v>1035</v>
      </c>
      <c r="I521" s="296" t="s">
        <v>4412</v>
      </c>
      <c r="J521" s="296" t="s">
        <v>1036</v>
      </c>
      <c r="K521" s="296" t="s">
        <v>1037</v>
      </c>
      <c r="L521" s="296" t="s">
        <v>1038</v>
      </c>
      <c r="M521" s="296" t="s">
        <v>179</v>
      </c>
      <c r="N521" s="296" t="s">
        <v>1034</v>
      </c>
      <c r="O521" s="296" t="s">
        <v>1034</v>
      </c>
      <c r="P521" s="296" t="s">
        <v>1039</v>
      </c>
      <c r="Q521" s="296" t="s">
        <v>183</v>
      </c>
      <c r="R521" s="296" t="s">
        <v>1040</v>
      </c>
      <c r="S521" s="296" t="s">
        <v>1041</v>
      </c>
      <c r="T521" s="296" t="s">
        <v>185</v>
      </c>
      <c r="U521" s="296" t="s">
        <v>186</v>
      </c>
      <c r="V521" s="296" t="s">
        <v>187</v>
      </c>
      <c r="W521" s="296" t="s">
        <v>188</v>
      </c>
      <c r="X521" s="296" t="s">
        <v>256</v>
      </c>
      <c r="Y521" s="296" t="s">
        <v>183</v>
      </c>
      <c r="Z521" s="296" t="s">
        <v>183</v>
      </c>
      <c r="AA521" s="296" t="s">
        <v>183</v>
      </c>
      <c r="AB521" s="296" t="s">
        <v>183</v>
      </c>
      <c r="AC521" s="296" t="s">
        <v>1042</v>
      </c>
      <c r="AD521" s="296" t="s">
        <v>4522</v>
      </c>
      <c r="AE521" s="296" t="s">
        <v>192</v>
      </c>
      <c r="AF521" s="296" t="s">
        <v>193</v>
      </c>
      <c r="AG521" s="296">
        <v>0</v>
      </c>
      <c r="AH521" s="298">
        <v>45903</v>
      </c>
      <c r="AJ521" s="296" t="s">
        <v>194</v>
      </c>
      <c r="AK521" s="299">
        <f>COUNTIF($A$3:A$917,A521)</f>
        <v>3</v>
      </c>
    </row>
    <row r="522" spans="1:37" x14ac:dyDescent="0.25">
      <c r="A522" s="296">
        <v>3101781324</v>
      </c>
      <c r="B522" s="296" t="s">
        <v>1044</v>
      </c>
      <c r="C522" s="296" t="s">
        <v>183</v>
      </c>
      <c r="D522" s="296" t="s">
        <v>183</v>
      </c>
      <c r="E522" s="296" t="s">
        <v>183</v>
      </c>
      <c r="F522" s="296" t="s">
        <v>1045</v>
      </c>
      <c r="G522" s="296" t="s">
        <v>1045</v>
      </c>
      <c r="H522" s="296" t="s">
        <v>1046</v>
      </c>
      <c r="I522" s="296" t="s">
        <v>4412</v>
      </c>
      <c r="J522" s="296" t="s">
        <v>4523</v>
      </c>
      <c r="K522" s="296" t="s">
        <v>1048</v>
      </c>
      <c r="L522" s="296" t="s">
        <v>1049</v>
      </c>
      <c r="M522" s="296" t="s">
        <v>179</v>
      </c>
      <c r="N522" s="296" t="s">
        <v>1050</v>
      </c>
      <c r="O522" s="296" t="s">
        <v>278</v>
      </c>
      <c r="P522" s="296" t="s">
        <v>183</v>
      </c>
      <c r="Q522" s="296" t="s">
        <v>183</v>
      </c>
      <c r="R522" s="296" t="s">
        <v>1051</v>
      </c>
      <c r="S522" s="296" t="s">
        <v>185</v>
      </c>
      <c r="T522" s="296" t="s">
        <v>185</v>
      </c>
      <c r="U522" s="296" t="s">
        <v>186</v>
      </c>
      <c r="V522" s="296" t="s">
        <v>187</v>
      </c>
      <c r="W522" s="296" t="s">
        <v>188</v>
      </c>
      <c r="X522" s="296" t="s">
        <v>189</v>
      </c>
      <c r="Y522" s="296" t="s">
        <v>183</v>
      </c>
      <c r="Z522" s="296" t="s">
        <v>183</v>
      </c>
      <c r="AA522" s="296" t="s">
        <v>183</v>
      </c>
      <c r="AB522" s="296" t="s">
        <v>183</v>
      </c>
      <c r="AC522" s="296" t="s">
        <v>1052</v>
      </c>
      <c r="AD522" s="296" t="s">
        <v>4524</v>
      </c>
      <c r="AE522" s="296" t="s">
        <v>192</v>
      </c>
      <c r="AF522" s="296" t="s">
        <v>193</v>
      </c>
      <c r="AG522" s="296">
        <v>0</v>
      </c>
      <c r="AH522" s="298">
        <v>44102</v>
      </c>
      <c r="AJ522" s="296" t="s">
        <v>194</v>
      </c>
      <c r="AK522" s="299">
        <f>COUNTIF($A$3:A$917,A522)</f>
        <v>3</v>
      </c>
    </row>
    <row r="523" spans="1:37" x14ac:dyDescent="0.25">
      <c r="A523" s="296">
        <v>3101781324</v>
      </c>
      <c r="B523" s="296" t="s">
        <v>1044</v>
      </c>
      <c r="C523" s="296" t="s">
        <v>183</v>
      </c>
      <c r="D523" s="296" t="s">
        <v>183</v>
      </c>
      <c r="E523" s="296" t="s">
        <v>183</v>
      </c>
      <c r="F523" s="296" t="s">
        <v>1045</v>
      </c>
      <c r="G523" s="296" t="s">
        <v>1045</v>
      </c>
      <c r="H523" s="296" t="s">
        <v>1046</v>
      </c>
      <c r="I523" s="296" t="s">
        <v>4412</v>
      </c>
      <c r="J523" s="296" t="s">
        <v>1047</v>
      </c>
      <c r="K523" s="296" t="s">
        <v>1048</v>
      </c>
      <c r="L523" s="296" t="s">
        <v>1049</v>
      </c>
      <c r="M523" s="296" t="s">
        <v>179</v>
      </c>
      <c r="N523" s="296" t="s">
        <v>1050</v>
      </c>
      <c r="O523" s="296" t="s">
        <v>278</v>
      </c>
      <c r="P523" s="296" t="s">
        <v>183</v>
      </c>
      <c r="Q523" s="296" t="s">
        <v>183</v>
      </c>
      <c r="R523" s="296" t="s">
        <v>1051</v>
      </c>
      <c r="S523" s="296" t="s">
        <v>185</v>
      </c>
      <c r="T523" s="296" t="s">
        <v>185</v>
      </c>
      <c r="U523" s="296" t="s">
        <v>186</v>
      </c>
      <c r="V523" s="296" t="s">
        <v>187</v>
      </c>
      <c r="W523" s="296" t="s">
        <v>188</v>
      </c>
      <c r="X523" s="296" t="s">
        <v>189</v>
      </c>
      <c r="Y523" s="296" t="s">
        <v>183</v>
      </c>
      <c r="Z523" s="296" t="s">
        <v>183</v>
      </c>
      <c r="AA523" s="296" t="s">
        <v>183</v>
      </c>
      <c r="AB523" s="296" t="s">
        <v>183</v>
      </c>
      <c r="AC523" s="296" t="s">
        <v>1052</v>
      </c>
      <c r="AD523" s="296" t="s">
        <v>4525</v>
      </c>
      <c r="AE523" s="296" t="s">
        <v>192</v>
      </c>
      <c r="AF523" s="296" t="s">
        <v>193</v>
      </c>
      <c r="AG523" s="296">
        <v>0</v>
      </c>
      <c r="AH523" s="298">
        <v>45188</v>
      </c>
      <c r="AJ523" s="296" t="s">
        <v>194</v>
      </c>
      <c r="AK523" s="299">
        <f>COUNTIF($A$3:A$917,A523)</f>
        <v>3</v>
      </c>
    </row>
    <row r="524" spans="1:37" x14ac:dyDescent="0.25">
      <c r="A524" s="296">
        <v>3102865904</v>
      </c>
      <c r="B524" s="296" t="s">
        <v>4526</v>
      </c>
      <c r="C524" s="296" t="s">
        <v>4527</v>
      </c>
      <c r="D524" s="296" t="s">
        <v>4528</v>
      </c>
      <c r="E524" s="296" t="s">
        <v>172</v>
      </c>
      <c r="F524" s="296" t="s">
        <v>4529</v>
      </c>
      <c r="G524" s="296" t="s">
        <v>278</v>
      </c>
      <c r="H524" s="296" t="s">
        <v>183</v>
      </c>
      <c r="I524" s="296" t="s">
        <v>4412</v>
      </c>
      <c r="J524" s="296" t="s">
        <v>4530</v>
      </c>
      <c r="K524" s="296" t="s">
        <v>4531</v>
      </c>
      <c r="L524" s="296" t="s">
        <v>4532</v>
      </c>
      <c r="M524" s="296" t="s">
        <v>179</v>
      </c>
      <c r="N524" s="296" t="s">
        <v>4533</v>
      </c>
      <c r="O524" s="296" t="s">
        <v>4533</v>
      </c>
      <c r="P524" s="296" t="s">
        <v>4534</v>
      </c>
      <c r="Q524" s="296" t="s">
        <v>183</v>
      </c>
      <c r="R524" s="296" t="s">
        <v>4535</v>
      </c>
      <c r="S524" s="296" t="s">
        <v>185</v>
      </c>
      <c r="T524" s="296" t="s">
        <v>185</v>
      </c>
      <c r="U524" s="296" t="s">
        <v>186</v>
      </c>
      <c r="V524" s="296" t="s">
        <v>187</v>
      </c>
      <c r="W524" s="296" t="s">
        <v>188</v>
      </c>
      <c r="X524" s="296" t="s">
        <v>256</v>
      </c>
      <c r="Y524" s="296" t="s">
        <v>183</v>
      </c>
      <c r="Z524" s="296" t="s">
        <v>183</v>
      </c>
      <c r="AA524" s="296" t="s">
        <v>183</v>
      </c>
      <c r="AB524" s="296" t="s">
        <v>183</v>
      </c>
      <c r="AC524" s="296" t="s">
        <v>4536</v>
      </c>
      <c r="AD524" s="296" t="s">
        <v>4537</v>
      </c>
      <c r="AE524" s="296" t="s">
        <v>192</v>
      </c>
      <c r="AF524" s="296" t="s">
        <v>193</v>
      </c>
      <c r="AG524" s="296">
        <v>0</v>
      </c>
      <c r="AH524" s="298">
        <v>44914</v>
      </c>
      <c r="AJ524" s="296" t="s">
        <v>194</v>
      </c>
      <c r="AK524" s="299">
        <f>COUNTIF($A$3:A$917,A524)</f>
        <v>1</v>
      </c>
    </row>
    <row r="525" spans="1:37" x14ac:dyDescent="0.25">
      <c r="A525" s="296">
        <v>155811414616</v>
      </c>
      <c r="B525" s="296" t="s">
        <v>4538</v>
      </c>
      <c r="C525" s="296" t="s">
        <v>183</v>
      </c>
      <c r="D525" s="296" t="s">
        <v>183</v>
      </c>
      <c r="E525" s="296" t="s">
        <v>183</v>
      </c>
      <c r="F525" s="296" t="s">
        <v>4539</v>
      </c>
      <c r="G525" s="296" t="s">
        <v>4539</v>
      </c>
      <c r="H525" s="296" t="s">
        <v>4540</v>
      </c>
      <c r="I525" s="296" t="s">
        <v>4412</v>
      </c>
      <c r="J525" s="296" t="s">
        <v>4541</v>
      </c>
      <c r="K525" s="296" t="s">
        <v>4542</v>
      </c>
      <c r="L525" s="296" t="s">
        <v>4538</v>
      </c>
      <c r="M525" s="296" t="s">
        <v>503</v>
      </c>
      <c r="N525" s="296" t="s">
        <v>4539</v>
      </c>
      <c r="O525" s="296" t="s">
        <v>4539</v>
      </c>
      <c r="P525" s="296" t="s">
        <v>4540</v>
      </c>
      <c r="Q525" s="296" t="s">
        <v>183</v>
      </c>
      <c r="R525" s="296" t="s">
        <v>4543</v>
      </c>
      <c r="S525" s="296" t="s">
        <v>185</v>
      </c>
      <c r="T525" s="296" t="s">
        <v>185</v>
      </c>
      <c r="U525" s="296" t="s">
        <v>186</v>
      </c>
      <c r="V525" s="296" t="s">
        <v>187</v>
      </c>
      <c r="W525" s="296" t="s">
        <v>188</v>
      </c>
      <c r="X525" s="296" t="s">
        <v>256</v>
      </c>
      <c r="Y525" s="296" t="s">
        <v>183</v>
      </c>
      <c r="Z525" s="296" t="s">
        <v>183</v>
      </c>
      <c r="AA525" s="296" t="s">
        <v>183</v>
      </c>
      <c r="AB525" s="296" t="s">
        <v>183</v>
      </c>
      <c r="AC525" s="296" t="s">
        <v>4544</v>
      </c>
      <c r="AD525" s="296" t="s">
        <v>4545</v>
      </c>
      <c r="AE525" s="296" t="s">
        <v>192</v>
      </c>
      <c r="AF525" s="296" t="s">
        <v>193</v>
      </c>
      <c r="AG525" s="296">
        <v>35183</v>
      </c>
      <c r="AH525" s="298">
        <v>42104</v>
      </c>
      <c r="AJ525" s="296" t="s">
        <v>194</v>
      </c>
      <c r="AK525" s="299">
        <f>COUNTIF($A$3:A$917,A525)</f>
        <v>1</v>
      </c>
    </row>
    <row r="526" spans="1:37" x14ac:dyDescent="0.25">
      <c r="A526" s="296">
        <v>3102922559</v>
      </c>
      <c r="B526" s="296" t="s">
        <v>1054</v>
      </c>
      <c r="C526" s="296" t="s">
        <v>1055</v>
      </c>
      <c r="D526" s="296" t="s">
        <v>1056</v>
      </c>
      <c r="E526" s="296" t="s">
        <v>1057</v>
      </c>
      <c r="F526" s="296" t="s">
        <v>1058</v>
      </c>
      <c r="G526" s="296" t="s">
        <v>278</v>
      </c>
      <c r="H526" s="296" t="s">
        <v>1059</v>
      </c>
      <c r="I526" s="296" t="s">
        <v>4412</v>
      </c>
      <c r="J526" s="296" t="s">
        <v>1060</v>
      </c>
      <c r="K526" s="296" t="s">
        <v>1061</v>
      </c>
      <c r="L526" s="296" t="s">
        <v>1062</v>
      </c>
      <c r="M526" s="296" t="s">
        <v>179</v>
      </c>
      <c r="N526" s="296" t="s">
        <v>1063</v>
      </c>
      <c r="O526" s="296" t="s">
        <v>1064</v>
      </c>
      <c r="P526" s="296" t="s">
        <v>1065</v>
      </c>
      <c r="Q526" s="296" t="s">
        <v>183</v>
      </c>
      <c r="R526" s="296" t="s">
        <v>1066</v>
      </c>
      <c r="S526" s="296" t="s">
        <v>185</v>
      </c>
      <c r="T526" s="296" t="s">
        <v>185</v>
      </c>
      <c r="U526" s="296" t="s">
        <v>186</v>
      </c>
      <c r="V526" s="296" t="s">
        <v>187</v>
      </c>
      <c r="W526" s="296" t="s">
        <v>188</v>
      </c>
      <c r="X526" s="296" t="s">
        <v>256</v>
      </c>
      <c r="Y526" s="296" t="s">
        <v>183</v>
      </c>
      <c r="Z526" s="296" t="s">
        <v>183</v>
      </c>
      <c r="AA526" s="296" t="s">
        <v>183</v>
      </c>
      <c r="AB526" s="296" t="s">
        <v>183</v>
      </c>
      <c r="AC526" s="296" t="s">
        <v>1067</v>
      </c>
      <c r="AD526" s="296" t="s">
        <v>4546</v>
      </c>
      <c r="AE526" s="296" t="s">
        <v>192</v>
      </c>
      <c r="AF526" s="296" t="s">
        <v>193</v>
      </c>
      <c r="AG526" s="296">
        <v>0</v>
      </c>
      <c r="AH526" s="298">
        <v>45741</v>
      </c>
      <c r="AJ526" s="296" t="s">
        <v>194</v>
      </c>
      <c r="AK526" s="299">
        <f>COUNTIF($A$3:A$917,A526)</f>
        <v>2</v>
      </c>
    </row>
    <row r="527" spans="1:37" x14ac:dyDescent="0.25">
      <c r="A527" s="296">
        <v>206720795</v>
      </c>
      <c r="B527" s="296" t="s">
        <v>4547</v>
      </c>
      <c r="C527" s="296" t="s">
        <v>183</v>
      </c>
      <c r="D527" s="296" t="s">
        <v>183</v>
      </c>
      <c r="E527" s="296" t="s">
        <v>183</v>
      </c>
      <c r="F527" s="296" t="s">
        <v>4548</v>
      </c>
      <c r="G527" s="296" t="s">
        <v>183</v>
      </c>
      <c r="H527" s="296" t="s">
        <v>4549</v>
      </c>
      <c r="I527" s="296" t="s">
        <v>4412</v>
      </c>
      <c r="J527" s="296" t="s">
        <v>4550</v>
      </c>
      <c r="K527" s="296" t="s">
        <v>4551</v>
      </c>
      <c r="L527" s="296" t="s">
        <v>4552</v>
      </c>
      <c r="M527" s="296" t="s">
        <v>179</v>
      </c>
      <c r="N527" s="296" t="s">
        <v>4553</v>
      </c>
      <c r="O527" s="296" t="s">
        <v>4554</v>
      </c>
      <c r="P527" s="296" t="s">
        <v>4555</v>
      </c>
      <c r="Q527" s="296" t="s">
        <v>183</v>
      </c>
      <c r="R527" s="296" t="s">
        <v>4556</v>
      </c>
      <c r="S527" s="296" t="s">
        <v>185</v>
      </c>
      <c r="T527" s="296" t="s">
        <v>185</v>
      </c>
      <c r="U527" s="296" t="s">
        <v>186</v>
      </c>
      <c r="V527" s="296" t="s">
        <v>187</v>
      </c>
      <c r="W527" s="296" t="s">
        <v>188</v>
      </c>
      <c r="X527" s="296" t="s">
        <v>246</v>
      </c>
      <c r="Y527" s="296" t="s">
        <v>183</v>
      </c>
      <c r="Z527" s="296" t="s">
        <v>183</v>
      </c>
      <c r="AA527" s="296" t="s">
        <v>183</v>
      </c>
      <c r="AB527" s="296" t="s">
        <v>183</v>
      </c>
      <c r="AC527" s="296" t="s">
        <v>4557</v>
      </c>
      <c r="AD527" s="296" t="s">
        <v>4558</v>
      </c>
      <c r="AE527" s="296" t="s">
        <v>192</v>
      </c>
      <c r="AF527" s="296" t="s">
        <v>193</v>
      </c>
      <c r="AG527" s="296">
        <v>0</v>
      </c>
      <c r="AH527" s="298">
        <v>44271</v>
      </c>
      <c r="AJ527" s="296" t="s">
        <v>194</v>
      </c>
      <c r="AK527" s="299">
        <f>COUNTIF($A$3:A$917,A527)</f>
        <v>1</v>
      </c>
    </row>
    <row r="528" spans="1:37" x14ac:dyDescent="0.25">
      <c r="A528" s="296">
        <v>3101140324</v>
      </c>
      <c r="B528" s="296" t="s">
        <v>1720</v>
      </c>
      <c r="C528" s="296" t="s">
        <v>1721</v>
      </c>
      <c r="D528" s="296" t="s">
        <v>1722</v>
      </c>
      <c r="E528" s="296" t="s">
        <v>1723</v>
      </c>
      <c r="F528" s="296" t="s">
        <v>1724</v>
      </c>
      <c r="G528" s="296" t="s">
        <v>1725</v>
      </c>
      <c r="H528" s="296" t="s">
        <v>1726</v>
      </c>
      <c r="I528" s="296" t="s">
        <v>4412</v>
      </c>
      <c r="J528" s="296" t="s">
        <v>4559</v>
      </c>
      <c r="K528" s="296" t="s">
        <v>1728</v>
      </c>
      <c r="L528" s="296" t="s">
        <v>1720</v>
      </c>
      <c r="M528" s="296" t="s">
        <v>179</v>
      </c>
      <c r="N528" s="296" t="s">
        <v>1724</v>
      </c>
      <c r="O528" s="296" t="s">
        <v>1725</v>
      </c>
      <c r="P528" s="296" t="s">
        <v>1729</v>
      </c>
      <c r="Q528" s="296" t="s">
        <v>183</v>
      </c>
      <c r="R528" s="296" t="s">
        <v>1730</v>
      </c>
      <c r="S528" s="296" t="s">
        <v>185</v>
      </c>
      <c r="T528" s="296" t="s">
        <v>185</v>
      </c>
      <c r="U528" s="296" t="s">
        <v>186</v>
      </c>
      <c r="V528" s="296" t="s">
        <v>187</v>
      </c>
      <c r="W528" s="296" t="s">
        <v>188</v>
      </c>
      <c r="X528" s="296" t="s">
        <v>224</v>
      </c>
      <c r="Y528" s="296" t="s">
        <v>183</v>
      </c>
      <c r="Z528" s="296" t="s">
        <v>183</v>
      </c>
      <c r="AA528" s="296" t="s">
        <v>183</v>
      </c>
      <c r="AB528" s="296" t="s">
        <v>183</v>
      </c>
      <c r="AC528" s="296" t="s">
        <v>1731</v>
      </c>
      <c r="AD528" s="296" t="s">
        <v>4560</v>
      </c>
      <c r="AE528" s="296" t="s">
        <v>192</v>
      </c>
      <c r="AF528" s="296" t="s">
        <v>193</v>
      </c>
      <c r="AG528" s="296">
        <v>30094</v>
      </c>
      <c r="AH528" s="298">
        <v>36579</v>
      </c>
      <c r="AJ528" s="296" t="s">
        <v>194</v>
      </c>
      <c r="AK528" s="299">
        <f>COUNTIF($A$3:A$917,A528)</f>
        <v>2</v>
      </c>
    </row>
    <row r="529" spans="1:37" x14ac:dyDescent="0.25">
      <c r="A529" s="296">
        <v>501900100</v>
      </c>
      <c r="B529" s="296" t="s">
        <v>1069</v>
      </c>
      <c r="C529" s="296" t="s">
        <v>183</v>
      </c>
      <c r="D529" s="296" t="s">
        <v>183</v>
      </c>
      <c r="E529" s="296" t="s">
        <v>183</v>
      </c>
      <c r="F529" s="296" t="s">
        <v>1070</v>
      </c>
      <c r="G529" s="296" t="s">
        <v>183</v>
      </c>
      <c r="H529" s="296" t="s">
        <v>1071</v>
      </c>
      <c r="I529" s="296" t="s">
        <v>4412</v>
      </c>
      <c r="J529" s="296" t="s">
        <v>1072</v>
      </c>
      <c r="K529" s="296" t="s">
        <v>1073</v>
      </c>
      <c r="L529" s="296" t="s">
        <v>1074</v>
      </c>
      <c r="M529" s="296" t="s">
        <v>179</v>
      </c>
      <c r="N529" s="296" t="s">
        <v>1075</v>
      </c>
      <c r="O529" s="296" t="s">
        <v>183</v>
      </c>
      <c r="P529" s="296" t="s">
        <v>1076</v>
      </c>
      <c r="Q529" s="296" t="s">
        <v>183</v>
      </c>
      <c r="R529" s="296" t="s">
        <v>1077</v>
      </c>
      <c r="S529" s="296" t="s">
        <v>1041</v>
      </c>
      <c r="T529" s="296" t="s">
        <v>185</v>
      </c>
      <c r="U529" s="296" t="s">
        <v>186</v>
      </c>
      <c r="V529" s="296" t="s">
        <v>187</v>
      </c>
      <c r="W529" s="296" t="s">
        <v>188</v>
      </c>
      <c r="X529" s="296" t="s">
        <v>308</v>
      </c>
      <c r="Y529" s="296" t="s">
        <v>183</v>
      </c>
      <c r="Z529" s="296" t="s">
        <v>183</v>
      </c>
      <c r="AA529" s="296" t="s">
        <v>183</v>
      </c>
      <c r="AB529" s="296" t="s">
        <v>183</v>
      </c>
      <c r="AC529" s="296" t="s">
        <v>1078</v>
      </c>
      <c r="AD529" s="296" t="s">
        <v>4561</v>
      </c>
      <c r="AE529" s="296" t="s">
        <v>192</v>
      </c>
      <c r="AF529" s="296" t="s">
        <v>193</v>
      </c>
      <c r="AG529" s="296">
        <v>11986</v>
      </c>
      <c r="AH529" s="298">
        <v>44251</v>
      </c>
      <c r="AJ529" s="296" t="s">
        <v>194</v>
      </c>
      <c r="AK529" s="299">
        <f>COUNTIF($A$3:A$917,A529)</f>
        <v>2</v>
      </c>
    </row>
    <row r="530" spans="1:37" x14ac:dyDescent="0.25">
      <c r="A530" s="296">
        <v>501580715</v>
      </c>
      <c r="B530" s="296" t="s">
        <v>1080</v>
      </c>
      <c r="C530" s="296" t="s">
        <v>183</v>
      </c>
      <c r="D530" s="296" t="s">
        <v>183</v>
      </c>
      <c r="E530" s="296" t="s">
        <v>183</v>
      </c>
      <c r="F530" s="296" t="s">
        <v>1081</v>
      </c>
      <c r="G530" s="296" t="s">
        <v>1082</v>
      </c>
      <c r="H530" s="296" t="s">
        <v>1083</v>
      </c>
      <c r="I530" s="296" t="s">
        <v>4412</v>
      </c>
      <c r="J530" s="296" t="s">
        <v>1084</v>
      </c>
      <c r="K530" s="296" t="s">
        <v>1085</v>
      </c>
      <c r="L530" s="296" t="s">
        <v>1086</v>
      </c>
      <c r="M530" s="296" t="s">
        <v>179</v>
      </c>
      <c r="N530" s="296" t="s">
        <v>1087</v>
      </c>
      <c r="O530" s="296" t="s">
        <v>1088</v>
      </c>
      <c r="P530" s="296" t="s">
        <v>1089</v>
      </c>
      <c r="Q530" s="296" t="s">
        <v>183</v>
      </c>
      <c r="R530" s="296" t="s">
        <v>1090</v>
      </c>
      <c r="S530" s="296" t="s">
        <v>185</v>
      </c>
      <c r="T530" s="296" t="s">
        <v>185</v>
      </c>
      <c r="U530" s="296" t="s">
        <v>186</v>
      </c>
      <c r="V530" s="296" t="s">
        <v>187</v>
      </c>
      <c r="W530" s="296" t="s">
        <v>188</v>
      </c>
      <c r="X530" s="296" t="s">
        <v>189</v>
      </c>
      <c r="Y530" s="296" t="s">
        <v>183</v>
      </c>
      <c r="Z530" s="296" t="s">
        <v>183</v>
      </c>
      <c r="AA530" s="296" t="s">
        <v>183</v>
      </c>
      <c r="AB530" s="296" t="s">
        <v>183</v>
      </c>
      <c r="AC530" s="296" t="s">
        <v>1091</v>
      </c>
      <c r="AD530" s="296" t="s">
        <v>4562</v>
      </c>
      <c r="AE530" s="296" t="s">
        <v>192</v>
      </c>
      <c r="AF530" s="296" t="s">
        <v>193</v>
      </c>
      <c r="AG530" s="296">
        <v>0</v>
      </c>
      <c r="AH530" s="298">
        <v>44833</v>
      </c>
      <c r="AJ530" s="296" t="s">
        <v>194</v>
      </c>
      <c r="AK530" s="299">
        <f>COUNTIF($A$3:A$917,A530)</f>
        <v>2</v>
      </c>
    </row>
    <row r="531" spans="1:37" x14ac:dyDescent="0.25">
      <c r="A531" s="296">
        <v>501360467</v>
      </c>
      <c r="B531" s="296" t="s">
        <v>4563</v>
      </c>
      <c r="C531" s="296" t="s">
        <v>183</v>
      </c>
      <c r="D531" s="296" t="s">
        <v>183</v>
      </c>
      <c r="E531" s="296" t="s">
        <v>183</v>
      </c>
      <c r="F531" s="296" t="s">
        <v>4564</v>
      </c>
      <c r="G531" s="296" t="s">
        <v>4565</v>
      </c>
      <c r="H531" s="296" t="s">
        <v>4566</v>
      </c>
      <c r="I531" s="296" t="s">
        <v>4412</v>
      </c>
      <c r="J531" s="296" t="s">
        <v>4567</v>
      </c>
      <c r="K531" s="296" t="s">
        <v>4568</v>
      </c>
      <c r="L531" s="296" t="s">
        <v>4563</v>
      </c>
      <c r="M531" s="296" t="s">
        <v>179</v>
      </c>
      <c r="N531" s="296" t="s">
        <v>4564</v>
      </c>
      <c r="O531" s="296" t="s">
        <v>4565</v>
      </c>
      <c r="P531" s="296" t="s">
        <v>4566</v>
      </c>
      <c r="Q531" s="296" t="s">
        <v>183</v>
      </c>
      <c r="R531" s="296" t="s">
        <v>4569</v>
      </c>
      <c r="S531" s="296" t="s">
        <v>185</v>
      </c>
      <c r="T531" s="296" t="s">
        <v>185</v>
      </c>
      <c r="U531" s="296" t="s">
        <v>186</v>
      </c>
      <c r="V531" s="296" t="s">
        <v>187</v>
      </c>
      <c r="W531" s="296" t="s">
        <v>188</v>
      </c>
      <c r="X531" s="296" t="s">
        <v>246</v>
      </c>
      <c r="Y531" s="296" t="s">
        <v>183</v>
      </c>
      <c r="Z531" s="296" t="s">
        <v>183</v>
      </c>
      <c r="AA531" s="296" t="s">
        <v>183</v>
      </c>
      <c r="AB531" s="296" t="s">
        <v>183</v>
      </c>
      <c r="AC531" s="296" t="s">
        <v>4570</v>
      </c>
      <c r="AD531" s="296" t="s">
        <v>4571</v>
      </c>
      <c r="AE531" s="296" t="s">
        <v>192</v>
      </c>
      <c r="AF531" s="296" t="s">
        <v>193</v>
      </c>
      <c r="AG531" s="296">
        <v>0</v>
      </c>
      <c r="AH531" s="298">
        <v>44484</v>
      </c>
      <c r="AJ531" s="296" t="s">
        <v>194</v>
      </c>
      <c r="AK531" s="299">
        <f>COUNTIF($A$3:A$917,A531)</f>
        <v>1</v>
      </c>
    </row>
    <row r="532" spans="1:37" x14ac:dyDescent="0.25">
      <c r="A532" s="296">
        <v>504110998</v>
      </c>
      <c r="B532" s="296" t="s">
        <v>4572</v>
      </c>
      <c r="C532" s="296" t="s">
        <v>183</v>
      </c>
      <c r="D532" s="296" t="s">
        <v>183</v>
      </c>
      <c r="E532" s="296" t="s">
        <v>183</v>
      </c>
      <c r="F532" s="296" t="s">
        <v>4573</v>
      </c>
      <c r="G532" s="296" t="s">
        <v>183</v>
      </c>
      <c r="H532" s="296" t="s">
        <v>4574</v>
      </c>
      <c r="I532" s="296" t="s">
        <v>4412</v>
      </c>
      <c r="J532" s="296" t="s">
        <v>4575</v>
      </c>
      <c r="K532" s="296" t="s">
        <v>4576</v>
      </c>
      <c r="L532" s="296" t="s">
        <v>4572</v>
      </c>
      <c r="M532" s="296" t="s">
        <v>179</v>
      </c>
      <c r="N532" s="296" t="s">
        <v>4573</v>
      </c>
      <c r="O532" s="296" t="s">
        <v>183</v>
      </c>
      <c r="P532" s="296" t="s">
        <v>4574</v>
      </c>
      <c r="Q532" s="296" t="s">
        <v>183</v>
      </c>
      <c r="R532" s="296" t="s">
        <v>4577</v>
      </c>
      <c r="S532" s="296" t="s">
        <v>185</v>
      </c>
      <c r="T532" s="296" t="s">
        <v>185</v>
      </c>
      <c r="U532" s="296" t="s">
        <v>186</v>
      </c>
      <c r="V532" s="296" t="s">
        <v>187</v>
      </c>
      <c r="W532" s="296" t="s">
        <v>188</v>
      </c>
      <c r="X532" s="296" t="s">
        <v>404</v>
      </c>
      <c r="Y532" s="296" t="s">
        <v>183</v>
      </c>
      <c r="Z532" s="296" t="s">
        <v>183</v>
      </c>
      <c r="AA532" s="296" t="s">
        <v>183</v>
      </c>
      <c r="AB532" s="296" t="s">
        <v>183</v>
      </c>
      <c r="AC532" s="296" t="s">
        <v>4578</v>
      </c>
      <c r="AD532" s="296" t="s">
        <v>4579</v>
      </c>
      <c r="AE532" s="296" t="s">
        <v>192</v>
      </c>
      <c r="AF532" s="296" t="s">
        <v>193</v>
      </c>
      <c r="AG532" s="296">
        <v>0</v>
      </c>
      <c r="AH532" s="298">
        <v>44776</v>
      </c>
      <c r="AJ532" s="296" t="s">
        <v>194</v>
      </c>
      <c r="AK532" s="299">
        <f>COUNTIF($A$3:A$917,A532)</f>
        <v>1</v>
      </c>
    </row>
    <row r="533" spans="1:37" x14ac:dyDescent="0.25">
      <c r="A533" s="296">
        <v>801380269</v>
      </c>
      <c r="B533" s="296" t="s">
        <v>4580</v>
      </c>
      <c r="C533" s="296" t="s">
        <v>183</v>
      </c>
      <c r="D533" s="296" t="s">
        <v>183</v>
      </c>
      <c r="E533" s="296" t="s">
        <v>183</v>
      </c>
      <c r="F533" s="296" t="s">
        <v>4581</v>
      </c>
      <c r="G533" s="296" t="s">
        <v>4581</v>
      </c>
      <c r="H533" s="296" t="s">
        <v>4582</v>
      </c>
      <c r="I533" s="296" t="s">
        <v>4412</v>
      </c>
      <c r="J533" s="296" t="s">
        <v>4583</v>
      </c>
      <c r="K533" s="296" t="s">
        <v>4584</v>
      </c>
      <c r="L533" s="296" t="s">
        <v>4585</v>
      </c>
      <c r="M533" s="296" t="s">
        <v>179</v>
      </c>
      <c r="N533" s="296" t="s">
        <v>4586</v>
      </c>
      <c r="O533" s="296" t="s">
        <v>278</v>
      </c>
      <c r="P533" s="296" t="s">
        <v>183</v>
      </c>
      <c r="Q533" s="296" t="s">
        <v>183</v>
      </c>
      <c r="R533" s="296" t="s">
        <v>4587</v>
      </c>
      <c r="S533" s="296" t="s">
        <v>185</v>
      </c>
      <c r="T533" s="296" t="s">
        <v>185</v>
      </c>
      <c r="U533" s="296" t="s">
        <v>186</v>
      </c>
      <c r="V533" s="296" t="s">
        <v>187</v>
      </c>
      <c r="W533" s="296" t="s">
        <v>188</v>
      </c>
      <c r="X533" s="296" t="s">
        <v>256</v>
      </c>
      <c r="Y533" s="296" t="s">
        <v>183</v>
      </c>
      <c r="Z533" s="296" t="s">
        <v>183</v>
      </c>
      <c r="AA533" s="296" t="s">
        <v>183</v>
      </c>
      <c r="AB533" s="296" t="s">
        <v>183</v>
      </c>
      <c r="AC533" s="296" t="s">
        <v>4588</v>
      </c>
      <c r="AD533" s="296" t="s">
        <v>4589</v>
      </c>
      <c r="AE533" s="296" t="s">
        <v>192</v>
      </c>
      <c r="AF533" s="296" t="s">
        <v>193</v>
      </c>
      <c r="AG533" s="296">
        <v>0</v>
      </c>
      <c r="AH533" s="298">
        <v>46037</v>
      </c>
      <c r="AJ533" s="296" t="s">
        <v>194</v>
      </c>
      <c r="AK533" s="299">
        <f>COUNTIF($A$3:A$917,A533)</f>
        <v>1</v>
      </c>
    </row>
    <row r="534" spans="1:37" x14ac:dyDescent="0.25">
      <c r="A534" s="296">
        <v>503420502</v>
      </c>
      <c r="B534" s="296" t="s">
        <v>4590</v>
      </c>
      <c r="C534" s="296" t="s">
        <v>183</v>
      </c>
      <c r="D534" s="296" t="s">
        <v>183</v>
      </c>
      <c r="E534" s="296" t="s">
        <v>183</v>
      </c>
      <c r="F534" s="296" t="s">
        <v>4591</v>
      </c>
      <c r="G534" s="296" t="s">
        <v>183</v>
      </c>
      <c r="H534" s="296" t="s">
        <v>4592</v>
      </c>
      <c r="I534" s="296" t="s">
        <v>4412</v>
      </c>
      <c r="J534" s="296" t="s">
        <v>4593</v>
      </c>
      <c r="K534" s="296" t="s">
        <v>4594</v>
      </c>
      <c r="L534" s="296" t="s">
        <v>4590</v>
      </c>
      <c r="M534" s="296" t="s">
        <v>179</v>
      </c>
      <c r="N534" s="296" t="s">
        <v>4591</v>
      </c>
      <c r="O534" s="296" t="s">
        <v>183</v>
      </c>
      <c r="P534" s="296" t="s">
        <v>4592</v>
      </c>
      <c r="Q534" s="296" t="s">
        <v>183</v>
      </c>
      <c r="R534" s="296" t="s">
        <v>4595</v>
      </c>
      <c r="S534" s="296" t="s">
        <v>185</v>
      </c>
      <c r="T534" s="296" t="s">
        <v>185</v>
      </c>
      <c r="U534" s="296" t="s">
        <v>186</v>
      </c>
      <c r="V534" s="296" t="s">
        <v>187</v>
      </c>
      <c r="W534" s="296" t="s">
        <v>188</v>
      </c>
      <c r="X534" s="296" t="s">
        <v>188</v>
      </c>
      <c r="Y534" s="296" t="s">
        <v>183</v>
      </c>
      <c r="Z534" s="296" t="s">
        <v>183</v>
      </c>
      <c r="AA534" s="296" t="s">
        <v>183</v>
      </c>
      <c r="AB534" s="296" t="s">
        <v>183</v>
      </c>
      <c r="AC534" s="296" t="s">
        <v>4596</v>
      </c>
      <c r="AD534" s="296" t="s">
        <v>4597</v>
      </c>
      <c r="AE534" s="296" t="s">
        <v>192</v>
      </c>
      <c r="AF534" s="296" t="s">
        <v>193</v>
      </c>
      <c r="AG534" s="296">
        <v>0</v>
      </c>
      <c r="AH534" s="298">
        <v>45301</v>
      </c>
      <c r="AJ534" s="296" t="s">
        <v>194</v>
      </c>
      <c r="AK534" s="299">
        <f>COUNTIF($A$3:A$917,A534)</f>
        <v>1</v>
      </c>
    </row>
    <row r="535" spans="1:37" x14ac:dyDescent="0.25">
      <c r="A535" s="296">
        <v>801020461</v>
      </c>
      <c r="B535" s="296" t="s">
        <v>2871</v>
      </c>
      <c r="C535" s="296" t="s">
        <v>183</v>
      </c>
      <c r="D535" s="296" t="s">
        <v>183</v>
      </c>
      <c r="E535" s="296" t="s">
        <v>183</v>
      </c>
      <c r="F535" s="296" t="s">
        <v>2872</v>
      </c>
      <c r="G535" s="296" t="s">
        <v>183</v>
      </c>
      <c r="H535" s="296" t="s">
        <v>2873</v>
      </c>
      <c r="I535" s="296" t="s">
        <v>4412</v>
      </c>
      <c r="J535" s="296" t="s">
        <v>4598</v>
      </c>
      <c r="K535" s="296" t="s">
        <v>2875</v>
      </c>
      <c r="L535" s="296" t="s">
        <v>2876</v>
      </c>
      <c r="M535" s="296" t="s">
        <v>179</v>
      </c>
      <c r="N535" s="296" t="s">
        <v>2872</v>
      </c>
      <c r="O535" s="296" t="s">
        <v>2877</v>
      </c>
      <c r="P535" s="296" t="s">
        <v>2873</v>
      </c>
      <c r="Q535" s="296" t="s">
        <v>183</v>
      </c>
      <c r="R535" s="296" t="s">
        <v>2878</v>
      </c>
      <c r="S535" s="296" t="s">
        <v>185</v>
      </c>
      <c r="T535" s="296" t="s">
        <v>185</v>
      </c>
      <c r="U535" s="296" t="s">
        <v>186</v>
      </c>
      <c r="V535" s="296" t="s">
        <v>187</v>
      </c>
      <c r="W535" s="296" t="s">
        <v>188</v>
      </c>
      <c r="X535" s="296" t="s">
        <v>256</v>
      </c>
      <c r="Y535" s="296" t="s">
        <v>183</v>
      </c>
      <c r="Z535" s="296" t="s">
        <v>183</v>
      </c>
      <c r="AA535" s="296" t="s">
        <v>183</v>
      </c>
      <c r="AB535" s="296" t="s">
        <v>183</v>
      </c>
      <c r="AC535" s="296" t="s">
        <v>183</v>
      </c>
      <c r="AD535" s="296" t="s">
        <v>4599</v>
      </c>
      <c r="AE535" s="296" t="s">
        <v>192</v>
      </c>
      <c r="AF535" s="296" t="s">
        <v>193</v>
      </c>
      <c r="AG535" s="296">
        <v>0</v>
      </c>
      <c r="AH535" s="298">
        <v>44736</v>
      </c>
      <c r="AJ535" s="296" t="s">
        <v>194</v>
      </c>
      <c r="AK535" s="299">
        <f>COUNTIF($A$3:A$917,A535)</f>
        <v>2</v>
      </c>
    </row>
    <row r="536" spans="1:37" x14ac:dyDescent="0.25">
      <c r="A536" s="296">
        <v>3101668285</v>
      </c>
      <c r="B536" s="296" t="s">
        <v>4600</v>
      </c>
      <c r="C536" s="296" t="s">
        <v>183</v>
      </c>
      <c r="D536" s="296" t="s">
        <v>183</v>
      </c>
      <c r="E536" s="296" t="s">
        <v>183</v>
      </c>
      <c r="F536" s="296" t="s">
        <v>4601</v>
      </c>
      <c r="G536" s="296" t="s">
        <v>183</v>
      </c>
      <c r="H536" s="296" t="s">
        <v>4602</v>
      </c>
      <c r="I536" s="296" t="s">
        <v>4412</v>
      </c>
      <c r="J536" s="296" t="s">
        <v>4603</v>
      </c>
      <c r="K536" s="296" t="s">
        <v>4604</v>
      </c>
      <c r="L536" s="296" t="s">
        <v>4605</v>
      </c>
      <c r="M536" s="296" t="s">
        <v>179</v>
      </c>
      <c r="N536" s="296" t="s">
        <v>4606</v>
      </c>
      <c r="O536" s="296" t="s">
        <v>183</v>
      </c>
      <c r="P536" s="296" t="s">
        <v>4607</v>
      </c>
      <c r="Q536" s="296" t="s">
        <v>183</v>
      </c>
      <c r="R536" s="296" t="s">
        <v>4608</v>
      </c>
      <c r="S536" s="296" t="s">
        <v>185</v>
      </c>
      <c r="T536" s="296" t="s">
        <v>185</v>
      </c>
      <c r="U536" s="296" t="s">
        <v>186</v>
      </c>
      <c r="V536" s="296" t="s">
        <v>187</v>
      </c>
      <c r="W536" s="296" t="s">
        <v>188</v>
      </c>
      <c r="X536" s="296" t="s">
        <v>404</v>
      </c>
      <c r="Y536" s="296" t="s">
        <v>183</v>
      </c>
      <c r="Z536" s="296" t="s">
        <v>183</v>
      </c>
      <c r="AA536" s="296" t="s">
        <v>183</v>
      </c>
      <c r="AB536" s="296" t="s">
        <v>183</v>
      </c>
      <c r="AC536" s="296" t="s">
        <v>4609</v>
      </c>
      <c r="AD536" s="296" t="s">
        <v>4610</v>
      </c>
      <c r="AE536" s="296" t="s">
        <v>192</v>
      </c>
      <c r="AF536" s="296" t="s">
        <v>193</v>
      </c>
      <c r="AG536" s="296">
        <v>0</v>
      </c>
      <c r="AH536" s="298">
        <v>46037</v>
      </c>
      <c r="AJ536" s="296" t="s">
        <v>194</v>
      </c>
      <c r="AK536" s="299">
        <f>COUNTIF($A$3:A$917,A536)</f>
        <v>1</v>
      </c>
    </row>
    <row r="537" spans="1:37" x14ac:dyDescent="0.25">
      <c r="A537" s="296">
        <v>138000154334</v>
      </c>
      <c r="B537" s="296" t="s">
        <v>4611</v>
      </c>
      <c r="C537" s="296" t="s">
        <v>183</v>
      </c>
      <c r="D537" s="296" t="s">
        <v>183</v>
      </c>
      <c r="E537" s="296" t="s">
        <v>183</v>
      </c>
      <c r="F537" s="296" t="s">
        <v>4612</v>
      </c>
      <c r="G537" s="296" t="s">
        <v>4612</v>
      </c>
      <c r="H537" s="296" t="s">
        <v>4613</v>
      </c>
      <c r="I537" s="296" t="s">
        <v>4412</v>
      </c>
      <c r="J537" s="296" t="s">
        <v>4614</v>
      </c>
      <c r="K537" s="296" t="s">
        <v>4615</v>
      </c>
      <c r="L537" s="296" t="s">
        <v>4616</v>
      </c>
      <c r="M537" s="296" t="s">
        <v>179</v>
      </c>
      <c r="N537" s="296" t="s">
        <v>4617</v>
      </c>
      <c r="O537" s="296" t="s">
        <v>4617</v>
      </c>
      <c r="P537" s="296" t="s">
        <v>4618</v>
      </c>
      <c r="Q537" s="296" t="s">
        <v>183</v>
      </c>
      <c r="R537" s="296" t="s">
        <v>4619</v>
      </c>
      <c r="S537" s="296" t="s">
        <v>185</v>
      </c>
      <c r="T537" s="296" t="s">
        <v>185</v>
      </c>
      <c r="U537" s="296" t="s">
        <v>186</v>
      </c>
      <c r="V537" s="296" t="s">
        <v>187</v>
      </c>
      <c r="W537" s="296" t="s">
        <v>188</v>
      </c>
      <c r="X537" s="296" t="s">
        <v>256</v>
      </c>
      <c r="Y537" s="296" t="s">
        <v>183</v>
      </c>
      <c r="Z537" s="296" t="s">
        <v>183</v>
      </c>
      <c r="AA537" s="296" t="s">
        <v>183</v>
      </c>
      <c r="AB537" s="296" t="s">
        <v>183</v>
      </c>
      <c r="AC537" s="296" t="s">
        <v>4620</v>
      </c>
      <c r="AD537" s="296" t="s">
        <v>4621</v>
      </c>
      <c r="AE537" s="296" t="s">
        <v>192</v>
      </c>
      <c r="AF537" s="296" t="s">
        <v>193</v>
      </c>
      <c r="AG537" s="296">
        <v>28891.75</v>
      </c>
      <c r="AH537" s="298">
        <v>41645</v>
      </c>
      <c r="AJ537" s="296" t="s">
        <v>194</v>
      </c>
      <c r="AK537" s="299">
        <f>COUNTIF($A$3:A$917,A537)</f>
        <v>1</v>
      </c>
    </row>
    <row r="538" spans="1:37" x14ac:dyDescent="0.25">
      <c r="A538" s="296">
        <v>3102909483</v>
      </c>
      <c r="B538" s="296" t="s">
        <v>4622</v>
      </c>
      <c r="C538" s="296" t="s">
        <v>4623</v>
      </c>
      <c r="D538" s="296" t="s">
        <v>4624</v>
      </c>
      <c r="E538" s="296" t="s">
        <v>1723</v>
      </c>
      <c r="F538" s="296" t="s">
        <v>4625</v>
      </c>
      <c r="G538" s="296" t="s">
        <v>183</v>
      </c>
      <c r="H538" s="296" t="s">
        <v>4626</v>
      </c>
      <c r="I538" s="296" t="s">
        <v>4412</v>
      </c>
      <c r="J538" s="296" t="s">
        <v>2857</v>
      </c>
      <c r="K538" s="296" t="s">
        <v>2858</v>
      </c>
      <c r="L538" s="296" t="s">
        <v>2852</v>
      </c>
      <c r="M538" s="296" t="s">
        <v>179</v>
      </c>
      <c r="N538" s="296" t="s">
        <v>2855</v>
      </c>
      <c r="O538" s="296" t="s">
        <v>183</v>
      </c>
      <c r="P538" s="296" t="s">
        <v>2856</v>
      </c>
      <c r="Q538" s="296" t="s">
        <v>183</v>
      </c>
      <c r="R538" s="296" t="s">
        <v>2859</v>
      </c>
      <c r="S538" s="296" t="s">
        <v>185</v>
      </c>
      <c r="T538" s="296" t="s">
        <v>185</v>
      </c>
      <c r="U538" s="296" t="s">
        <v>186</v>
      </c>
      <c r="V538" s="296" t="s">
        <v>187</v>
      </c>
      <c r="W538" s="296" t="s">
        <v>188</v>
      </c>
      <c r="X538" s="296" t="s">
        <v>256</v>
      </c>
      <c r="Y538" s="296" t="s">
        <v>183</v>
      </c>
      <c r="Z538" s="296" t="s">
        <v>183</v>
      </c>
      <c r="AA538" s="296" t="s">
        <v>183</v>
      </c>
      <c r="AB538" s="296" t="s">
        <v>183</v>
      </c>
      <c r="AC538" s="296" t="s">
        <v>2860</v>
      </c>
      <c r="AD538" s="296" t="s">
        <v>4627</v>
      </c>
      <c r="AE538" s="296" t="s">
        <v>192</v>
      </c>
      <c r="AF538" s="296" t="s">
        <v>193</v>
      </c>
      <c r="AG538" s="296">
        <v>25160</v>
      </c>
      <c r="AH538" s="298">
        <v>44180</v>
      </c>
      <c r="AJ538" s="296" t="s">
        <v>194</v>
      </c>
      <c r="AK538" s="299">
        <f>COUNTIF($A$3:A$917,A538)</f>
        <v>1</v>
      </c>
    </row>
    <row r="539" spans="1:37" x14ac:dyDescent="0.25">
      <c r="A539" s="296">
        <v>501990752</v>
      </c>
      <c r="B539" s="296" t="s">
        <v>4628</v>
      </c>
      <c r="C539" s="296" t="s">
        <v>183</v>
      </c>
      <c r="D539" s="296" t="s">
        <v>183</v>
      </c>
      <c r="E539" s="296" t="s">
        <v>183</v>
      </c>
      <c r="F539" s="296" t="s">
        <v>4629</v>
      </c>
      <c r="G539" s="296" t="s">
        <v>4630</v>
      </c>
      <c r="H539" s="296" t="s">
        <v>4631</v>
      </c>
      <c r="I539" s="296" t="s">
        <v>4412</v>
      </c>
      <c r="J539" s="296" t="s">
        <v>4632</v>
      </c>
      <c r="K539" s="296" t="s">
        <v>4633</v>
      </c>
      <c r="L539" s="296" t="s">
        <v>4634</v>
      </c>
      <c r="M539" s="296" t="s">
        <v>179</v>
      </c>
      <c r="N539" s="296" t="s">
        <v>4635</v>
      </c>
      <c r="O539" s="296" t="s">
        <v>278</v>
      </c>
      <c r="P539" s="296" t="s">
        <v>4636</v>
      </c>
      <c r="Q539" s="296" t="s">
        <v>183</v>
      </c>
      <c r="R539" s="296" t="s">
        <v>4637</v>
      </c>
      <c r="S539" s="296" t="s">
        <v>185</v>
      </c>
      <c r="T539" s="296" t="s">
        <v>185</v>
      </c>
      <c r="U539" s="296" t="s">
        <v>186</v>
      </c>
      <c r="V539" s="296" t="s">
        <v>187</v>
      </c>
      <c r="W539" s="296" t="s">
        <v>188</v>
      </c>
      <c r="X539" s="296" t="s">
        <v>189</v>
      </c>
      <c r="Y539" s="296" t="s">
        <v>183</v>
      </c>
      <c r="Z539" s="296" t="s">
        <v>183</v>
      </c>
      <c r="AA539" s="296" t="s">
        <v>183</v>
      </c>
      <c r="AB539" s="296" t="s">
        <v>183</v>
      </c>
      <c r="AC539" s="296" t="s">
        <v>4638</v>
      </c>
      <c r="AD539" s="296" t="s">
        <v>4639</v>
      </c>
      <c r="AE539" s="296" t="s">
        <v>192</v>
      </c>
      <c r="AF539" s="296" t="s">
        <v>193</v>
      </c>
      <c r="AG539" s="296">
        <v>0</v>
      </c>
      <c r="AH539" s="298">
        <v>45364</v>
      </c>
      <c r="AJ539" s="296" t="s">
        <v>194</v>
      </c>
      <c r="AK539" s="299">
        <f>COUNTIF($A$3:A$917,A539)</f>
        <v>1</v>
      </c>
    </row>
    <row r="540" spans="1:37" x14ac:dyDescent="0.25">
      <c r="A540" s="296">
        <v>401750033</v>
      </c>
      <c r="B540" s="296" t="s">
        <v>4640</v>
      </c>
      <c r="C540" s="296" t="s">
        <v>183</v>
      </c>
      <c r="D540" s="296" t="s">
        <v>183</v>
      </c>
      <c r="E540" s="296" t="s">
        <v>183</v>
      </c>
      <c r="F540" s="296" t="s">
        <v>4641</v>
      </c>
      <c r="G540" s="296" t="s">
        <v>4641</v>
      </c>
      <c r="H540" s="296" t="s">
        <v>4642</v>
      </c>
      <c r="I540" s="296" t="s">
        <v>4412</v>
      </c>
      <c r="J540" s="296" t="s">
        <v>4643</v>
      </c>
      <c r="K540" s="296" t="s">
        <v>1716</v>
      </c>
      <c r="L540" s="296" t="s">
        <v>1713</v>
      </c>
      <c r="M540" s="296" t="s">
        <v>179</v>
      </c>
      <c r="N540" s="296" t="s">
        <v>1621</v>
      </c>
      <c r="O540" s="296" t="s">
        <v>1621</v>
      </c>
      <c r="P540" s="296" t="s">
        <v>1714</v>
      </c>
      <c r="Q540" s="296" t="s">
        <v>183</v>
      </c>
      <c r="R540" s="296" t="s">
        <v>1717</v>
      </c>
      <c r="S540" s="296" t="s">
        <v>185</v>
      </c>
      <c r="T540" s="296" t="s">
        <v>185</v>
      </c>
      <c r="U540" s="296" t="s">
        <v>186</v>
      </c>
      <c r="V540" s="296" t="s">
        <v>187</v>
      </c>
      <c r="W540" s="296" t="s">
        <v>188</v>
      </c>
      <c r="X540" s="296" t="s">
        <v>256</v>
      </c>
      <c r="Y540" s="296" t="s">
        <v>183</v>
      </c>
      <c r="Z540" s="296" t="s">
        <v>183</v>
      </c>
      <c r="AA540" s="296" t="s">
        <v>183</v>
      </c>
      <c r="AB540" s="296" t="s">
        <v>183</v>
      </c>
      <c r="AC540" s="296" t="s">
        <v>1718</v>
      </c>
      <c r="AD540" s="296" t="s">
        <v>4644</v>
      </c>
      <c r="AE540" s="296" t="s">
        <v>192</v>
      </c>
      <c r="AF540" s="296" t="s">
        <v>193</v>
      </c>
      <c r="AG540" s="296">
        <v>38906</v>
      </c>
      <c r="AH540" s="298">
        <v>43181</v>
      </c>
      <c r="AJ540" s="296" t="s">
        <v>194</v>
      </c>
      <c r="AK540" s="299">
        <f>COUNTIF($A$3:A$917,A540)</f>
        <v>1</v>
      </c>
    </row>
    <row r="541" spans="1:37" x14ac:dyDescent="0.25">
      <c r="A541" s="296">
        <v>118840289</v>
      </c>
      <c r="B541" s="296" t="s">
        <v>4645</v>
      </c>
      <c r="C541" s="296" t="s">
        <v>183</v>
      </c>
      <c r="D541" s="296" t="s">
        <v>183</v>
      </c>
      <c r="E541" s="296" t="s">
        <v>183</v>
      </c>
      <c r="F541" s="296" t="s">
        <v>4646</v>
      </c>
      <c r="G541" s="296" t="s">
        <v>4646</v>
      </c>
      <c r="H541" s="296" t="s">
        <v>4647</v>
      </c>
      <c r="I541" s="296" t="s">
        <v>4412</v>
      </c>
      <c r="J541" s="296" t="s">
        <v>4648</v>
      </c>
      <c r="K541" s="296" t="s">
        <v>4649</v>
      </c>
      <c r="L541" s="296" t="s">
        <v>4650</v>
      </c>
      <c r="M541" s="296" t="s">
        <v>179</v>
      </c>
      <c r="N541" s="296" t="s">
        <v>4651</v>
      </c>
      <c r="O541" s="296" t="s">
        <v>4652</v>
      </c>
      <c r="P541" s="296" t="s">
        <v>4653</v>
      </c>
      <c r="Q541" s="296" t="s">
        <v>183</v>
      </c>
      <c r="R541" s="296" t="s">
        <v>4654</v>
      </c>
      <c r="S541" s="296" t="s">
        <v>185</v>
      </c>
      <c r="T541" s="296" t="s">
        <v>185</v>
      </c>
      <c r="U541" s="296" t="s">
        <v>186</v>
      </c>
      <c r="V541" s="296" t="s">
        <v>187</v>
      </c>
      <c r="W541" s="296" t="s">
        <v>188</v>
      </c>
      <c r="X541" s="296" t="s">
        <v>189</v>
      </c>
      <c r="Y541" s="296" t="s">
        <v>183</v>
      </c>
      <c r="Z541" s="296" t="s">
        <v>183</v>
      </c>
      <c r="AA541" s="296" t="s">
        <v>183</v>
      </c>
      <c r="AB541" s="296" t="s">
        <v>183</v>
      </c>
      <c r="AC541" s="296" t="s">
        <v>4655</v>
      </c>
      <c r="AD541" s="296" t="s">
        <v>4656</v>
      </c>
      <c r="AE541" s="296" t="s">
        <v>192</v>
      </c>
      <c r="AF541" s="296" t="s">
        <v>193</v>
      </c>
      <c r="AG541" s="296">
        <v>51550</v>
      </c>
      <c r="AH541" s="298">
        <v>43482</v>
      </c>
      <c r="AJ541" s="296" t="s">
        <v>194</v>
      </c>
      <c r="AK541" s="299">
        <f>COUNTIF($A$3:A$917,A541)</f>
        <v>1</v>
      </c>
    </row>
    <row r="542" spans="1:37" x14ac:dyDescent="0.25">
      <c r="A542" s="296">
        <v>3102891382</v>
      </c>
      <c r="B542" s="296" t="s">
        <v>4657</v>
      </c>
      <c r="C542" s="296" t="s">
        <v>4658</v>
      </c>
      <c r="D542" s="296" t="s">
        <v>4659</v>
      </c>
      <c r="E542" s="296" t="s">
        <v>1057</v>
      </c>
      <c r="F542" s="296" t="s">
        <v>4660</v>
      </c>
      <c r="G542" s="296" t="s">
        <v>278</v>
      </c>
      <c r="H542" s="296" t="s">
        <v>4661</v>
      </c>
      <c r="I542" s="296" t="s">
        <v>4412</v>
      </c>
      <c r="J542" s="296" t="s">
        <v>4662</v>
      </c>
      <c r="K542" s="296" t="s">
        <v>4659</v>
      </c>
      <c r="L542" s="296" t="s">
        <v>4658</v>
      </c>
      <c r="M542" s="296" t="s">
        <v>503</v>
      </c>
      <c r="N542" s="296" t="s">
        <v>4663</v>
      </c>
      <c r="O542" s="296" t="s">
        <v>278</v>
      </c>
      <c r="P542" s="296" t="s">
        <v>4661</v>
      </c>
      <c r="Q542" s="296" t="s">
        <v>183</v>
      </c>
      <c r="R542" s="296" t="s">
        <v>4664</v>
      </c>
      <c r="S542" s="296" t="s">
        <v>185</v>
      </c>
      <c r="T542" s="296" t="s">
        <v>185</v>
      </c>
      <c r="U542" s="296" t="s">
        <v>186</v>
      </c>
      <c r="V542" s="296" t="s">
        <v>187</v>
      </c>
      <c r="W542" s="296" t="s">
        <v>188</v>
      </c>
      <c r="X542" s="296" t="s">
        <v>256</v>
      </c>
      <c r="Y542" s="296" t="s">
        <v>183</v>
      </c>
      <c r="Z542" s="296" t="s">
        <v>183</v>
      </c>
      <c r="AA542" s="296" t="s">
        <v>183</v>
      </c>
      <c r="AB542" s="296" t="s">
        <v>183</v>
      </c>
      <c r="AC542" s="296" t="s">
        <v>4665</v>
      </c>
      <c r="AD542" s="296" t="s">
        <v>4666</v>
      </c>
      <c r="AE542" s="296" t="s">
        <v>192</v>
      </c>
      <c r="AF542" s="296" t="s">
        <v>193</v>
      </c>
      <c r="AG542" s="296">
        <v>0</v>
      </c>
      <c r="AH542" s="298">
        <v>45279</v>
      </c>
      <c r="AJ542" s="296" t="s">
        <v>194</v>
      </c>
      <c r="AK542" s="299">
        <f>COUNTIF($A$3:A$917,A542)</f>
        <v>1</v>
      </c>
    </row>
    <row r="543" spans="1:37" x14ac:dyDescent="0.25">
      <c r="A543" s="296">
        <v>502280708</v>
      </c>
      <c r="B543" s="296" t="s">
        <v>1105</v>
      </c>
      <c r="C543" s="296" t="s">
        <v>183</v>
      </c>
      <c r="D543" s="296" t="s">
        <v>183</v>
      </c>
      <c r="E543" s="296" t="s">
        <v>183</v>
      </c>
      <c r="F543" s="296" t="s">
        <v>1106</v>
      </c>
      <c r="G543" s="296" t="s">
        <v>183</v>
      </c>
      <c r="H543" s="296" t="s">
        <v>1107</v>
      </c>
      <c r="I543" s="296" t="s">
        <v>4412</v>
      </c>
      <c r="J543" s="296" t="s">
        <v>1108</v>
      </c>
      <c r="K543" s="296" t="s">
        <v>1109</v>
      </c>
      <c r="L543" s="296" t="s">
        <v>1110</v>
      </c>
      <c r="M543" s="296" t="s">
        <v>179</v>
      </c>
      <c r="N543" s="296" t="s">
        <v>1111</v>
      </c>
      <c r="O543" s="296" t="s">
        <v>278</v>
      </c>
      <c r="P543" s="296" t="s">
        <v>1112</v>
      </c>
      <c r="Q543" s="296" t="s">
        <v>183</v>
      </c>
      <c r="R543" s="296" t="s">
        <v>1113</v>
      </c>
      <c r="S543" s="296" t="s">
        <v>185</v>
      </c>
      <c r="T543" s="296" t="s">
        <v>185</v>
      </c>
      <c r="U543" s="296" t="s">
        <v>186</v>
      </c>
      <c r="V543" s="296" t="s">
        <v>187</v>
      </c>
      <c r="W543" s="296" t="s">
        <v>188</v>
      </c>
      <c r="X543" s="296" t="s">
        <v>308</v>
      </c>
      <c r="Y543" s="296" t="s">
        <v>183</v>
      </c>
      <c r="Z543" s="296" t="s">
        <v>183</v>
      </c>
      <c r="AA543" s="296" t="s">
        <v>183</v>
      </c>
      <c r="AB543" s="296" t="s">
        <v>183</v>
      </c>
      <c r="AC543" s="296" t="s">
        <v>1114</v>
      </c>
      <c r="AD543" s="296" t="s">
        <v>4667</v>
      </c>
      <c r="AE543" s="296" t="s">
        <v>192</v>
      </c>
      <c r="AF543" s="296" t="s">
        <v>193</v>
      </c>
      <c r="AG543" s="296">
        <v>0</v>
      </c>
      <c r="AH543" s="298">
        <v>44909</v>
      </c>
      <c r="AJ543" s="296" t="s">
        <v>194</v>
      </c>
      <c r="AK543" s="299">
        <f>COUNTIF($A$3:A$917,A543)</f>
        <v>3</v>
      </c>
    </row>
    <row r="544" spans="1:37" x14ac:dyDescent="0.25">
      <c r="A544" s="296">
        <v>502350359</v>
      </c>
      <c r="B544" s="296" t="s">
        <v>1127</v>
      </c>
      <c r="C544" s="296" t="s">
        <v>183</v>
      </c>
      <c r="D544" s="296" t="s">
        <v>183</v>
      </c>
      <c r="E544" s="296" t="s">
        <v>183</v>
      </c>
      <c r="F544" s="296" t="s">
        <v>1128</v>
      </c>
      <c r="G544" s="296" t="s">
        <v>1129</v>
      </c>
      <c r="H544" s="296" t="s">
        <v>1130</v>
      </c>
      <c r="I544" s="296" t="s">
        <v>4412</v>
      </c>
      <c r="J544" s="296" t="s">
        <v>4668</v>
      </c>
      <c r="K544" s="296" t="s">
        <v>1132</v>
      </c>
      <c r="L544" s="296" t="s">
        <v>1133</v>
      </c>
      <c r="M544" s="296" t="s">
        <v>179</v>
      </c>
      <c r="N544" s="296" t="s">
        <v>1128</v>
      </c>
      <c r="O544" s="296" t="s">
        <v>1128</v>
      </c>
      <c r="P544" s="296" t="s">
        <v>183</v>
      </c>
      <c r="Q544" s="296" t="s">
        <v>183</v>
      </c>
      <c r="R544" s="296" t="s">
        <v>1134</v>
      </c>
      <c r="S544" s="296" t="s">
        <v>185</v>
      </c>
      <c r="T544" s="296" t="s">
        <v>185</v>
      </c>
      <c r="U544" s="296" t="s">
        <v>186</v>
      </c>
      <c r="V544" s="296" t="s">
        <v>187</v>
      </c>
      <c r="W544" s="296" t="s">
        <v>188</v>
      </c>
      <c r="X544" s="296" t="s">
        <v>189</v>
      </c>
      <c r="Y544" s="296" t="s">
        <v>183</v>
      </c>
      <c r="Z544" s="296" t="s">
        <v>183</v>
      </c>
      <c r="AA544" s="296" t="s">
        <v>183</v>
      </c>
      <c r="AB544" s="296" t="s">
        <v>183</v>
      </c>
      <c r="AC544" s="296" t="s">
        <v>1135</v>
      </c>
      <c r="AD544" s="296" t="s">
        <v>4669</v>
      </c>
      <c r="AE544" s="296" t="s">
        <v>192</v>
      </c>
      <c r="AF544" s="296" t="s">
        <v>193</v>
      </c>
      <c r="AG544" s="296">
        <v>19281.75</v>
      </c>
      <c r="AH544" s="298">
        <v>44020</v>
      </c>
      <c r="AJ544" s="296" t="s">
        <v>194</v>
      </c>
      <c r="AK544" s="299">
        <f>COUNTIF($A$3:A$917,A544)</f>
        <v>2</v>
      </c>
    </row>
    <row r="545" spans="1:37" x14ac:dyDescent="0.25">
      <c r="A545" s="296">
        <v>501940207</v>
      </c>
      <c r="B545" s="296" t="s">
        <v>4670</v>
      </c>
      <c r="C545" s="296" t="s">
        <v>183</v>
      </c>
      <c r="D545" s="296" t="s">
        <v>183</v>
      </c>
      <c r="E545" s="296" t="s">
        <v>183</v>
      </c>
      <c r="F545" s="296" t="s">
        <v>4671</v>
      </c>
      <c r="G545" s="296" t="s">
        <v>4672</v>
      </c>
      <c r="H545" s="296" t="s">
        <v>4673</v>
      </c>
      <c r="I545" s="296" t="s">
        <v>4412</v>
      </c>
      <c r="J545" s="296" t="s">
        <v>4674</v>
      </c>
      <c r="K545" s="296" t="s">
        <v>4675</v>
      </c>
      <c r="L545" s="296" t="s">
        <v>4676</v>
      </c>
      <c r="M545" s="296" t="s">
        <v>179</v>
      </c>
      <c r="N545" s="296" t="s">
        <v>1658</v>
      </c>
      <c r="O545" s="296" t="s">
        <v>4672</v>
      </c>
      <c r="P545" s="296" t="s">
        <v>4677</v>
      </c>
      <c r="Q545" s="296" t="s">
        <v>183</v>
      </c>
      <c r="R545" s="296" t="s">
        <v>4678</v>
      </c>
      <c r="S545" s="296" t="s">
        <v>185</v>
      </c>
      <c r="T545" s="296" t="s">
        <v>185</v>
      </c>
      <c r="U545" s="296" t="s">
        <v>186</v>
      </c>
      <c r="V545" s="296" t="s">
        <v>187</v>
      </c>
      <c r="W545" s="296" t="s">
        <v>188</v>
      </c>
      <c r="X545" s="296" t="s">
        <v>188</v>
      </c>
      <c r="Y545" s="296" t="s">
        <v>183</v>
      </c>
      <c r="Z545" s="296" t="s">
        <v>183</v>
      </c>
      <c r="AA545" s="296" t="s">
        <v>183</v>
      </c>
      <c r="AB545" s="296" t="s">
        <v>183</v>
      </c>
      <c r="AC545" s="296" t="s">
        <v>4679</v>
      </c>
      <c r="AD545" s="296" t="s">
        <v>4680</v>
      </c>
      <c r="AE545" s="296" t="s">
        <v>192</v>
      </c>
      <c r="AF545" s="296" t="s">
        <v>193</v>
      </c>
      <c r="AG545" s="296">
        <v>0</v>
      </c>
      <c r="AH545" s="298">
        <v>44761</v>
      </c>
      <c r="AJ545" s="296" t="s">
        <v>194</v>
      </c>
      <c r="AK545" s="299">
        <f>COUNTIF($A$3:A$917,A545)</f>
        <v>1</v>
      </c>
    </row>
    <row r="546" spans="1:37" x14ac:dyDescent="0.25">
      <c r="A546" s="296">
        <v>155805445627</v>
      </c>
      <c r="B546" s="296" t="s">
        <v>1137</v>
      </c>
      <c r="C546" s="296" t="s">
        <v>183</v>
      </c>
      <c r="D546" s="296" t="s">
        <v>183</v>
      </c>
      <c r="E546" s="296" t="s">
        <v>183</v>
      </c>
      <c r="F546" s="296" t="s">
        <v>1138</v>
      </c>
      <c r="G546" s="296" t="s">
        <v>1138</v>
      </c>
      <c r="H546" s="296" t="s">
        <v>1139</v>
      </c>
      <c r="I546" s="296" t="s">
        <v>4412</v>
      </c>
      <c r="J546" s="296" t="s">
        <v>1140</v>
      </c>
      <c r="K546" s="296" t="s">
        <v>1141</v>
      </c>
      <c r="L546" s="296" t="s">
        <v>1142</v>
      </c>
      <c r="M546" s="296" t="s">
        <v>179</v>
      </c>
      <c r="N546" s="296" t="s">
        <v>1143</v>
      </c>
      <c r="O546" s="296" t="s">
        <v>1143</v>
      </c>
      <c r="P546" s="296" t="s">
        <v>1144</v>
      </c>
      <c r="Q546" s="296" t="s">
        <v>183</v>
      </c>
      <c r="R546" s="296" t="s">
        <v>1145</v>
      </c>
      <c r="S546" s="296" t="s">
        <v>185</v>
      </c>
      <c r="T546" s="296" t="s">
        <v>185</v>
      </c>
      <c r="U546" s="296" t="s">
        <v>186</v>
      </c>
      <c r="V546" s="296" t="s">
        <v>187</v>
      </c>
      <c r="W546" s="296" t="s">
        <v>188</v>
      </c>
      <c r="X546" s="296" t="s">
        <v>246</v>
      </c>
      <c r="Y546" s="296" t="s">
        <v>183</v>
      </c>
      <c r="Z546" s="296" t="s">
        <v>183</v>
      </c>
      <c r="AA546" s="296" t="s">
        <v>183</v>
      </c>
      <c r="AB546" s="296" t="s">
        <v>183</v>
      </c>
      <c r="AC546" s="296" t="s">
        <v>1146</v>
      </c>
      <c r="AD546" s="296" t="s">
        <v>4681</v>
      </c>
      <c r="AE546" s="296" t="s">
        <v>192</v>
      </c>
      <c r="AF546" s="296" t="s">
        <v>193</v>
      </c>
      <c r="AG546" s="296">
        <v>5139.3333333333321</v>
      </c>
      <c r="AH546" s="298">
        <v>44335</v>
      </c>
      <c r="AJ546" s="296" t="s">
        <v>194</v>
      </c>
      <c r="AK546" s="299">
        <f>COUNTIF($A$3:A$917,A546)</f>
        <v>2</v>
      </c>
    </row>
    <row r="547" spans="1:37" x14ac:dyDescent="0.25">
      <c r="A547" s="296">
        <v>503980017</v>
      </c>
      <c r="B547" s="296" t="s">
        <v>4682</v>
      </c>
      <c r="C547" s="296" t="s">
        <v>183</v>
      </c>
      <c r="D547" s="296" t="s">
        <v>183</v>
      </c>
      <c r="E547" s="296" t="s">
        <v>183</v>
      </c>
      <c r="F547" s="296" t="s">
        <v>4683</v>
      </c>
      <c r="G547" s="296" t="s">
        <v>4683</v>
      </c>
      <c r="H547" s="296" t="s">
        <v>4684</v>
      </c>
      <c r="I547" s="296" t="s">
        <v>4412</v>
      </c>
      <c r="J547" s="296" t="s">
        <v>4685</v>
      </c>
      <c r="K547" s="296" t="s">
        <v>4686</v>
      </c>
      <c r="L547" s="296" t="s">
        <v>4687</v>
      </c>
      <c r="M547" s="296" t="s">
        <v>179</v>
      </c>
      <c r="N547" s="296" t="s">
        <v>4688</v>
      </c>
      <c r="O547" s="296" t="s">
        <v>4689</v>
      </c>
      <c r="P547" s="296" t="s">
        <v>4690</v>
      </c>
      <c r="Q547" s="296" t="s">
        <v>183</v>
      </c>
      <c r="R547" s="296" t="s">
        <v>4691</v>
      </c>
      <c r="S547" s="296" t="s">
        <v>185</v>
      </c>
      <c r="T547" s="296" t="s">
        <v>185</v>
      </c>
      <c r="U547" s="296" t="s">
        <v>186</v>
      </c>
      <c r="V547" s="296" t="s">
        <v>187</v>
      </c>
      <c r="W547" s="296" t="s">
        <v>188</v>
      </c>
      <c r="X547" s="296" t="s">
        <v>188</v>
      </c>
      <c r="Y547" s="296" t="s">
        <v>183</v>
      </c>
      <c r="Z547" s="296" t="s">
        <v>183</v>
      </c>
      <c r="AA547" s="296" t="s">
        <v>183</v>
      </c>
      <c r="AB547" s="296" t="s">
        <v>183</v>
      </c>
      <c r="AC547" s="296" t="s">
        <v>4692</v>
      </c>
      <c r="AD547" s="296" t="s">
        <v>4693</v>
      </c>
      <c r="AE547" s="296" t="s">
        <v>192</v>
      </c>
      <c r="AF547" s="296" t="s">
        <v>193</v>
      </c>
      <c r="AG547" s="296">
        <v>0</v>
      </c>
      <c r="AH547" s="298">
        <v>45432</v>
      </c>
      <c r="AJ547" s="296" t="s">
        <v>194</v>
      </c>
      <c r="AK547" s="299">
        <f>COUNTIF($A$3:A$917,A547)</f>
        <v>1</v>
      </c>
    </row>
    <row r="548" spans="1:37" x14ac:dyDescent="0.25">
      <c r="A548" s="296">
        <v>204300170</v>
      </c>
      <c r="B548" s="296" t="s">
        <v>1148</v>
      </c>
      <c r="C548" s="296" t="s">
        <v>183</v>
      </c>
      <c r="D548" s="296" t="s">
        <v>183</v>
      </c>
      <c r="E548" s="296" t="s">
        <v>183</v>
      </c>
      <c r="F548" s="296" t="s">
        <v>1149</v>
      </c>
      <c r="G548" s="296" t="s">
        <v>183</v>
      </c>
      <c r="H548" s="296" t="s">
        <v>1150</v>
      </c>
      <c r="I548" s="296" t="s">
        <v>4412</v>
      </c>
      <c r="J548" s="296" t="s">
        <v>1151</v>
      </c>
      <c r="K548" s="296" t="s">
        <v>1152</v>
      </c>
      <c r="L548" s="296" t="s">
        <v>1153</v>
      </c>
      <c r="M548" s="296" t="s">
        <v>179</v>
      </c>
      <c r="N548" s="296" t="s">
        <v>1154</v>
      </c>
      <c r="O548" s="296" t="s">
        <v>1154</v>
      </c>
      <c r="P548" s="296" t="s">
        <v>1155</v>
      </c>
      <c r="Q548" s="296" t="s">
        <v>183</v>
      </c>
      <c r="R548" s="296" t="s">
        <v>1156</v>
      </c>
      <c r="S548" s="296" t="s">
        <v>185</v>
      </c>
      <c r="T548" s="296" t="s">
        <v>185</v>
      </c>
      <c r="U548" s="296" t="s">
        <v>186</v>
      </c>
      <c r="V548" s="296" t="s">
        <v>187</v>
      </c>
      <c r="W548" s="296" t="s">
        <v>188</v>
      </c>
      <c r="X548" s="296" t="s">
        <v>189</v>
      </c>
      <c r="Y548" s="296" t="s">
        <v>183</v>
      </c>
      <c r="Z548" s="296" t="s">
        <v>183</v>
      </c>
      <c r="AA548" s="296" t="s">
        <v>183</v>
      </c>
      <c r="AB548" s="296" t="s">
        <v>183</v>
      </c>
      <c r="AC548" s="296" t="s">
        <v>1157</v>
      </c>
      <c r="AD548" s="296" t="s">
        <v>4694</v>
      </c>
      <c r="AE548" s="296" t="s">
        <v>192</v>
      </c>
      <c r="AF548" s="296" t="s">
        <v>193</v>
      </c>
      <c r="AG548" s="296">
        <v>0</v>
      </c>
      <c r="AH548" s="298">
        <v>45441</v>
      </c>
      <c r="AJ548" s="296" t="s">
        <v>194</v>
      </c>
      <c r="AK548" s="299">
        <f>COUNTIF($A$3:A$917,A548)</f>
        <v>2</v>
      </c>
    </row>
    <row r="549" spans="1:37" x14ac:dyDescent="0.25">
      <c r="A549" s="296">
        <v>603170178</v>
      </c>
      <c r="B549" s="296" t="s">
        <v>4695</v>
      </c>
      <c r="C549" s="296" t="s">
        <v>183</v>
      </c>
      <c r="D549" s="296" t="s">
        <v>183</v>
      </c>
      <c r="E549" s="296" t="s">
        <v>183</v>
      </c>
      <c r="F549" s="296" t="s">
        <v>4696</v>
      </c>
      <c r="G549" s="296" t="s">
        <v>4696</v>
      </c>
      <c r="H549" s="296" t="s">
        <v>4697</v>
      </c>
      <c r="I549" s="296" t="s">
        <v>4412</v>
      </c>
      <c r="J549" s="296" t="s">
        <v>4698</v>
      </c>
      <c r="K549" s="296" t="s">
        <v>4699</v>
      </c>
      <c r="L549" s="296" t="s">
        <v>4695</v>
      </c>
      <c r="M549" s="296" t="s">
        <v>179</v>
      </c>
      <c r="N549" s="296" t="s">
        <v>4696</v>
      </c>
      <c r="O549" s="296" t="s">
        <v>4696</v>
      </c>
      <c r="P549" s="296" t="s">
        <v>4697</v>
      </c>
      <c r="Q549" s="296" t="s">
        <v>183</v>
      </c>
      <c r="R549" s="296" t="s">
        <v>4700</v>
      </c>
      <c r="S549" s="296" t="s">
        <v>185</v>
      </c>
      <c r="T549" s="296" t="s">
        <v>185</v>
      </c>
      <c r="U549" s="296" t="s">
        <v>186</v>
      </c>
      <c r="V549" s="296" t="s">
        <v>187</v>
      </c>
      <c r="W549" s="296" t="s">
        <v>188</v>
      </c>
      <c r="X549" s="296" t="s">
        <v>189</v>
      </c>
      <c r="Y549" s="296" t="s">
        <v>183</v>
      </c>
      <c r="Z549" s="296" t="s">
        <v>183</v>
      </c>
      <c r="AA549" s="296" t="s">
        <v>183</v>
      </c>
      <c r="AB549" s="296" t="s">
        <v>183</v>
      </c>
      <c r="AC549" s="296" t="s">
        <v>4701</v>
      </c>
      <c r="AD549" s="296" t="s">
        <v>4702</v>
      </c>
      <c r="AE549" s="296" t="s">
        <v>192</v>
      </c>
      <c r="AF549" s="296" t="s">
        <v>193</v>
      </c>
      <c r="AG549" s="296">
        <v>0</v>
      </c>
      <c r="AH549" s="298">
        <v>46010</v>
      </c>
      <c r="AJ549" s="296" t="s">
        <v>194</v>
      </c>
      <c r="AK549" s="299">
        <f>COUNTIF($A$3:A$917,A549)</f>
        <v>1</v>
      </c>
    </row>
    <row r="550" spans="1:37" x14ac:dyDescent="0.25">
      <c r="A550" s="296">
        <v>503740448</v>
      </c>
      <c r="B550" s="296" t="s">
        <v>4703</v>
      </c>
      <c r="C550" s="296" t="s">
        <v>183</v>
      </c>
      <c r="D550" s="296" t="s">
        <v>183</v>
      </c>
      <c r="E550" s="296" t="s">
        <v>183</v>
      </c>
      <c r="F550" s="296" t="s">
        <v>4704</v>
      </c>
      <c r="G550" s="296" t="s">
        <v>183</v>
      </c>
      <c r="H550" s="296" t="s">
        <v>4631</v>
      </c>
      <c r="I550" s="296" t="s">
        <v>4412</v>
      </c>
      <c r="J550" s="296" t="s">
        <v>4705</v>
      </c>
      <c r="K550" s="296" t="s">
        <v>4706</v>
      </c>
      <c r="L550" s="296" t="s">
        <v>4707</v>
      </c>
      <c r="M550" s="296" t="s">
        <v>179</v>
      </c>
      <c r="N550" s="296" t="s">
        <v>4708</v>
      </c>
      <c r="O550" s="296" t="s">
        <v>4709</v>
      </c>
      <c r="P550" s="296" t="s">
        <v>4710</v>
      </c>
      <c r="Q550" s="296" t="s">
        <v>183</v>
      </c>
      <c r="R550" s="296" t="s">
        <v>4711</v>
      </c>
      <c r="S550" s="296" t="s">
        <v>185</v>
      </c>
      <c r="T550" s="296" t="s">
        <v>185</v>
      </c>
      <c r="U550" s="296" t="s">
        <v>186</v>
      </c>
      <c r="V550" s="296" t="s">
        <v>187</v>
      </c>
      <c r="W550" s="296" t="s">
        <v>188</v>
      </c>
      <c r="X550" s="296" t="s">
        <v>189</v>
      </c>
      <c r="Y550" s="296" t="s">
        <v>183</v>
      </c>
      <c r="Z550" s="296" t="s">
        <v>183</v>
      </c>
      <c r="AA550" s="296" t="s">
        <v>183</v>
      </c>
      <c r="AB550" s="296" t="s">
        <v>183</v>
      </c>
      <c r="AC550" s="296" t="s">
        <v>4712</v>
      </c>
      <c r="AD550" s="296" t="s">
        <v>4713</v>
      </c>
      <c r="AE550" s="296" t="s">
        <v>192</v>
      </c>
      <c r="AF550" s="296" t="s">
        <v>193</v>
      </c>
      <c r="AG550" s="296">
        <v>0</v>
      </c>
      <c r="AH550" s="298">
        <v>45145</v>
      </c>
      <c r="AJ550" s="296" t="s">
        <v>194</v>
      </c>
      <c r="AK550" s="299">
        <f>COUNTIF($A$3:A$917,A550)</f>
        <v>1</v>
      </c>
    </row>
    <row r="551" spans="1:37" x14ac:dyDescent="0.25">
      <c r="A551" s="296">
        <v>503660813</v>
      </c>
      <c r="B551" s="296" t="s">
        <v>4714</v>
      </c>
      <c r="C551" s="296" t="s">
        <v>183</v>
      </c>
      <c r="D551" s="296" t="s">
        <v>183</v>
      </c>
      <c r="E551" s="296" t="s">
        <v>183</v>
      </c>
      <c r="F551" s="296" t="s">
        <v>4715</v>
      </c>
      <c r="G551" s="296" t="s">
        <v>4715</v>
      </c>
      <c r="H551" s="296" t="s">
        <v>4716</v>
      </c>
      <c r="I551" s="296" t="s">
        <v>4412</v>
      </c>
      <c r="J551" s="296" t="s">
        <v>4717</v>
      </c>
      <c r="K551" s="296" t="s">
        <v>4718</v>
      </c>
      <c r="L551" s="296" t="s">
        <v>4714</v>
      </c>
      <c r="M551" s="296" t="s">
        <v>179</v>
      </c>
      <c r="N551" s="296" t="s">
        <v>4715</v>
      </c>
      <c r="O551" s="296" t="s">
        <v>4715</v>
      </c>
      <c r="P551" s="296" t="s">
        <v>4716</v>
      </c>
      <c r="Q551" s="296" t="s">
        <v>183</v>
      </c>
      <c r="R551" s="296" t="s">
        <v>4719</v>
      </c>
      <c r="S551" s="296" t="s">
        <v>185</v>
      </c>
      <c r="T551" s="296" t="s">
        <v>185</v>
      </c>
      <c r="U551" s="296" t="s">
        <v>186</v>
      </c>
      <c r="V551" s="296" t="s">
        <v>187</v>
      </c>
      <c r="W551" s="296" t="s">
        <v>188</v>
      </c>
      <c r="X551" s="296" t="s">
        <v>308</v>
      </c>
      <c r="Y551" s="296" t="s">
        <v>183</v>
      </c>
      <c r="Z551" s="296" t="s">
        <v>183</v>
      </c>
      <c r="AA551" s="296" t="s">
        <v>183</v>
      </c>
      <c r="AB551" s="296" t="s">
        <v>183</v>
      </c>
      <c r="AC551" s="296" t="s">
        <v>4720</v>
      </c>
      <c r="AD551" s="296" t="s">
        <v>4721</v>
      </c>
      <c r="AE551" s="296" t="s">
        <v>192</v>
      </c>
      <c r="AF551" s="296" t="s">
        <v>193</v>
      </c>
      <c r="AG551" s="296">
        <v>0</v>
      </c>
      <c r="AH551" s="298">
        <v>42970</v>
      </c>
      <c r="AJ551" s="296" t="s">
        <v>194</v>
      </c>
      <c r="AK551" s="299">
        <f>COUNTIF($A$3:A$917,A551)</f>
        <v>1</v>
      </c>
    </row>
    <row r="552" spans="1:37" x14ac:dyDescent="0.25">
      <c r="A552" s="296">
        <v>3101130626</v>
      </c>
      <c r="B552" s="296" t="s">
        <v>1159</v>
      </c>
      <c r="C552" s="296" t="s">
        <v>1160</v>
      </c>
      <c r="D552" s="296" t="s">
        <v>1161</v>
      </c>
      <c r="E552" s="296" t="s">
        <v>172</v>
      </c>
      <c r="F552" s="296" t="s">
        <v>1162</v>
      </c>
      <c r="G552" s="296" t="s">
        <v>278</v>
      </c>
      <c r="H552" s="296" t="s">
        <v>1163</v>
      </c>
      <c r="I552" s="296" t="s">
        <v>4412</v>
      </c>
      <c r="J552" s="296" t="s">
        <v>1164</v>
      </c>
      <c r="K552" s="296" t="s">
        <v>1165</v>
      </c>
      <c r="L552" s="296" t="s">
        <v>1159</v>
      </c>
      <c r="M552" s="296" t="s">
        <v>179</v>
      </c>
      <c r="N552" s="296" t="s">
        <v>1162</v>
      </c>
      <c r="O552" s="296" t="s">
        <v>1166</v>
      </c>
      <c r="P552" s="296" t="s">
        <v>1163</v>
      </c>
      <c r="Q552" s="296" t="s">
        <v>183</v>
      </c>
      <c r="R552" s="296" t="s">
        <v>1167</v>
      </c>
      <c r="S552" s="296" t="s">
        <v>185</v>
      </c>
      <c r="T552" s="296" t="s">
        <v>185</v>
      </c>
      <c r="U552" s="296" t="s">
        <v>186</v>
      </c>
      <c r="V552" s="296" t="s">
        <v>187</v>
      </c>
      <c r="W552" s="296" t="s">
        <v>188</v>
      </c>
      <c r="X552" s="296" t="s">
        <v>256</v>
      </c>
      <c r="Y552" s="296" t="s">
        <v>183</v>
      </c>
      <c r="Z552" s="296" t="s">
        <v>183</v>
      </c>
      <c r="AA552" s="296" t="s">
        <v>183</v>
      </c>
      <c r="AB552" s="296" t="s">
        <v>183</v>
      </c>
      <c r="AC552" s="296" t="s">
        <v>1168</v>
      </c>
      <c r="AD552" s="296" t="s">
        <v>4722</v>
      </c>
      <c r="AE552" s="296" t="s">
        <v>192</v>
      </c>
      <c r="AF552" s="296" t="s">
        <v>193</v>
      </c>
      <c r="AG552" s="296">
        <v>10960</v>
      </c>
      <c r="AH552" s="298">
        <v>42033</v>
      </c>
      <c r="AJ552" s="296" t="s">
        <v>194</v>
      </c>
      <c r="AK552" s="299">
        <f>COUNTIF($A$3:A$917,A552)</f>
        <v>3</v>
      </c>
    </row>
    <row r="553" spans="1:37" x14ac:dyDescent="0.25">
      <c r="A553" s="296">
        <v>113500680</v>
      </c>
      <c r="B553" s="296" t="s">
        <v>4723</v>
      </c>
      <c r="C553" s="296" t="s">
        <v>183</v>
      </c>
      <c r="D553" s="296" t="s">
        <v>183</v>
      </c>
      <c r="E553" s="296" t="s">
        <v>183</v>
      </c>
      <c r="F553" s="296" t="s">
        <v>4724</v>
      </c>
      <c r="G553" s="296" t="s">
        <v>4724</v>
      </c>
      <c r="H553" s="296" t="s">
        <v>4725</v>
      </c>
      <c r="I553" s="296" t="s">
        <v>4412</v>
      </c>
      <c r="J553" s="296" t="s">
        <v>4726</v>
      </c>
      <c r="K553" s="296" t="s">
        <v>1463</v>
      </c>
      <c r="L553" s="296" t="s">
        <v>1464</v>
      </c>
      <c r="M553" s="296" t="s">
        <v>179</v>
      </c>
      <c r="N553" s="296" t="s">
        <v>1465</v>
      </c>
      <c r="O553" s="296" t="s">
        <v>183</v>
      </c>
      <c r="P553" s="296" t="s">
        <v>1466</v>
      </c>
      <c r="Q553" s="296" t="s">
        <v>183</v>
      </c>
      <c r="R553" s="296" t="s">
        <v>1467</v>
      </c>
      <c r="S553" s="296" t="s">
        <v>185</v>
      </c>
      <c r="T553" s="296" t="s">
        <v>185</v>
      </c>
      <c r="U553" s="296" t="s">
        <v>186</v>
      </c>
      <c r="V553" s="296" t="s">
        <v>187</v>
      </c>
      <c r="W553" s="296" t="s">
        <v>188</v>
      </c>
      <c r="X553" s="296" t="s">
        <v>189</v>
      </c>
      <c r="Y553" s="296" t="s">
        <v>183</v>
      </c>
      <c r="Z553" s="296" t="s">
        <v>183</v>
      </c>
      <c r="AA553" s="296" t="s">
        <v>183</v>
      </c>
      <c r="AB553" s="296" t="s">
        <v>183</v>
      </c>
      <c r="AC553" s="296" t="s">
        <v>1468</v>
      </c>
      <c r="AD553" s="296" t="s">
        <v>4727</v>
      </c>
      <c r="AE553" s="296" t="s">
        <v>192</v>
      </c>
      <c r="AF553" s="296" t="s">
        <v>193</v>
      </c>
      <c r="AG553" s="296">
        <v>0</v>
      </c>
      <c r="AH553" s="298">
        <v>45432</v>
      </c>
      <c r="AJ553" s="296" t="s">
        <v>194</v>
      </c>
      <c r="AK553" s="299">
        <f>COUNTIF($A$3:A$917,A553)</f>
        <v>1</v>
      </c>
    </row>
    <row r="554" spans="1:37" x14ac:dyDescent="0.25">
      <c r="A554" s="296">
        <v>502050442</v>
      </c>
      <c r="B554" s="296" t="s">
        <v>1170</v>
      </c>
      <c r="C554" s="296" t="s">
        <v>183</v>
      </c>
      <c r="D554" s="296" t="s">
        <v>183</v>
      </c>
      <c r="E554" s="296" t="s">
        <v>183</v>
      </c>
      <c r="F554" s="296" t="s">
        <v>1171</v>
      </c>
      <c r="G554" s="296" t="s">
        <v>1172</v>
      </c>
      <c r="H554" s="296" t="s">
        <v>1173</v>
      </c>
      <c r="I554" s="296" t="s">
        <v>4412</v>
      </c>
      <c r="J554" s="296" t="s">
        <v>4728</v>
      </c>
      <c r="K554" s="296" t="s">
        <v>1175</v>
      </c>
      <c r="L554" s="296" t="s">
        <v>1170</v>
      </c>
      <c r="M554" s="296" t="s">
        <v>179</v>
      </c>
      <c r="N554" s="296" t="s">
        <v>1171</v>
      </c>
      <c r="O554" s="296" t="s">
        <v>1172</v>
      </c>
      <c r="P554" s="296" t="s">
        <v>1173</v>
      </c>
      <c r="Q554" s="296" t="s">
        <v>183</v>
      </c>
      <c r="R554" s="296" t="s">
        <v>1176</v>
      </c>
      <c r="S554" s="296" t="s">
        <v>185</v>
      </c>
      <c r="T554" s="296" t="s">
        <v>185</v>
      </c>
      <c r="U554" s="296" t="s">
        <v>186</v>
      </c>
      <c r="V554" s="296" t="s">
        <v>187</v>
      </c>
      <c r="W554" s="296" t="s">
        <v>188</v>
      </c>
      <c r="X554" s="296" t="s">
        <v>573</v>
      </c>
      <c r="Y554" s="296" t="s">
        <v>183</v>
      </c>
      <c r="Z554" s="296" t="s">
        <v>183</v>
      </c>
      <c r="AA554" s="296" t="s">
        <v>183</v>
      </c>
      <c r="AB554" s="296" t="s">
        <v>183</v>
      </c>
      <c r="AC554" s="296" t="s">
        <v>1177</v>
      </c>
      <c r="AD554" s="296" t="s">
        <v>4729</v>
      </c>
      <c r="AE554" s="296" t="s">
        <v>192</v>
      </c>
      <c r="AF554" s="296" t="s">
        <v>193</v>
      </c>
      <c r="AG554" s="296">
        <v>0</v>
      </c>
      <c r="AH554" s="298">
        <v>44692</v>
      </c>
      <c r="AJ554" s="296" t="s">
        <v>194</v>
      </c>
      <c r="AK554" s="299">
        <f>COUNTIF($A$3:A$917,A554)</f>
        <v>3</v>
      </c>
    </row>
    <row r="555" spans="1:37" x14ac:dyDescent="0.25">
      <c r="A555" s="296">
        <v>503470865</v>
      </c>
      <c r="B555" s="296" t="s">
        <v>4730</v>
      </c>
      <c r="C555" s="296" t="s">
        <v>183</v>
      </c>
      <c r="D555" s="296" t="s">
        <v>183</v>
      </c>
      <c r="E555" s="296" t="s">
        <v>183</v>
      </c>
      <c r="F555" s="296" t="s">
        <v>4731</v>
      </c>
      <c r="G555" s="296" t="s">
        <v>4732</v>
      </c>
      <c r="H555" s="296" t="s">
        <v>4733</v>
      </c>
      <c r="I555" s="296" t="s">
        <v>4412</v>
      </c>
      <c r="J555" s="296" t="s">
        <v>4734</v>
      </c>
      <c r="K555" s="296" t="s">
        <v>4735</v>
      </c>
      <c r="L555" s="296" t="s">
        <v>4736</v>
      </c>
      <c r="M555" s="296" t="s">
        <v>179</v>
      </c>
      <c r="N555" s="296" t="s">
        <v>4737</v>
      </c>
      <c r="O555" s="296" t="s">
        <v>4737</v>
      </c>
      <c r="P555" s="296" t="s">
        <v>4738</v>
      </c>
      <c r="Q555" s="296" t="s">
        <v>183</v>
      </c>
      <c r="R555" s="296" t="s">
        <v>4739</v>
      </c>
      <c r="S555" s="296" t="s">
        <v>194</v>
      </c>
      <c r="T555" s="296" t="s">
        <v>185</v>
      </c>
      <c r="U555" s="296" t="s">
        <v>186</v>
      </c>
      <c r="V555" s="296" t="s">
        <v>187</v>
      </c>
      <c r="W555" s="296" t="s">
        <v>188</v>
      </c>
      <c r="X555" s="296" t="s">
        <v>189</v>
      </c>
      <c r="Y555" s="296" t="s">
        <v>183</v>
      </c>
      <c r="Z555" s="296" t="s">
        <v>183</v>
      </c>
      <c r="AA555" s="296" t="s">
        <v>183</v>
      </c>
      <c r="AB555" s="296" t="s">
        <v>183</v>
      </c>
      <c r="AC555" s="296" t="s">
        <v>4740</v>
      </c>
      <c r="AD555" s="296" t="s">
        <v>4741</v>
      </c>
      <c r="AE555" s="296" t="s">
        <v>192</v>
      </c>
      <c r="AF555" s="296" t="s">
        <v>193</v>
      </c>
      <c r="AG555" s="296">
        <v>0</v>
      </c>
      <c r="AH555" s="298">
        <v>41323</v>
      </c>
      <c r="AJ555" s="296" t="s">
        <v>194</v>
      </c>
      <c r="AK555" s="299">
        <f>COUNTIF($A$3:A$917,A555)</f>
        <v>1</v>
      </c>
    </row>
    <row r="556" spans="1:37" x14ac:dyDescent="0.25">
      <c r="A556" s="296">
        <v>501461316</v>
      </c>
      <c r="B556" s="296" t="s">
        <v>1179</v>
      </c>
      <c r="C556" s="296" t="s">
        <v>183</v>
      </c>
      <c r="D556" s="296" t="s">
        <v>183</v>
      </c>
      <c r="E556" s="296" t="s">
        <v>183</v>
      </c>
      <c r="F556" s="296" t="s">
        <v>1180</v>
      </c>
      <c r="G556" s="296" t="s">
        <v>1181</v>
      </c>
      <c r="H556" s="296" t="s">
        <v>1182</v>
      </c>
      <c r="I556" s="296" t="s">
        <v>4412</v>
      </c>
      <c r="J556" s="296" t="s">
        <v>1183</v>
      </c>
      <c r="K556" s="296" t="s">
        <v>1184</v>
      </c>
      <c r="L556" s="296" t="s">
        <v>1185</v>
      </c>
      <c r="M556" s="296" t="s">
        <v>179</v>
      </c>
      <c r="N556" s="296" t="s">
        <v>1186</v>
      </c>
      <c r="O556" s="296" t="s">
        <v>1186</v>
      </c>
      <c r="P556" s="296" t="s">
        <v>1187</v>
      </c>
      <c r="Q556" s="296" t="s">
        <v>183</v>
      </c>
      <c r="R556" s="296" t="s">
        <v>1188</v>
      </c>
      <c r="S556" s="296" t="s">
        <v>185</v>
      </c>
      <c r="T556" s="296" t="s">
        <v>185</v>
      </c>
      <c r="U556" s="296" t="s">
        <v>186</v>
      </c>
      <c r="V556" s="296" t="s">
        <v>187</v>
      </c>
      <c r="W556" s="296" t="s">
        <v>188</v>
      </c>
      <c r="X556" s="296" t="s">
        <v>404</v>
      </c>
      <c r="Y556" s="296" t="s">
        <v>183</v>
      </c>
      <c r="Z556" s="296" t="s">
        <v>183</v>
      </c>
      <c r="AA556" s="296" t="s">
        <v>183</v>
      </c>
      <c r="AB556" s="296" t="s">
        <v>183</v>
      </c>
      <c r="AC556" s="296" t="s">
        <v>1189</v>
      </c>
      <c r="AD556" s="296" t="s">
        <v>4742</v>
      </c>
      <c r="AE556" s="296" t="s">
        <v>192</v>
      </c>
      <c r="AF556" s="296" t="s">
        <v>193</v>
      </c>
      <c r="AG556" s="296">
        <v>0</v>
      </c>
      <c r="AH556" s="298">
        <v>45145</v>
      </c>
      <c r="AJ556" s="296" t="s">
        <v>194</v>
      </c>
      <c r="AK556" s="299">
        <f>COUNTIF($A$3:A$917,A556)</f>
        <v>3</v>
      </c>
    </row>
    <row r="557" spans="1:37" x14ac:dyDescent="0.25">
      <c r="A557" s="296">
        <v>503750757</v>
      </c>
      <c r="B557" s="296" t="s">
        <v>1913</v>
      </c>
      <c r="C557" s="296" t="s">
        <v>183</v>
      </c>
      <c r="D557" s="296" t="s">
        <v>183</v>
      </c>
      <c r="E557" s="296" t="s">
        <v>183</v>
      </c>
      <c r="F557" s="296" t="s">
        <v>1914</v>
      </c>
      <c r="G557" s="296" t="s">
        <v>1914</v>
      </c>
      <c r="H557" s="296" t="s">
        <v>1915</v>
      </c>
      <c r="I557" s="296" t="s">
        <v>4412</v>
      </c>
      <c r="J557" s="296" t="s">
        <v>4743</v>
      </c>
      <c r="K557" s="296" t="s">
        <v>1943</v>
      </c>
      <c r="L557" s="296" t="s">
        <v>1944</v>
      </c>
      <c r="M557" s="296" t="s">
        <v>179</v>
      </c>
      <c r="N557" s="296" t="s">
        <v>1586</v>
      </c>
      <c r="O557" s="296" t="s">
        <v>1945</v>
      </c>
      <c r="P557" s="296" t="s">
        <v>1946</v>
      </c>
      <c r="Q557" s="296" t="s">
        <v>183</v>
      </c>
      <c r="R557" s="296" t="s">
        <v>1947</v>
      </c>
      <c r="S557" s="296" t="s">
        <v>185</v>
      </c>
      <c r="T557" s="296" t="s">
        <v>185</v>
      </c>
      <c r="U557" s="296" t="s">
        <v>186</v>
      </c>
      <c r="V557" s="296" t="s">
        <v>187</v>
      </c>
      <c r="W557" s="296" t="s">
        <v>188</v>
      </c>
      <c r="X557" s="296" t="s">
        <v>189</v>
      </c>
      <c r="Y557" s="296" t="s">
        <v>183</v>
      </c>
      <c r="Z557" s="296" t="s">
        <v>183</v>
      </c>
      <c r="AA557" s="296" t="s">
        <v>183</v>
      </c>
      <c r="AB557" s="296" t="s">
        <v>183</v>
      </c>
      <c r="AC557" s="296" t="s">
        <v>1948</v>
      </c>
      <c r="AD557" s="296" t="s">
        <v>4744</v>
      </c>
      <c r="AE557" s="296" t="s">
        <v>192</v>
      </c>
      <c r="AF557" s="296" t="s">
        <v>193</v>
      </c>
      <c r="AG557" s="296">
        <v>0</v>
      </c>
      <c r="AH557" s="298">
        <v>45211</v>
      </c>
      <c r="AJ557" s="296" t="s">
        <v>194</v>
      </c>
      <c r="AK557" s="299">
        <f>COUNTIF($A$3:A$917,A557)</f>
        <v>1</v>
      </c>
    </row>
    <row r="558" spans="1:37" x14ac:dyDescent="0.25">
      <c r="A558" s="296">
        <v>155821202530</v>
      </c>
      <c r="B558" s="296" t="s">
        <v>4745</v>
      </c>
      <c r="C558" s="296" t="s">
        <v>183</v>
      </c>
      <c r="D558" s="296" t="s">
        <v>183</v>
      </c>
      <c r="E558" s="296" t="s">
        <v>183</v>
      </c>
      <c r="F558" s="296" t="s">
        <v>4746</v>
      </c>
      <c r="G558" s="296" t="s">
        <v>4746</v>
      </c>
      <c r="H558" s="296" t="s">
        <v>4747</v>
      </c>
      <c r="I558" s="296" t="s">
        <v>4412</v>
      </c>
      <c r="J558" s="296" t="s">
        <v>4748</v>
      </c>
      <c r="K558" s="296" t="s">
        <v>2229</v>
      </c>
      <c r="L558" s="296" t="s">
        <v>2230</v>
      </c>
      <c r="M558" s="296" t="s">
        <v>179</v>
      </c>
      <c r="N558" s="296" t="s">
        <v>2231</v>
      </c>
      <c r="O558" s="296" t="s">
        <v>2231</v>
      </c>
      <c r="P558" s="296" t="s">
        <v>2232</v>
      </c>
      <c r="Q558" s="296" t="s">
        <v>183</v>
      </c>
      <c r="R558" s="296" t="s">
        <v>4749</v>
      </c>
      <c r="S558" s="296" t="s">
        <v>185</v>
      </c>
      <c r="T558" s="296" t="s">
        <v>185</v>
      </c>
      <c r="U558" s="296" t="s">
        <v>186</v>
      </c>
      <c r="V558" s="296" t="s">
        <v>187</v>
      </c>
      <c r="W558" s="296" t="s">
        <v>188</v>
      </c>
      <c r="X558" s="296" t="s">
        <v>189</v>
      </c>
      <c r="Y558" s="296" t="s">
        <v>183</v>
      </c>
      <c r="Z558" s="296" t="s">
        <v>183</v>
      </c>
      <c r="AA558" s="296" t="s">
        <v>183</v>
      </c>
      <c r="AB558" s="296" t="s">
        <v>183</v>
      </c>
      <c r="AC558" s="296" t="s">
        <v>4750</v>
      </c>
      <c r="AD558" s="296" t="s">
        <v>4751</v>
      </c>
      <c r="AE558" s="296" t="s">
        <v>192</v>
      </c>
      <c r="AF558" s="296" t="s">
        <v>193</v>
      </c>
      <c r="AG558" s="296">
        <v>0</v>
      </c>
      <c r="AH558" s="298">
        <v>43885</v>
      </c>
      <c r="AJ558" s="296" t="s">
        <v>194</v>
      </c>
      <c r="AK558" s="299">
        <f>COUNTIF($A$3:A$917,A558)</f>
        <v>1</v>
      </c>
    </row>
    <row r="559" spans="1:37" x14ac:dyDescent="0.25">
      <c r="A559" s="296">
        <v>503990422</v>
      </c>
      <c r="B559" s="296" t="s">
        <v>4752</v>
      </c>
      <c r="C559" s="296" t="s">
        <v>183</v>
      </c>
      <c r="D559" s="296" t="s">
        <v>183</v>
      </c>
      <c r="E559" s="296" t="s">
        <v>183</v>
      </c>
      <c r="F559" s="296" t="s">
        <v>4753</v>
      </c>
      <c r="G559" s="296" t="s">
        <v>183</v>
      </c>
      <c r="H559" s="296" t="s">
        <v>4754</v>
      </c>
      <c r="I559" s="296" t="s">
        <v>4412</v>
      </c>
      <c r="J559" s="296" t="s">
        <v>4755</v>
      </c>
      <c r="K559" s="296" t="s">
        <v>4756</v>
      </c>
      <c r="L559" s="296" t="s">
        <v>4757</v>
      </c>
      <c r="M559" s="296" t="s">
        <v>179</v>
      </c>
      <c r="N559" s="296" t="s">
        <v>4753</v>
      </c>
      <c r="O559" s="296" t="s">
        <v>183</v>
      </c>
      <c r="P559" s="296" t="s">
        <v>4754</v>
      </c>
      <c r="Q559" s="296" t="s">
        <v>183</v>
      </c>
      <c r="R559" s="296" t="s">
        <v>4758</v>
      </c>
      <c r="S559" s="296" t="s">
        <v>185</v>
      </c>
      <c r="T559" s="296" t="s">
        <v>185</v>
      </c>
      <c r="U559" s="296" t="s">
        <v>186</v>
      </c>
      <c r="V559" s="296" t="s">
        <v>187</v>
      </c>
      <c r="W559" s="296" t="s">
        <v>188</v>
      </c>
      <c r="X559" s="296" t="s">
        <v>256</v>
      </c>
      <c r="Y559" s="296" t="s">
        <v>183</v>
      </c>
      <c r="Z559" s="296" t="s">
        <v>183</v>
      </c>
      <c r="AA559" s="296" t="s">
        <v>183</v>
      </c>
      <c r="AB559" s="296" t="s">
        <v>183</v>
      </c>
      <c r="AC559" s="296" t="s">
        <v>4759</v>
      </c>
      <c r="AD559" s="296" t="s">
        <v>4760</v>
      </c>
      <c r="AE559" s="296" t="s">
        <v>192</v>
      </c>
      <c r="AF559" s="296" t="s">
        <v>193</v>
      </c>
      <c r="AG559" s="296">
        <v>0</v>
      </c>
      <c r="AH559" s="298">
        <v>43419</v>
      </c>
      <c r="AJ559" s="296" t="s">
        <v>194</v>
      </c>
      <c r="AK559" s="299">
        <f>COUNTIF($A$3:A$917,A559)</f>
        <v>1</v>
      </c>
    </row>
    <row r="560" spans="1:37" x14ac:dyDescent="0.25">
      <c r="A560" s="296">
        <v>503290666</v>
      </c>
      <c r="B560" s="296" t="s">
        <v>1191</v>
      </c>
      <c r="C560" s="296" t="s">
        <v>183</v>
      </c>
      <c r="D560" s="296" t="s">
        <v>183</v>
      </c>
      <c r="E560" s="296" t="s">
        <v>183</v>
      </c>
      <c r="F560" s="296" t="s">
        <v>1192</v>
      </c>
      <c r="G560" s="296" t="s">
        <v>1192</v>
      </c>
      <c r="H560" s="296" t="s">
        <v>1193</v>
      </c>
      <c r="I560" s="296" t="s">
        <v>4412</v>
      </c>
      <c r="J560" s="296" t="s">
        <v>1194</v>
      </c>
      <c r="K560" s="296" t="s">
        <v>986</v>
      </c>
      <c r="L560" s="296" t="s">
        <v>987</v>
      </c>
      <c r="M560" s="296" t="s">
        <v>179</v>
      </c>
      <c r="N560" s="296" t="s">
        <v>982</v>
      </c>
      <c r="O560" s="296" t="s">
        <v>988</v>
      </c>
      <c r="P560" s="296" t="s">
        <v>983</v>
      </c>
      <c r="Q560" s="296" t="s">
        <v>183</v>
      </c>
      <c r="R560" s="296" t="s">
        <v>989</v>
      </c>
      <c r="S560" s="296" t="s">
        <v>185</v>
      </c>
      <c r="T560" s="296" t="s">
        <v>185</v>
      </c>
      <c r="U560" s="296" t="s">
        <v>186</v>
      </c>
      <c r="V560" s="296" t="s">
        <v>187</v>
      </c>
      <c r="W560" s="296" t="s">
        <v>188</v>
      </c>
      <c r="X560" s="296" t="s">
        <v>189</v>
      </c>
      <c r="Y560" s="296" t="s">
        <v>183</v>
      </c>
      <c r="Z560" s="296" t="s">
        <v>183</v>
      </c>
      <c r="AA560" s="296" t="s">
        <v>183</v>
      </c>
      <c r="AB560" s="296" t="s">
        <v>183</v>
      </c>
      <c r="AC560" s="296" t="s">
        <v>990</v>
      </c>
      <c r="AD560" s="296" t="s">
        <v>4761</v>
      </c>
      <c r="AE560" s="296" t="s">
        <v>192</v>
      </c>
      <c r="AF560" s="296" t="s">
        <v>193</v>
      </c>
      <c r="AG560" s="296">
        <v>0</v>
      </c>
      <c r="AH560" s="298">
        <v>45908</v>
      </c>
      <c r="AJ560" s="296" t="s">
        <v>194</v>
      </c>
      <c r="AK560" s="299">
        <f>COUNTIF($A$3:A$917,A560)</f>
        <v>2</v>
      </c>
    </row>
    <row r="561" spans="1:37" x14ac:dyDescent="0.25">
      <c r="A561" s="296">
        <v>502240845</v>
      </c>
      <c r="B561" s="296" t="s">
        <v>4762</v>
      </c>
      <c r="C561" s="296" t="s">
        <v>183</v>
      </c>
      <c r="D561" s="296" t="s">
        <v>183</v>
      </c>
      <c r="E561" s="296" t="s">
        <v>183</v>
      </c>
      <c r="F561" s="296" t="s">
        <v>4763</v>
      </c>
      <c r="G561" s="296" t="s">
        <v>183</v>
      </c>
      <c r="H561" s="296" t="s">
        <v>4764</v>
      </c>
      <c r="I561" s="296" t="s">
        <v>4412</v>
      </c>
      <c r="J561" s="296" t="s">
        <v>4765</v>
      </c>
      <c r="K561" s="296" t="s">
        <v>4766</v>
      </c>
      <c r="L561" s="296" t="s">
        <v>4762</v>
      </c>
      <c r="M561" s="296" t="s">
        <v>179</v>
      </c>
      <c r="N561" s="296" t="s">
        <v>4763</v>
      </c>
      <c r="O561" s="296" t="s">
        <v>183</v>
      </c>
      <c r="P561" s="296" t="s">
        <v>4764</v>
      </c>
      <c r="Q561" s="296" t="s">
        <v>183</v>
      </c>
      <c r="R561" s="296" t="s">
        <v>4767</v>
      </c>
      <c r="S561" s="296" t="s">
        <v>185</v>
      </c>
      <c r="T561" s="296" t="s">
        <v>185</v>
      </c>
      <c r="U561" s="296" t="s">
        <v>186</v>
      </c>
      <c r="V561" s="296" t="s">
        <v>187</v>
      </c>
      <c r="W561" s="296" t="s">
        <v>188</v>
      </c>
      <c r="X561" s="296" t="s">
        <v>246</v>
      </c>
      <c r="Y561" s="296" t="s">
        <v>183</v>
      </c>
      <c r="Z561" s="296" t="s">
        <v>183</v>
      </c>
      <c r="AA561" s="296" t="s">
        <v>183</v>
      </c>
      <c r="AB561" s="296" t="s">
        <v>183</v>
      </c>
      <c r="AC561" s="296" t="s">
        <v>4768</v>
      </c>
      <c r="AD561" s="296" t="s">
        <v>4769</v>
      </c>
      <c r="AE561" s="296" t="s">
        <v>192</v>
      </c>
      <c r="AF561" s="296" t="s">
        <v>193</v>
      </c>
      <c r="AG561" s="296">
        <v>0</v>
      </c>
      <c r="AH561" s="298">
        <v>44601</v>
      </c>
      <c r="AJ561" s="296" t="s">
        <v>194</v>
      </c>
      <c r="AK561" s="299">
        <f>COUNTIF($A$3:A$917,A561)</f>
        <v>1</v>
      </c>
    </row>
    <row r="562" spans="1:37" x14ac:dyDescent="0.25">
      <c r="A562" s="296">
        <v>501650284</v>
      </c>
      <c r="B562" s="296" t="s">
        <v>558</v>
      </c>
      <c r="C562" s="296" t="s">
        <v>183</v>
      </c>
      <c r="D562" s="296" t="s">
        <v>183</v>
      </c>
      <c r="E562" s="296" t="s">
        <v>183</v>
      </c>
      <c r="F562" s="296" t="s">
        <v>559</v>
      </c>
      <c r="G562" s="296" t="s">
        <v>560</v>
      </c>
      <c r="H562" s="296" t="s">
        <v>561</v>
      </c>
      <c r="I562" s="296" t="s">
        <v>4412</v>
      </c>
      <c r="J562" s="296" t="s">
        <v>4770</v>
      </c>
      <c r="K562" s="296" t="s">
        <v>557</v>
      </c>
      <c r="L562" s="296" t="s">
        <v>558</v>
      </c>
      <c r="M562" s="296" t="s">
        <v>179</v>
      </c>
      <c r="N562" s="296" t="s">
        <v>559</v>
      </c>
      <c r="O562" s="296" t="s">
        <v>560</v>
      </c>
      <c r="P562" s="296" t="s">
        <v>561</v>
      </c>
      <c r="Q562" s="296" t="s">
        <v>183</v>
      </c>
      <c r="R562" s="296" t="s">
        <v>562</v>
      </c>
      <c r="S562" s="296" t="s">
        <v>185</v>
      </c>
      <c r="T562" s="296" t="s">
        <v>185</v>
      </c>
      <c r="U562" s="296" t="s">
        <v>186</v>
      </c>
      <c r="V562" s="296" t="s">
        <v>187</v>
      </c>
      <c r="W562" s="296" t="s">
        <v>188</v>
      </c>
      <c r="X562" s="296" t="s">
        <v>188</v>
      </c>
      <c r="Y562" s="296" t="s">
        <v>183</v>
      </c>
      <c r="Z562" s="296" t="s">
        <v>183</v>
      </c>
      <c r="AA562" s="296" t="s">
        <v>183</v>
      </c>
      <c r="AB562" s="296" t="s">
        <v>183</v>
      </c>
      <c r="AC562" s="296" t="s">
        <v>563</v>
      </c>
      <c r="AD562" s="296" t="s">
        <v>4771</v>
      </c>
      <c r="AE562" s="296" t="s">
        <v>192</v>
      </c>
      <c r="AF562" s="296" t="s">
        <v>193</v>
      </c>
      <c r="AG562" s="296">
        <v>0</v>
      </c>
      <c r="AH562" s="298">
        <v>44945</v>
      </c>
      <c r="AJ562" s="296" t="s">
        <v>194</v>
      </c>
      <c r="AK562" s="299">
        <f>COUNTIF($A$3:A$917,A562)</f>
        <v>2</v>
      </c>
    </row>
    <row r="563" spans="1:37" x14ac:dyDescent="0.25">
      <c r="A563" s="296">
        <v>503710378</v>
      </c>
      <c r="B563" s="296" t="s">
        <v>1198</v>
      </c>
      <c r="C563" s="296" t="s">
        <v>183</v>
      </c>
      <c r="D563" s="296" t="s">
        <v>183</v>
      </c>
      <c r="E563" s="296" t="s">
        <v>183</v>
      </c>
      <c r="F563" s="296" t="s">
        <v>1199</v>
      </c>
      <c r="G563" s="296" t="s">
        <v>1199</v>
      </c>
      <c r="H563" s="296" t="s">
        <v>1200</v>
      </c>
      <c r="I563" s="296" t="s">
        <v>4412</v>
      </c>
      <c r="J563" s="296" t="s">
        <v>1201</v>
      </c>
      <c r="K563" s="296" t="s">
        <v>1202</v>
      </c>
      <c r="L563" s="296" t="s">
        <v>1203</v>
      </c>
      <c r="M563" s="296" t="s">
        <v>179</v>
      </c>
      <c r="N563" s="296" t="s">
        <v>1204</v>
      </c>
      <c r="O563" s="296" t="s">
        <v>1205</v>
      </c>
      <c r="P563" s="296" t="s">
        <v>1200</v>
      </c>
      <c r="Q563" s="296" t="s">
        <v>183</v>
      </c>
      <c r="R563" s="296" t="s">
        <v>1206</v>
      </c>
      <c r="S563" s="296" t="s">
        <v>185</v>
      </c>
      <c r="T563" s="296" t="s">
        <v>185</v>
      </c>
      <c r="U563" s="296" t="s">
        <v>186</v>
      </c>
      <c r="V563" s="296" t="s">
        <v>187</v>
      </c>
      <c r="W563" s="296" t="s">
        <v>188</v>
      </c>
      <c r="X563" s="296" t="s">
        <v>189</v>
      </c>
      <c r="Y563" s="296" t="s">
        <v>183</v>
      </c>
      <c r="Z563" s="296" t="s">
        <v>183</v>
      </c>
      <c r="AA563" s="296" t="s">
        <v>183</v>
      </c>
      <c r="AB563" s="296" t="s">
        <v>183</v>
      </c>
      <c r="AC563" s="296" t="s">
        <v>1207</v>
      </c>
      <c r="AD563" s="296" t="s">
        <v>4772</v>
      </c>
      <c r="AE563" s="296" t="s">
        <v>192</v>
      </c>
      <c r="AF563" s="296" t="s">
        <v>193</v>
      </c>
      <c r="AG563" s="296">
        <v>0</v>
      </c>
      <c r="AH563" s="298">
        <v>45260</v>
      </c>
      <c r="AJ563" s="296" t="s">
        <v>194</v>
      </c>
      <c r="AK563" s="299">
        <f>COUNTIF($A$3:A$917,A563)</f>
        <v>2</v>
      </c>
    </row>
    <row r="564" spans="1:37" x14ac:dyDescent="0.25">
      <c r="A564" s="296">
        <v>109740518</v>
      </c>
      <c r="B564" s="296" t="s">
        <v>4773</v>
      </c>
      <c r="C564" s="296" t="s">
        <v>183</v>
      </c>
      <c r="D564" s="296" t="s">
        <v>183</v>
      </c>
      <c r="E564" s="296" t="s">
        <v>183</v>
      </c>
      <c r="F564" s="296" t="s">
        <v>4774</v>
      </c>
      <c r="G564" s="296" t="s">
        <v>183</v>
      </c>
      <c r="H564" s="296" t="s">
        <v>4775</v>
      </c>
      <c r="I564" s="296" t="s">
        <v>4412</v>
      </c>
      <c r="J564" s="296" t="s">
        <v>4776</v>
      </c>
      <c r="K564" s="296" t="s">
        <v>768</v>
      </c>
      <c r="L564" s="296" t="s">
        <v>769</v>
      </c>
      <c r="M564" s="296" t="s">
        <v>179</v>
      </c>
      <c r="N564" s="296" t="s">
        <v>770</v>
      </c>
      <c r="O564" s="296" t="s">
        <v>770</v>
      </c>
      <c r="P564" s="296" t="s">
        <v>771</v>
      </c>
      <c r="Q564" s="296" t="s">
        <v>183</v>
      </c>
      <c r="R564" s="296" t="s">
        <v>772</v>
      </c>
      <c r="S564" s="296" t="s">
        <v>185</v>
      </c>
      <c r="T564" s="296" t="s">
        <v>185</v>
      </c>
      <c r="U564" s="296" t="s">
        <v>186</v>
      </c>
      <c r="V564" s="296" t="s">
        <v>187</v>
      </c>
      <c r="W564" s="296" t="s">
        <v>188</v>
      </c>
      <c r="X564" s="296" t="s">
        <v>256</v>
      </c>
      <c r="Y564" s="296" t="s">
        <v>183</v>
      </c>
      <c r="Z564" s="296" t="s">
        <v>183</v>
      </c>
      <c r="AA564" s="296" t="s">
        <v>183</v>
      </c>
      <c r="AB564" s="296" t="s">
        <v>183</v>
      </c>
      <c r="AC564" s="296" t="s">
        <v>773</v>
      </c>
      <c r="AD564" s="296" t="s">
        <v>4777</v>
      </c>
      <c r="AE564" s="296" t="s">
        <v>192</v>
      </c>
      <c r="AF564" s="296" t="s">
        <v>193</v>
      </c>
      <c r="AG564" s="296">
        <v>0</v>
      </c>
      <c r="AH564" s="298">
        <v>45841</v>
      </c>
      <c r="AJ564" s="296" t="s">
        <v>194</v>
      </c>
      <c r="AK564" s="299">
        <f>COUNTIF($A$3:A$917,A564)</f>
        <v>1</v>
      </c>
    </row>
    <row r="565" spans="1:37" x14ac:dyDescent="0.25">
      <c r="A565" s="296">
        <v>3102699102</v>
      </c>
      <c r="B565" s="296" t="s">
        <v>1799</v>
      </c>
      <c r="C565" s="296" t="s">
        <v>1800</v>
      </c>
      <c r="D565" s="296" t="s">
        <v>1801</v>
      </c>
      <c r="E565" s="296" t="s">
        <v>1057</v>
      </c>
      <c r="F565" s="296" t="s">
        <v>1802</v>
      </c>
      <c r="G565" s="296" t="s">
        <v>1803</v>
      </c>
      <c r="H565" s="296" t="s">
        <v>1804</v>
      </c>
      <c r="I565" s="296" t="s">
        <v>4412</v>
      </c>
      <c r="J565" s="296" t="s">
        <v>4778</v>
      </c>
      <c r="K565" s="296" t="s">
        <v>1806</v>
      </c>
      <c r="L565" s="296" t="s">
        <v>1799</v>
      </c>
      <c r="M565" s="296" t="s">
        <v>179</v>
      </c>
      <c r="N565" s="296" t="s">
        <v>1802</v>
      </c>
      <c r="O565" s="296" t="s">
        <v>1803</v>
      </c>
      <c r="P565" s="296" t="s">
        <v>1804</v>
      </c>
      <c r="Q565" s="296" t="s">
        <v>183</v>
      </c>
      <c r="R565" s="296" t="s">
        <v>4779</v>
      </c>
      <c r="S565" s="296" t="s">
        <v>185</v>
      </c>
      <c r="T565" s="296" t="s">
        <v>185</v>
      </c>
      <c r="U565" s="296" t="s">
        <v>186</v>
      </c>
      <c r="V565" s="296" t="s">
        <v>187</v>
      </c>
      <c r="W565" s="296" t="s">
        <v>188</v>
      </c>
      <c r="X565" s="296" t="s">
        <v>256</v>
      </c>
      <c r="Y565" s="296" t="s">
        <v>183</v>
      </c>
      <c r="Z565" s="296" t="s">
        <v>183</v>
      </c>
      <c r="AA565" s="296" t="s">
        <v>183</v>
      </c>
      <c r="AB565" s="296" t="s">
        <v>183</v>
      </c>
      <c r="AC565" s="296" t="s">
        <v>1808</v>
      </c>
      <c r="AD565" s="296" t="s">
        <v>4780</v>
      </c>
      <c r="AE565" s="296" t="s">
        <v>192</v>
      </c>
      <c r="AF565" s="296" t="s">
        <v>193</v>
      </c>
      <c r="AG565" s="296">
        <v>0</v>
      </c>
      <c r="AH565" s="298">
        <v>45162</v>
      </c>
      <c r="AJ565" s="296" t="s">
        <v>194</v>
      </c>
      <c r="AK565" s="299">
        <f>COUNTIF($A$3:A$917,A565)</f>
        <v>3</v>
      </c>
    </row>
    <row r="566" spans="1:37" x14ac:dyDescent="0.25">
      <c r="A566" s="296">
        <v>501940638</v>
      </c>
      <c r="B566" s="296" t="s">
        <v>4781</v>
      </c>
      <c r="C566" s="296" t="s">
        <v>183</v>
      </c>
      <c r="D566" s="296" t="s">
        <v>183</v>
      </c>
      <c r="E566" s="296" t="s">
        <v>183</v>
      </c>
      <c r="F566" s="296" t="s">
        <v>4782</v>
      </c>
      <c r="G566" s="296" t="s">
        <v>4782</v>
      </c>
      <c r="H566" s="296" t="s">
        <v>4783</v>
      </c>
      <c r="I566" s="296" t="s">
        <v>4412</v>
      </c>
      <c r="J566" s="296" t="s">
        <v>4784</v>
      </c>
      <c r="K566" s="296" t="s">
        <v>4785</v>
      </c>
      <c r="L566" s="296" t="s">
        <v>4786</v>
      </c>
      <c r="M566" s="296" t="s">
        <v>179</v>
      </c>
      <c r="N566" s="296" t="s">
        <v>4787</v>
      </c>
      <c r="O566" s="296" t="s">
        <v>183</v>
      </c>
      <c r="P566" s="296" t="s">
        <v>4788</v>
      </c>
      <c r="Q566" s="296" t="s">
        <v>183</v>
      </c>
      <c r="R566" s="296" t="s">
        <v>4789</v>
      </c>
      <c r="S566" s="296" t="s">
        <v>185</v>
      </c>
      <c r="T566" s="296" t="s">
        <v>185</v>
      </c>
      <c r="U566" s="296" t="s">
        <v>186</v>
      </c>
      <c r="V566" s="296" t="s">
        <v>187</v>
      </c>
      <c r="W566" s="296" t="s">
        <v>188</v>
      </c>
      <c r="X566" s="296" t="s">
        <v>256</v>
      </c>
      <c r="Y566" s="296" t="s">
        <v>183</v>
      </c>
      <c r="Z566" s="296" t="s">
        <v>183</v>
      </c>
      <c r="AA566" s="296" t="s">
        <v>183</v>
      </c>
      <c r="AB566" s="296" t="s">
        <v>183</v>
      </c>
      <c r="AC566" s="296" t="s">
        <v>4790</v>
      </c>
      <c r="AD566" s="296" t="s">
        <v>4791</v>
      </c>
      <c r="AE566" s="296" t="s">
        <v>192</v>
      </c>
      <c r="AF566" s="296" t="s">
        <v>193</v>
      </c>
      <c r="AG566" s="296">
        <v>0</v>
      </c>
      <c r="AH566" s="298">
        <v>45373</v>
      </c>
      <c r="AJ566" s="296" t="s">
        <v>194</v>
      </c>
      <c r="AK566" s="299">
        <f>COUNTIF($A$3:A$917,A566)</f>
        <v>2</v>
      </c>
    </row>
    <row r="567" spans="1:37" x14ac:dyDescent="0.25">
      <c r="A567" s="296">
        <v>3101142587</v>
      </c>
      <c r="B567" s="296" t="s">
        <v>1209</v>
      </c>
      <c r="C567" s="296" t="s">
        <v>183</v>
      </c>
      <c r="D567" s="296" t="s">
        <v>183</v>
      </c>
      <c r="E567" s="296" t="s">
        <v>183</v>
      </c>
      <c r="F567" s="296" t="s">
        <v>1210</v>
      </c>
      <c r="G567" s="296" t="s">
        <v>183</v>
      </c>
      <c r="H567" s="296" t="s">
        <v>1211</v>
      </c>
      <c r="I567" s="296" t="s">
        <v>4412</v>
      </c>
      <c r="J567" s="296" t="s">
        <v>4792</v>
      </c>
      <c r="K567" s="296" t="s">
        <v>1213</v>
      </c>
      <c r="L567" s="296" t="s">
        <v>1214</v>
      </c>
      <c r="M567" s="296" t="s">
        <v>179</v>
      </c>
      <c r="N567" s="296" t="s">
        <v>1210</v>
      </c>
      <c r="O567" s="296" t="s">
        <v>183</v>
      </c>
      <c r="P567" s="296" t="s">
        <v>1215</v>
      </c>
      <c r="Q567" s="296" t="s">
        <v>183</v>
      </c>
      <c r="R567" s="296" t="s">
        <v>1216</v>
      </c>
      <c r="S567" s="296" t="s">
        <v>185</v>
      </c>
      <c r="T567" s="296" t="s">
        <v>185</v>
      </c>
      <c r="U567" s="296" t="s">
        <v>186</v>
      </c>
      <c r="V567" s="296" t="s">
        <v>187</v>
      </c>
      <c r="W567" s="296" t="s">
        <v>188</v>
      </c>
      <c r="X567" s="296" t="s">
        <v>256</v>
      </c>
      <c r="Y567" s="296" t="s">
        <v>183</v>
      </c>
      <c r="Z567" s="296" t="s">
        <v>183</v>
      </c>
      <c r="AA567" s="296" t="s">
        <v>183</v>
      </c>
      <c r="AB567" s="296" t="s">
        <v>183</v>
      </c>
      <c r="AC567" s="296" t="s">
        <v>1217</v>
      </c>
      <c r="AD567" s="296" t="s">
        <v>4793</v>
      </c>
      <c r="AE567" s="296" t="s">
        <v>192</v>
      </c>
      <c r="AF567" s="296" t="s">
        <v>193</v>
      </c>
      <c r="AG567" s="296">
        <v>9852.25</v>
      </c>
      <c r="AH567" s="298">
        <v>36564</v>
      </c>
      <c r="AJ567" s="296" t="s">
        <v>194</v>
      </c>
      <c r="AK567" s="299">
        <f>COUNTIF($A$3:A$917,A567)</f>
        <v>4</v>
      </c>
    </row>
    <row r="568" spans="1:37" x14ac:dyDescent="0.25">
      <c r="A568" s="296">
        <v>3102917890</v>
      </c>
      <c r="B568" s="296" t="s">
        <v>4794</v>
      </c>
      <c r="C568" s="296" t="s">
        <v>4795</v>
      </c>
      <c r="D568" s="296" t="s">
        <v>4796</v>
      </c>
      <c r="E568" s="296" t="s">
        <v>172</v>
      </c>
      <c r="F568" s="296" t="s">
        <v>4797</v>
      </c>
      <c r="G568" s="296" t="s">
        <v>4797</v>
      </c>
      <c r="H568" s="296" t="s">
        <v>4798</v>
      </c>
      <c r="I568" s="296" t="s">
        <v>4412</v>
      </c>
      <c r="J568" s="296" t="s">
        <v>4799</v>
      </c>
      <c r="K568" s="296" t="s">
        <v>2060</v>
      </c>
      <c r="L568" s="296" t="s">
        <v>2061</v>
      </c>
      <c r="M568" s="296" t="s">
        <v>179</v>
      </c>
      <c r="N568" s="296" t="s">
        <v>2062</v>
      </c>
      <c r="O568" s="296" t="s">
        <v>183</v>
      </c>
      <c r="P568" s="296" t="s">
        <v>2063</v>
      </c>
      <c r="Q568" s="296" t="s">
        <v>183</v>
      </c>
      <c r="R568" s="296" t="s">
        <v>2064</v>
      </c>
      <c r="S568" s="296" t="s">
        <v>185</v>
      </c>
      <c r="T568" s="296" t="s">
        <v>185</v>
      </c>
      <c r="U568" s="296" t="s">
        <v>186</v>
      </c>
      <c r="V568" s="296" t="s">
        <v>187</v>
      </c>
      <c r="W568" s="296" t="s">
        <v>188</v>
      </c>
      <c r="X568" s="296" t="s">
        <v>189</v>
      </c>
      <c r="Y568" s="296" t="s">
        <v>183</v>
      </c>
      <c r="Z568" s="296" t="s">
        <v>183</v>
      </c>
      <c r="AA568" s="296" t="s">
        <v>183</v>
      </c>
      <c r="AB568" s="296" t="s">
        <v>183</v>
      </c>
      <c r="AC568" s="296" t="s">
        <v>2065</v>
      </c>
      <c r="AD568" s="296" t="s">
        <v>4800</v>
      </c>
      <c r="AE568" s="296" t="s">
        <v>192</v>
      </c>
      <c r="AF568" s="296" t="s">
        <v>193</v>
      </c>
      <c r="AG568" s="296">
        <v>0</v>
      </c>
      <c r="AH568" s="298">
        <v>45622</v>
      </c>
      <c r="AJ568" s="296" t="s">
        <v>194</v>
      </c>
      <c r="AK568" s="299">
        <f>COUNTIF($A$3:A$917,A568)</f>
        <v>2</v>
      </c>
    </row>
    <row r="569" spans="1:37" x14ac:dyDescent="0.25">
      <c r="A569" s="296">
        <v>3101795773</v>
      </c>
      <c r="B569" s="296" t="s">
        <v>2784</v>
      </c>
      <c r="C569" s="296" t="s">
        <v>2785</v>
      </c>
      <c r="D569" s="296" t="s">
        <v>2786</v>
      </c>
      <c r="E569" s="296" t="s">
        <v>172</v>
      </c>
      <c r="F569" s="296" t="s">
        <v>2787</v>
      </c>
      <c r="G569" s="296" t="s">
        <v>278</v>
      </c>
      <c r="H569" s="296" t="s">
        <v>183</v>
      </c>
      <c r="I569" s="296" t="s">
        <v>4412</v>
      </c>
      <c r="J569" s="296" t="s">
        <v>4801</v>
      </c>
      <c r="K569" s="296" t="s">
        <v>2789</v>
      </c>
      <c r="L569" s="296" t="s">
        <v>2790</v>
      </c>
      <c r="M569" s="296" t="s">
        <v>179</v>
      </c>
      <c r="N569" s="296" t="s">
        <v>2791</v>
      </c>
      <c r="O569" s="296" t="s">
        <v>278</v>
      </c>
      <c r="P569" s="296" t="s">
        <v>2792</v>
      </c>
      <c r="Q569" s="296" t="s">
        <v>183</v>
      </c>
      <c r="R569" s="296" t="s">
        <v>2793</v>
      </c>
      <c r="S569" s="296" t="s">
        <v>185</v>
      </c>
      <c r="T569" s="296" t="s">
        <v>185</v>
      </c>
      <c r="U569" s="296" t="s">
        <v>186</v>
      </c>
      <c r="V569" s="296" t="s">
        <v>187</v>
      </c>
      <c r="W569" s="296" t="s">
        <v>188</v>
      </c>
      <c r="X569" s="296" t="s">
        <v>189</v>
      </c>
      <c r="Y569" s="296" t="s">
        <v>183</v>
      </c>
      <c r="Z569" s="296" t="s">
        <v>183</v>
      </c>
      <c r="AA569" s="296" t="s">
        <v>183</v>
      </c>
      <c r="AB569" s="296" t="s">
        <v>183</v>
      </c>
      <c r="AC569" s="296" t="s">
        <v>2794</v>
      </c>
      <c r="AD569" s="296" t="s">
        <v>4802</v>
      </c>
      <c r="AE569" s="296" t="s">
        <v>192</v>
      </c>
      <c r="AF569" s="296" t="s">
        <v>193</v>
      </c>
      <c r="AG569" s="296">
        <v>0</v>
      </c>
      <c r="AH569" s="298">
        <v>44046</v>
      </c>
      <c r="AJ569" s="296" t="s">
        <v>194</v>
      </c>
      <c r="AK569" s="299">
        <f>COUNTIF($A$3:A$917,A569)</f>
        <v>2</v>
      </c>
    </row>
    <row r="570" spans="1:37" x14ac:dyDescent="0.25">
      <c r="A570" s="296">
        <v>3101138046</v>
      </c>
      <c r="B570" s="296" t="s">
        <v>2796</v>
      </c>
      <c r="C570" s="296" t="s">
        <v>183</v>
      </c>
      <c r="D570" s="296" t="s">
        <v>183</v>
      </c>
      <c r="E570" s="296" t="s">
        <v>183</v>
      </c>
      <c r="F570" s="296" t="s">
        <v>2797</v>
      </c>
      <c r="G570" s="296" t="s">
        <v>2798</v>
      </c>
      <c r="H570" s="296" t="s">
        <v>2799</v>
      </c>
      <c r="I570" s="296" t="s">
        <v>4412</v>
      </c>
      <c r="J570" s="296" t="s">
        <v>2800</v>
      </c>
      <c r="K570" s="296" t="s">
        <v>2801</v>
      </c>
      <c r="L570" s="296" t="s">
        <v>2796</v>
      </c>
      <c r="M570" s="296" t="s">
        <v>179</v>
      </c>
      <c r="N570" s="296" t="s">
        <v>2797</v>
      </c>
      <c r="O570" s="296" t="s">
        <v>2798</v>
      </c>
      <c r="P570" s="296" t="s">
        <v>2799</v>
      </c>
      <c r="Q570" s="296" t="s">
        <v>183</v>
      </c>
      <c r="R570" s="296" t="s">
        <v>2802</v>
      </c>
      <c r="S570" s="296" t="s">
        <v>185</v>
      </c>
      <c r="T570" s="296" t="s">
        <v>185</v>
      </c>
      <c r="U570" s="296" t="s">
        <v>186</v>
      </c>
      <c r="V570" s="296" t="s">
        <v>187</v>
      </c>
      <c r="W570" s="296" t="s">
        <v>188</v>
      </c>
      <c r="X570" s="296" t="s">
        <v>404</v>
      </c>
      <c r="Y570" s="296" t="s">
        <v>183</v>
      </c>
      <c r="Z570" s="296" t="s">
        <v>183</v>
      </c>
      <c r="AA570" s="296" t="s">
        <v>183</v>
      </c>
      <c r="AB570" s="296" t="s">
        <v>183</v>
      </c>
      <c r="AC570" s="296" t="s">
        <v>2803</v>
      </c>
      <c r="AD570" s="296" t="s">
        <v>4803</v>
      </c>
      <c r="AE570" s="296" t="s">
        <v>192</v>
      </c>
      <c r="AF570" s="296" t="s">
        <v>193</v>
      </c>
      <c r="AG570" s="296">
        <v>0</v>
      </c>
      <c r="AH570" s="298">
        <v>44671</v>
      </c>
      <c r="AJ570" s="296" t="s">
        <v>194</v>
      </c>
      <c r="AK570" s="299">
        <f>COUNTIF($A$3:A$917,A570)</f>
        <v>2</v>
      </c>
    </row>
    <row r="571" spans="1:37" x14ac:dyDescent="0.25">
      <c r="A571" s="296">
        <v>501850267</v>
      </c>
      <c r="B571" s="296" t="s">
        <v>532</v>
      </c>
      <c r="C571" s="296" t="s">
        <v>183</v>
      </c>
      <c r="D571" s="296" t="s">
        <v>183</v>
      </c>
      <c r="E571" s="296" t="s">
        <v>183</v>
      </c>
      <c r="F571" s="296" t="s">
        <v>533</v>
      </c>
      <c r="G571" s="296" t="s">
        <v>183</v>
      </c>
      <c r="H571" s="296" t="s">
        <v>534</v>
      </c>
      <c r="I571" s="296" t="s">
        <v>4412</v>
      </c>
      <c r="J571" s="296" t="s">
        <v>4804</v>
      </c>
      <c r="K571" s="296" t="s">
        <v>4805</v>
      </c>
      <c r="L571" s="296" t="s">
        <v>532</v>
      </c>
      <c r="M571" s="296" t="s">
        <v>179</v>
      </c>
      <c r="N571" s="296" t="s">
        <v>533</v>
      </c>
      <c r="O571" s="296" t="s">
        <v>183</v>
      </c>
      <c r="P571" s="296" t="s">
        <v>534</v>
      </c>
      <c r="Q571" s="296" t="s">
        <v>183</v>
      </c>
      <c r="R571" s="296" t="s">
        <v>4806</v>
      </c>
      <c r="S571" s="296" t="s">
        <v>185</v>
      </c>
      <c r="T571" s="296" t="s">
        <v>185</v>
      </c>
      <c r="U571" s="296" t="s">
        <v>186</v>
      </c>
      <c r="V571" s="296" t="s">
        <v>187</v>
      </c>
      <c r="W571" s="296" t="s">
        <v>188</v>
      </c>
      <c r="X571" s="296" t="s">
        <v>246</v>
      </c>
      <c r="Y571" s="296" t="s">
        <v>183</v>
      </c>
      <c r="Z571" s="296" t="s">
        <v>183</v>
      </c>
      <c r="AA571" s="296" t="s">
        <v>183</v>
      </c>
      <c r="AB571" s="296" t="s">
        <v>183</v>
      </c>
      <c r="AC571" s="296" t="s">
        <v>4807</v>
      </c>
      <c r="AD571" s="296" t="s">
        <v>4808</v>
      </c>
      <c r="AE571" s="296" t="s">
        <v>192</v>
      </c>
      <c r="AF571" s="296" t="s">
        <v>193</v>
      </c>
      <c r="AG571" s="296">
        <v>0</v>
      </c>
      <c r="AH571" s="298">
        <v>45191</v>
      </c>
      <c r="AJ571" s="296" t="s">
        <v>194</v>
      </c>
      <c r="AK571" s="299">
        <f>COUNTIF($A$3:A$917,A571)</f>
        <v>3</v>
      </c>
    </row>
    <row r="572" spans="1:37" x14ac:dyDescent="0.25">
      <c r="A572" s="296">
        <v>602330963</v>
      </c>
      <c r="B572" s="296" t="s">
        <v>1533</v>
      </c>
      <c r="C572" s="296" t="s">
        <v>183</v>
      </c>
      <c r="D572" s="296" t="s">
        <v>183</v>
      </c>
      <c r="E572" s="296" t="s">
        <v>183</v>
      </c>
      <c r="F572" s="296" t="s">
        <v>1534</v>
      </c>
      <c r="G572" s="296" t="s">
        <v>1534</v>
      </c>
      <c r="H572" s="296" t="s">
        <v>1535</v>
      </c>
      <c r="I572" s="296" t="s">
        <v>4412</v>
      </c>
      <c r="J572" s="296" t="s">
        <v>4809</v>
      </c>
      <c r="K572" s="296" t="s">
        <v>1532</v>
      </c>
      <c r="L572" s="296" t="s">
        <v>1533</v>
      </c>
      <c r="M572" s="296" t="s">
        <v>179</v>
      </c>
      <c r="N572" s="296" t="s">
        <v>1534</v>
      </c>
      <c r="O572" s="296" t="s">
        <v>1534</v>
      </c>
      <c r="P572" s="296" t="s">
        <v>1535</v>
      </c>
      <c r="Q572" s="296" t="s">
        <v>183</v>
      </c>
      <c r="R572" s="296" t="s">
        <v>4810</v>
      </c>
      <c r="S572" s="296" t="s">
        <v>185</v>
      </c>
      <c r="T572" s="296" t="s">
        <v>185</v>
      </c>
      <c r="U572" s="296" t="s">
        <v>186</v>
      </c>
      <c r="V572" s="296" t="s">
        <v>187</v>
      </c>
      <c r="W572" s="296" t="s">
        <v>188</v>
      </c>
      <c r="X572" s="296" t="s">
        <v>256</v>
      </c>
      <c r="Y572" s="296" t="s">
        <v>183</v>
      </c>
      <c r="Z572" s="296" t="s">
        <v>183</v>
      </c>
      <c r="AA572" s="296" t="s">
        <v>183</v>
      </c>
      <c r="AB572" s="296" t="s">
        <v>183</v>
      </c>
      <c r="AC572" s="296" t="s">
        <v>4811</v>
      </c>
      <c r="AD572" s="296" t="s">
        <v>4812</v>
      </c>
      <c r="AE572" s="296" t="s">
        <v>192</v>
      </c>
      <c r="AF572" s="296" t="s">
        <v>193</v>
      </c>
      <c r="AG572" s="296">
        <v>15303</v>
      </c>
      <c r="AH572" s="298">
        <v>36544</v>
      </c>
      <c r="AJ572" s="296" t="s">
        <v>194</v>
      </c>
      <c r="AK572" s="299">
        <f>COUNTIF($A$3:A$917,A572)</f>
        <v>2</v>
      </c>
    </row>
    <row r="573" spans="1:37" x14ac:dyDescent="0.25">
      <c r="A573" s="296">
        <v>127600110710</v>
      </c>
      <c r="B573" s="296" t="s">
        <v>2892</v>
      </c>
      <c r="C573" s="296" t="s">
        <v>183</v>
      </c>
      <c r="D573" s="296" t="s">
        <v>183</v>
      </c>
      <c r="E573" s="296" t="s">
        <v>183</v>
      </c>
      <c r="F573" s="296" t="s">
        <v>2893</v>
      </c>
      <c r="G573" s="296" t="s">
        <v>2893</v>
      </c>
      <c r="H573" s="296" t="s">
        <v>2894</v>
      </c>
      <c r="I573" s="296" t="s">
        <v>4412</v>
      </c>
      <c r="J573" s="296" t="s">
        <v>2895</v>
      </c>
      <c r="K573" s="296" t="s">
        <v>2896</v>
      </c>
      <c r="L573" s="296" t="s">
        <v>2892</v>
      </c>
      <c r="M573" s="296" t="s">
        <v>503</v>
      </c>
      <c r="N573" s="296" t="s">
        <v>2893</v>
      </c>
      <c r="O573" s="296" t="s">
        <v>2893</v>
      </c>
      <c r="P573" s="296" t="s">
        <v>2894</v>
      </c>
      <c r="Q573" s="296" t="s">
        <v>183</v>
      </c>
      <c r="R573" s="296" t="s">
        <v>2897</v>
      </c>
      <c r="S573" s="296" t="s">
        <v>185</v>
      </c>
      <c r="T573" s="296" t="s">
        <v>185</v>
      </c>
      <c r="U573" s="296" t="s">
        <v>186</v>
      </c>
      <c r="V573" s="296" t="s">
        <v>187</v>
      </c>
      <c r="W573" s="296" t="s">
        <v>188</v>
      </c>
      <c r="X573" s="296" t="s">
        <v>256</v>
      </c>
      <c r="Y573" s="296" t="s">
        <v>183</v>
      </c>
      <c r="Z573" s="296" t="s">
        <v>183</v>
      </c>
      <c r="AA573" s="296" t="s">
        <v>183</v>
      </c>
      <c r="AB573" s="296" t="s">
        <v>183</v>
      </c>
      <c r="AC573" s="296" t="s">
        <v>2898</v>
      </c>
      <c r="AD573" s="296" t="s">
        <v>4813</v>
      </c>
      <c r="AE573" s="296" t="s">
        <v>192</v>
      </c>
      <c r="AF573" s="296" t="s">
        <v>193</v>
      </c>
      <c r="AG573" s="296">
        <v>14501.5</v>
      </c>
      <c r="AH573" s="298">
        <v>43619</v>
      </c>
      <c r="AJ573" s="296" t="s">
        <v>194</v>
      </c>
      <c r="AK573" s="299">
        <f>COUNTIF($A$3:A$917,A573)</f>
        <v>2</v>
      </c>
    </row>
    <row r="574" spans="1:37" x14ac:dyDescent="0.25">
      <c r="A574" s="296">
        <v>155808099905</v>
      </c>
      <c r="B574" s="296" t="s">
        <v>1219</v>
      </c>
      <c r="C574" s="296" t="s">
        <v>183</v>
      </c>
      <c r="D574" s="296" t="s">
        <v>183</v>
      </c>
      <c r="E574" s="296" t="s">
        <v>183</v>
      </c>
      <c r="F574" s="296" t="s">
        <v>1220</v>
      </c>
      <c r="G574" s="296" t="s">
        <v>183</v>
      </c>
      <c r="H574" s="296" t="s">
        <v>1221</v>
      </c>
      <c r="I574" s="296" t="s">
        <v>4412</v>
      </c>
      <c r="J574" s="296" t="s">
        <v>1222</v>
      </c>
      <c r="K574" s="296" t="s">
        <v>1223</v>
      </c>
      <c r="L574" s="296" t="s">
        <v>1224</v>
      </c>
      <c r="M574" s="296" t="s">
        <v>179</v>
      </c>
      <c r="N574" s="296" t="s">
        <v>1225</v>
      </c>
      <c r="O574" s="296" t="s">
        <v>1226</v>
      </c>
      <c r="P574" s="296" t="s">
        <v>1227</v>
      </c>
      <c r="Q574" s="296" t="s">
        <v>183</v>
      </c>
      <c r="R574" s="296" t="s">
        <v>1228</v>
      </c>
      <c r="S574" s="296" t="s">
        <v>185</v>
      </c>
      <c r="T574" s="296" t="s">
        <v>185</v>
      </c>
      <c r="U574" s="296" t="s">
        <v>186</v>
      </c>
      <c r="V574" s="296" t="s">
        <v>187</v>
      </c>
      <c r="W574" s="296" t="s">
        <v>188</v>
      </c>
      <c r="X574" s="296" t="s">
        <v>189</v>
      </c>
      <c r="Y574" s="296" t="s">
        <v>183</v>
      </c>
      <c r="Z574" s="296" t="s">
        <v>183</v>
      </c>
      <c r="AA574" s="296" t="s">
        <v>183</v>
      </c>
      <c r="AB574" s="296" t="s">
        <v>183</v>
      </c>
      <c r="AC574" s="296" t="s">
        <v>1229</v>
      </c>
      <c r="AD574" s="296" t="s">
        <v>4814</v>
      </c>
      <c r="AE574" s="296" t="s">
        <v>192</v>
      </c>
      <c r="AF574" s="296" t="s">
        <v>193</v>
      </c>
      <c r="AG574" s="296">
        <v>8241</v>
      </c>
      <c r="AH574" s="298">
        <v>44342</v>
      </c>
      <c r="AJ574" s="296" t="s">
        <v>194</v>
      </c>
      <c r="AK574" s="299">
        <f>COUNTIF($A$3:A$917,A574)</f>
        <v>2</v>
      </c>
    </row>
    <row r="575" spans="1:37" x14ac:dyDescent="0.25">
      <c r="A575" s="296">
        <v>155814125318</v>
      </c>
      <c r="B575" s="296" t="s">
        <v>4815</v>
      </c>
      <c r="C575" s="296" t="s">
        <v>183</v>
      </c>
      <c r="D575" s="296" t="s">
        <v>183</v>
      </c>
      <c r="E575" s="296" t="s">
        <v>183</v>
      </c>
      <c r="F575" s="296" t="s">
        <v>4816</v>
      </c>
      <c r="G575" s="296" t="s">
        <v>183</v>
      </c>
      <c r="H575" s="296" t="s">
        <v>4817</v>
      </c>
      <c r="I575" s="296" t="s">
        <v>4412</v>
      </c>
      <c r="J575" s="296" t="s">
        <v>4818</v>
      </c>
      <c r="K575" s="296" t="s">
        <v>4819</v>
      </c>
      <c r="L575" s="296" t="s">
        <v>4815</v>
      </c>
      <c r="M575" s="296" t="s">
        <v>503</v>
      </c>
      <c r="N575" s="296" t="s">
        <v>4816</v>
      </c>
      <c r="O575" s="296" t="s">
        <v>183</v>
      </c>
      <c r="P575" s="296" t="s">
        <v>4817</v>
      </c>
      <c r="Q575" s="296" t="s">
        <v>183</v>
      </c>
      <c r="R575" s="296" t="s">
        <v>4820</v>
      </c>
      <c r="S575" s="296" t="s">
        <v>185</v>
      </c>
      <c r="T575" s="296" t="s">
        <v>185</v>
      </c>
      <c r="U575" s="296" t="s">
        <v>186</v>
      </c>
      <c r="V575" s="296" t="s">
        <v>187</v>
      </c>
      <c r="W575" s="296" t="s">
        <v>188</v>
      </c>
      <c r="X575" s="296" t="s">
        <v>189</v>
      </c>
      <c r="Y575" s="296" t="s">
        <v>183</v>
      </c>
      <c r="Z575" s="296" t="s">
        <v>183</v>
      </c>
      <c r="AA575" s="296" t="s">
        <v>183</v>
      </c>
      <c r="AB575" s="296" t="s">
        <v>183</v>
      </c>
      <c r="AC575" s="296" t="s">
        <v>4821</v>
      </c>
      <c r="AD575" s="296" t="s">
        <v>4822</v>
      </c>
      <c r="AE575" s="296" t="s">
        <v>192</v>
      </c>
      <c r="AF575" s="296" t="s">
        <v>193</v>
      </c>
      <c r="AG575" s="296">
        <v>0</v>
      </c>
      <c r="AH575" s="298">
        <v>45807</v>
      </c>
      <c r="AJ575" s="296" t="s">
        <v>194</v>
      </c>
      <c r="AK575" s="299">
        <f>COUNTIF($A$3:A$917,A575)</f>
        <v>1</v>
      </c>
    </row>
    <row r="576" spans="1:37" x14ac:dyDescent="0.25">
      <c r="A576" s="296">
        <v>502700433</v>
      </c>
      <c r="B576" s="296" t="s">
        <v>1231</v>
      </c>
      <c r="C576" s="296" t="s">
        <v>183</v>
      </c>
      <c r="D576" s="296" t="s">
        <v>183</v>
      </c>
      <c r="E576" s="296" t="s">
        <v>183</v>
      </c>
      <c r="F576" s="296" t="s">
        <v>1232</v>
      </c>
      <c r="G576" s="296" t="s">
        <v>1232</v>
      </c>
      <c r="H576" s="296" t="s">
        <v>1233</v>
      </c>
      <c r="I576" s="296" t="s">
        <v>4412</v>
      </c>
      <c r="J576" s="296" t="s">
        <v>1234</v>
      </c>
      <c r="K576" s="296" t="s">
        <v>1235</v>
      </c>
      <c r="L576" s="296" t="s">
        <v>1231</v>
      </c>
      <c r="M576" s="296" t="s">
        <v>179</v>
      </c>
      <c r="N576" s="296" t="s">
        <v>1232</v>
      </c>
      <c r="O576" s="296" t="s">
        <v>1232</v>
      </c>
      <c r="P576" s="296" t="s">
        <v>1233</v>
      </c>
      <c r="Q576" s="296" t="s">
        <v>183</v>
      </c>
      <c r="R576" s="296" t="s">
        <v>1236</v>
      </c>
      <c r="S576" s="296" t="s">
        <v>185</v>
      </c>
      <c r="T576" s="296" t="s">
        <v>185</v>
      </c>
      <c r="U576" s="296" t="s">
        <v>186</v>
      </c>
      <c r="V576" s="296" t="s">
        <v>187</v>
      </c>
      <c r="W576" s="296" t="s">
        <v>188</v>
      </c>
      <c r="X576" s="296" t="s">
        <v>404</v>
      </c>
      <c r="Y576" s="296" t="s">
        <v>183</v>
      </c>
      <c r="Z576" s="296" t="s">
        <v>183</v>
      </c>
      <c r="AA576" s="296" t="s">
        <v>183</v>
      </c>
      <c r="AB576" s="296" t="s">
        <v>183</v>
      </c>
      <c r="AC576" s="296" t="s">
        <v>1237</v>
      </c>
      <c r="AD576" s="296" t="s">
        <v>4823</v>
      </c>
      <c r="AE576" s="296" t="s">
        <v>192</v>
      </c>
      <c r="AF576" s="296" t="s">
        <v>193</v>
      </c>
      <c r="AG576" s="296">
        <v>0</v>
      </c>
      <c r="AH576" s="298">
        <v>45266</v>
      </c>
      <c r="AJ576" s="296" t="s">
        <v>194</v>
      </c>
      <c r="AK576" s="299">
        <f>COUNTIF($A$3:A$917,A576)</f>
        <v>2</v>
      </c>
    </row>
    <row r="577" spans="1:37" x14ac:dyDescent="0.25">
      <c r="A577" s="296">
        <v>3101665793</v>
      </c>
      <c r="B577" s="296" t="s">
        <v>945</v>
      </c>
      <c r="C577" s="296" t="s">
        <v>183</v>
      </c>
      <c r="D577" s="296" t="s">
        <v>183</v>
      </c>
      <c r="E577" s="296" t="s">
        <v>183</v>
      </c>
      <c r="F577" s="296" t="s">
        <v>946</v>
      </c>
      <c r="G577" s="296" t="s">
        <v>947</v>
      </c>
      <c r="H577" s="296" t="s">
        <v>948</v>
      </c>
      <c r="I577" s="296" t="s">
        <v>4412</v>
      </c>
      <c r="J577" s="296" t="s">
        <v>4824</v>
      </c>
      <c r="K577" s="296" t="s">
        <v>951</v>
      </c>
      <c r="L577" s="296" t="s">
        <v>952</v>
      </c>
      <c r="M577" s="296" t="s">
        <v>179</v>
      </c>
      <c r="N577" s="296" t="s">
        <v>953</v>
      </c>
      <c r="O577" s="296" t="s">
        <v>954</v>
      </c>
      <c r="P577" s="296" t="s">
        <v>948</v>
      </c>
      <c r="Q577" s="296" t="s">
        <v>183</v>
      </c>
      <c r="R577" s="296" t="s">
        <v>955</v>
      </c>
      <c r="S577" s="296" t="s">
        <v>185</v>
      </c>
      <c r="T577" s="296" t="s">
        <v>185</v>
      </c>
      <c r="U577" s="296" t="s">
        <v>186</v>
      </c>
      <c r="V577" s="296" t="s">
        <v>187</v>
      </c>
      <c r="W577" s="296" t="s">
        <v>188</v>
      </c>
      <c r="X577" s="296" t="s">
        <v>224</v>
      </c>
      <c r="Y577" s="296" t="s">
        <v>183</v>
      </c>
      <c r="Z577" s="296" t="s">
        <v>183</v>
      </c>
      <c r="AA577" s="296" t="s">
        <v>183</v>
      </c>
      <c r="AB577" s="296" t="s">
        <v>183</v>
      </c>
      <c r="AC577" s="296" t="s">
        <v>956</v>
      </c>
      <c r="AD577" s="296" t="s">
        <v>4825</v>
      </c>
      <c r="AE577" s="296" t="s">
        <v>192</v>
      </c>
      <c r="AF577" s="296" t="s">
        <v>193</v>
      </c>
      <c r="AG577" s="296">
        <v>0</v>
      </c>
      <c r="AH577" s="298">
        <v>41558</v>
      </c>
      <c r="AJ577" s="296" t="s">
        <v>194</v>
      </c>
      <c r="AK577" s="299">
        <f>COUNTIF($A$3:A$917,A577)</f>
        <v>7</v>
      </c>
    </row>
    <row r="578" spans="1:37" x14ac:dyDescent="0.25">
      <c r="A578" s="296">
        <v>204470781</v>
      </c>
      <c r="B578" s="296" t="s">
        <v>4826</v>
      </c>
      <c r="C578" s="296" t="s">
        <v>183</v>
      </c>
      <c r="D578" s="296" t="s">
        <v>183</v>
      </c>
      <c r="E578" s="296" t="s">
        <v>183</v>
      </c>
      <c r="F578" s="296" t="s">
        <v>4827</v>
      </c>
      <c r="G578" s="296" t="s">
        <v>4827</v>
      </c>
      <c r="H578" s="296" t="s">
        <v>4828</v>
      </c>
      <c r="I578" s="296" t="s">
        <v>4412</v>
      </c>
      <c r="J578" s="296" t="s">
        <v>4829</v>
      </c>
      <c r="K578" s="296" t="s">
        <v>4830</v>
      </c>
      <c r="L578" s="296" t="s">
        <v>4831</v>
      </c>
      <c r="M578" s="296" t="s">
        <v>179</v>
      </c>
      <c r="N578" s="296" t="s">
        <v>4832</v>
      </c>
      <c r="O578" s="296" t="s">
        <v>4827</v>
      </c>
      <c r="P578" s="296" t="s">
        <v>4828</v>
      </c>
      <c r="Q578" s="296" t="s">
        <v>183</v>
      </c>
      <c r="R578" s="296" t="s">
        <v>4833</v>
      </c>
      <c r="S578" s="296" t="s">
        <v>185</v>
      </c>
      <c r="T578" s="296" t="s">
        <v>185</v>
      </c>
      <c r="U578" s="296" t="s">
        <v>186</v>
      </c>
      <c r="V578" s="296" t="s">
        <v>187</v>
      </c>
      <c r="W578" s="296" t="s">
        <v>188</v>
      </c>
      <c r="X578" s="296" t="s">
        <v>308</v>
      </c>
      <c r="Y578" s="296" t="s">
        <v>183</v>
      </c>
      <c r="Z578" s="296" t="s">
        <v>183</v>
      </c>
      <c r="AA578" s="296" t="s">
        <v>183</v>
      </c>
      <c r="AB578" s="296" t="s">
        <v>183</v>
      </c>
      <c r="AC578" s="296" t="s">
        <v>4834</v>
      </c>
      <c r="AD578" s="296" t="s">
        <v>4835</v>
      </c>
      <c r="AE578" s="296" t="s">
        <v>192</v>
      </c>
      <c r="AF578" s="296" t="s">
        <v>193</v>
      </c>
      <c r="AG578" s="296">
        <v>0</v>
      </c>
      <c r="AH578" s="298">
        <v>45999</v>
      </c>
      <c r="AJ578" s="296" t="s">
        <v>194</v>
      </c>
      <c r="AK578" s="299">
        <f>COUNTIF($A$3:A$917,A578)</f>
        <v>1</v>
      </c>
    </row>
    <row r="579" spans="1:37" x14ac:dyDescent="0.25">
      <c r="A579" s="296">
        <v>3101495573</v>
      </c>
      <c r="B579" s="296" t="s">
        <v>2832</v>
      </c>
      <c r="C579" s="296" t="s">
        <v>2833</v>
      </c>
      <c r="D579" s="296" t="s">
        <v>2834</v>
      </c>
      <c r="E579" s="296" t="s">
        <v>172</v>
      </c>
      <c r="F579" s="296" t="s">
        <v>2835</v>
      </c>
      <c r="G579" s="296" t="s">
        <v>183</v>
      </c>
      <c r="H579" s="296" t="s">
        <v>2836</v>
      </c>
      <c r="I579" s="296" t="s">
        <v>4412</v>
      </c>
      <c r="J579" s="296" t="s">
        <v>4836</v>
      </c>
      <c r="K579" s="296" t="s">
        <v>2838</v>
      </c>
      <c r="L579" s="296" t="s">
        <v>2832</v>
      </c>
      <c r="M579" s="296" t="s">
        <v>179</v>
      </c>
      <c r="N579" s="296" t="s">
        <v>2835</v>
      </c>
      <c r="O579" s="296" t="s">
        <v>2839</v>
      </c>
      <c r="P579" s="296" t="s">
        <v>2836</v>
      </c>
      <c r="Q579" s="296" t="s">
        <v>183</v>
      </c>
      <c r="R579" s="296" t="s">
        <v>2840</v>
      </c>
      <c r="S579" s="296" t="s">
        <v>185</v>
      </c>
      <c r="T579" s="296" t="s">
        <v>185</v>
      </c>
      <c r="U579" s="296" t="s">
        <v>186</v>
      </c>
      <c r="V579" s="296" t="s">
        <v>187</v>
      </c>
      <c r="W579" s="296" t="s">
        <v>188</v>
      </c>
      <c r="X579" s="296" t="s">
        <v>256</v>
      </c>
      <c r="Y579" s="296" t="s">
        <v>183</v>
      </c>
      <c r="Z579" s="296" t="s">
        <v>183</v>
      </c>
      <c r="AA579" s="296" t="s">
        <v>183</v>
      </c>
      <c r="AB579" s="296" t="s">
        <v>183</v>
      </c>
      <c r="AC579" s="296" t="s">
        <v>2841</v>
      </c>
      <c r="AD579" s="296" t="s">
        <v>4837</v>
      </c>
      <c r="AE579" s="296" t="s">
        <v>192</v>
      </c>
      <c r="AF579" s="296" t="s">
        <v>193</v>
      </c>
      <c r="AG579" s="296">
        <v>0</v>
      </c>
      <c r="AH579" s="298">
        <v>44246</v>
      </c>
      <c r="AJ579" s="296" t="s">
        <v>194</v>
      </c>
      <c r="AK579" s="299">
        <f>COUNTIF($A$3:A$917,A579)</f>
        <v>3</v>
      </c>
    </row>
    <row r="580" spans="1:37" x14ac:dyDescent="0.25">
      <c r="A580" s="296">
        <v>3101469529</v>
      </c>
      <c r="B580" s="296" t="s">
        <v>4838</v>
      </c>
      <c r="C580" s="296" t="s">
        <v>183</v>
      </c>
      <c r="D580" s="296" t="s">
        <v>183</v>
      </c>
      <c r="E580" s="296" t="s">
        <v>183</v>
      </c>
      <c r="F580" s="296" t="s">
        <v>4839</v>
      </c>
      <c r="G580" s="296" t="s">
        <v>4840</v>
      </c>
      <c r="H580" s="296" t="s">
        <v>4841</v>
      </c>
      <c r="I580" s="296" t="s">
        <v>4412</v>
      </c>
      <c r="J580" s="296" t="s">
        <v>4842</v>
      </c>
      <c r="K580" s="296" t="s">
        <v>4843</v>
      </c>
      <c r="L580" s="296" t="s">
        <v>4844</v>
      </c>
      <c r="M580" s="296" t="s">
        <v>179</v>
      </c>
      <c r="N580" s="296" t="s">
        <v>437</v>
      </c>
      <c r="O580" s="296" t="s">
        <v>183</v>
      </c>
      <c r="P580" s="296" t="s">
        <v>4845</v>
      </c>
      <c r="Q580" s="296" t="s">
        <v>183</v>
      </c>
      <c r="R580" s="296" t="s">
        <v>4846</v>
      </c>
      <c r="S580" s="296" t="s">
        <v>185</v>
      </c>
      <c r="T580" s="296" t="s">
        <v>185</v>
      </c>
      <c r="U580" s="296" t="s">
        <v>186</v>
      </c>
      <c r="V580" s="296" t="s">
        <v>187</v>
      </c>
      <c r="W580" s="296" t="s">
        <v>188</v>
      </c>
      <c r="X580" s="296" t="s">
        <v>224</v>
      </c>
      <c r="Y580" s="296" t="s">
        <v>183</v>
      </c>
      <c r="Z580" s="296" t="s">
        <v>183</v>
      </c>
      <c r="AA580" s="296" t="s">
        <v>183</v>
      </c>
      <c r="AB580" s="296" t="s">
        <v>183</v>
      </c>
      <c r="AC580" s="296" t="s">
        <v>4847</v>
      </c>
      <c r="AD580" s="296" t="s">
        <v>4848</v>
      </c>
      <c r="AE580" s="296" t="s">
        <v>192</v>
      </c>
      <c r="AF580" s="296" t="s">
        <v>193</v>
      </c>
      <c r="AG580" s="296">
        <v>0</v>
      </c>
      <c r="AH580" s="298">
        <v>45932</v>
      </c>
      <c r="AJ580" s="296" t="s">
        <v>194</v>
      </c>
      <c r="AK580" s="299">
        <f>COUNTIF($A$3:A$917,A580)</f>
        <v>2</v>
      </c>
    </row>
    <row r="581" spans="1:37" x14ac:dyDescent="0.25">
      <c r="A581" s="296">
        <v>503490540</v>
      </c>
      <c r="B581" s="296" t="s">
        <v>4849</v>
      </c>
      <c r="C581" s="296" t="s">
        <v>183</v>
      </c>
      <c r="D581" s="296" t="s">
        <v>183</v>
      </c>
      <c r="E581" s="296" t="s">
        <v>183</v>
      </c>
      <c r="F581" s="296" t="s">
        <v>4850</v>
      </c>
      <c r="G581" s="296" t="s">
        <v>183</v>
      </c>
      <c r="H581" s="296" t="s">
        <v>4851</v>
      </c>
      <c r="I581" s="296" t="s">
        <v>4412</v>
      </c>
      <c r="J581" s="296" t="s">
        <v>4852</v>
      </c>
      <c r="K581" s="296" t="s">
        <v>4853</v>
      </c>
      <c r="L581" s="296" t="s">
        <v>4854</v>
      </c>
      <c r="M581" s="296" t="s">
        <v>179</v>
      </c>
      <c r="N581" s="296" t="s">
        <v>4855</v>
      </c>
      <c r="O581" s="296" t="s">
        <v>4856</v>
      </c>
      <c r="P581" s="296" t="s">
        <v>4857</v>
      </c>
      <c r="Q581" s="296" t="s">
        <v>183</v>
      </c>
      <c r="R581" s="296" t="s">
        <v>4858</v>
      </c>
      <c r="S581" s="296" t="s">
        <v>185</v>
      </c>
      <c r="T581" s="296" t="s">
        <v>185</v>
      </c>
      <c r="U581" s="296" t="s">
        <v>186</v>
      </c>
      <c r="V581" s="296" t="s">
        <v>187</v>
      </c>
      <c r="W581" s="296" t="s">
        <v>188</v>
      </c>
      <c r="X581" s="296" t="s">
        <v>308</v>
      </c>
      <c r="Y581" s="296" t="s">
        <v>183</v>
      </c>
      <c r="Z581" s="296" t="s">
        <v>183</v>
      </c>
      <c r="AA581" s="296" t="s">
        <v>183</v>
      </c>
      <c r="AB581" s="296" t="s">
        <v>183</v>
      </c>
      <c r="AC581" s="296" t="s">
        <v>4859</v>
      </c>
      <c r="AD581" s="296" t="s">
        <v>4860</v>
      </c>
      <c r="AE581" s="296" t="s">
        <v>192</v>
      </c>
      <c r="AF581" s="296" t="s">
        <v>193</v>
      </c>
      <c r="AG581" s="296">
        <v>0</v>
      </c>
      <c r="AH581" s="298">
        <v>44293</v>
      </c>
      <c r="AJ581" s="296" t="s">
        <v>194</v>
      </c>
      <c r="AK581" s="299">
        <f>COUNTIF($A$3:A$917,A581)</f>
        <v>1</v>
      </c>
    </row>
    <row r="582" spans="1:37" x14ac:dyDescent="0.25">
      <c r="A582" s="296">
        <v>3102918207</v>
      </c>
      <c r="B582" s="296" t="s">
        <v>4861</v>
      </c>
      <c r="C582" s="296" t="s">
        <v>4862</v>
      </c>
      <c r="D582" s="296" t="s">
        <v>4863</v>
      </c>
      <c r="E582" s="296" t="s">
        <v>172</v>
      </c>
      <c r="F582" s="296" t="s">
        <v>4864</v>
      </c>
      <c r="G582" s="296" t="s">
        <v>4865</v>
      </c>
      <c r="H582" s="296" t="s">
        <v>4866</v>
      </c>
      <c r="I582" s="296" t="s">
        <v>4412</v>
      </c>
      <c r="J582" s="296" t="s">
        <v>4867</v>
      </c>
      <c r="K582" s="296" t="s">
        <v>2060</v>
      </c>
      <c r="L582" s="296" t="s">
        <v>2061</v>
      </c>
      <c r="M582" s="296" t="s">
        <v>179</v>
      </c>
      <c r="N582" s="296" t="s">
        <v>2062</v>
      </c>
      <c r="O582" s="296" t="s">
        <v>183</v>
      </c>
      <c r="P582" s="296" t="s">
        <v>2063</v>
      </c>
      <c r="Q582" s="296" t="s">
        <v>183</v>
      </c>
      <c r="R582" s="296" t="s">
        <v>2064</v>
      </c>
      <c r="S582" s="296" t="s">
        <v>185</v>
      </c>
      <c r="T582" s="296" t="s">
        <v>185</v>
      </c>
      <c r="U582" s="296" t="s">
        <v>186</v>
      </c>
      <c r="V582" s="296" t="s">
        <v>187</v>
      </c>
      <c r="W582" s="296" t="s">
        <v>188</v>
      </c>
      <c r="X582" s="296" t="s">
        <v>189</v>
      </c>
      <c r="Y582" s="296" t="s">
        <v>183</v>
      </c>
      <c r="Z582" s="296" t="s">
        <v>183</v>
      </c>
      <c r="AA582" s="296" t="s">
        <v>183</v>
      </c>
      <c r="AB582" s="296" t="s">
        <v>183</v>
      </c>
      <c r="AC582" s="296" t="s">
        <v>2065</v>
      </c>
      <c r="AD582" s="296" t="s">
        <v>4868</v>
      </c>
      <c r="AE582" s="296" t="s">
        <v>192</v>
      </c>
      <c r="AF582" s="296" t="s">
        <v>193</v>
      </c>
      <c r="AG582" s="296">
        <v>0</v>
      </c>
      <c r="AH582" s="298">
        <v>45842</v>
      </c>
      <c r="AJ582" s="296" t="s">
        <v>194</v>
      </c>
      <c r="AK582" s="299">
        <f>COUNTIF($A$3:A$917,A582)</f>
        <v>1</v>
      </c>
    </row>
    <row r="583" spans="1:37" x14ac:dyDescent="0.25">
      <c r="A583" s="296">
        <v>503330757</v>
      </c>
      <c r="B583" s="296" t="s">
        <v>4869</v>
      </c>
      <c r="C583" s="296" t="s">
        <v>183</v>
      </c>
      <c r="D583" s="296" t="s">
        <v>183</v>
      </c>
      <c r="E583" s="296" t="s">
        <v>183</v>
      </c>
      <c r="F583" s="296" t="s">
        <v>4870</v>
      </c>
      <c r="G583" s="296" t="s">
        <v>4870</v>
      </c>
      <c r="H583" s="296" t="s">
        <v>4871</v>
      </c>
      <c r="I583" s="296" t="s">
        <v>4412</v>
      </c>
      <c r="J583" s="296" t="s">
        <v>4872</v>
      </c>
      <c r="K583" s="296" t="s">
        <v>4873</v>
      </c>
      <c r="L583" s="296" t="s">
        <v>4869</v>
      </c>
      <c r="M583" s="296" t="s">
        <v>179</v>
      </c>
      <c r="N583" s="296" t="s">
        <v>4870</v>
      </c>
      <c r="O583" s="296" t="s">
        <v>4870</v>
      </c>
      <c r="P583" s="296" t="s">
        <v>4871</v>
      </c>
      <c r="Q583" s="296" t="s">
        <v>183</v>
      </c>
      <c r="R583" s="296" t="s">
        <v>4874</v>
      </c>
      <c r="S583" s="296" t="s">
        <v>185</v>
      </c>
      <c r="T583" s="296" t="s">
        <v>185</v>
      </c>
      <c r="U583" s="296" t="s">
        <v>186</v>
      </c>
      <c r="V583" s="296" t="s">
        <v>187</v>
      </c>
      <c r="W583" s="296" t="s">
        <v>188</v>
      </c>
      <c r="X583" s="296" t="s">
        <v>256</v>
      </c>
      <c r="Y583" s="296" t="s">
        <v>183</v>
      </c>
      <c r="Z583" s="296" t="s">
        <v>183</v>
      </c>
      <c r="AA583" s="296" t="s">
        <v>183</v>
      </c>
      <c r="AB583" s="296" t="s">
        <v>183</v>
      </c>
      <c r="AC583" s="296" t="s">
        <v>4875</v>
      </c>
      <c r="AD583" s="296" t="s">
        <v>4876</v>
      </c>
      <c r="AE583" s="296" t="s">
        <v>192</v>
      </c>
      <c r="AF583" s="296" t="s">
        <v>193</v>
      </c>
      <c r="AG583" s="296">
        <v>0</v>
      </c>
      <c r="AH583" s="298">
        <v>45903</v>
      </c>
      <c r="AJ583" s="296" t="s">
        <v>194</v>
      </c>
      <c r="AK583" s="299">
        <f>COUNTIF($A$3:A$917,A583)</f>
        <v>4</v>
      </c>
    </row>
    <row r="584" spans="1:37" x14ac:dyDescent="0.25">
      <c r="A584" s="296">
        <v>602360287</v>
      </c>
      <c r="B584" s="296" t="s">
        <v>2659</v>
      </c>
      <c r="C584" s="296" t="s">
        <v>183</v>
      </c>
      <c r="D584" s="296" t="s">
        <v>183</v>
      </c>
      <c r="E584" s="296" t="s">
        <v>183</v>
      </c>
      <c r="F584" s="296" t="s">
        <v>2660</v>
      </c>
      <c r="G584" s="296" t="s">
        <v>2660</v>
      </c>
      <c r="H584" s="296" t="s">
        <v>2661</v>
      </c>
      <c r="I584" s="296" t="s">
        <v>4412</v>
      </c>
      <c r="J584" s="296" t="s">
        <v>2662</v>
      </c>
      <c r="K584" s="296" t="s">
        <v>2663</v>
      </c>
      <c r="L584" s="296" t="s">
        <v>2659</v>
      </c>
      <c r="M584" s="296" t="s">
        <v>179</v>
      </c>
      <c r="N584" s="296" t="s">
        <v>2660</v>
      </c>
      <c r="O584" s="296" t="s">
        <v>2660</v>
      </c>
      <c r="P584" s="296" t="s">
        <v>2661</v>
      </c>
      <c r="Q584" s="296" t="s">
        <v>183</v>
      </c>
      <c r="R584" s="296" t="s">
        <v>2664</v>
      </c>
      <c r="S584" s="296" t="s">
        <v>185</v>
      </c>
      <c r="T584" s="296" t="s">
        <v>185</v>
      </c>
      <c r="U584" s="296" t="s">
        <v>186</v>
      </c>
      <c r="V584" s="296" t="s">
        <v>187</v>
      </c>
      <c r="W584" s="296" t="s">
        <v>188</v>
      </c>
      <c r="X584" s="296" t="s">
        <v>246</v>
      </c>
      <c r="Y584" s="296" t="s">
        <v>183</v>
      </c>
      <c r="Z584" s="296" t="s">
        <v>183</v>
      </c>
      <c r="AA584" s="296" t="s">
        <v>183</v>
      </c>
      <c r="AB584" s="296" t="s">
        <v>183</v>
      </c>
      <c r="AC584" s="296" t="s">
        <v>2665</v>
      </c>
      <c r="AD584" s="296" t="s">
        <v>4877</v>
      </c>
      <c r="AE584" s="296" t="s">
        <v>192</v>
      </c>
      <c r="AF584" s="296" t="s">
        <v>193</v>
      </c>
      <c r="AG584" s="296">
        <v>0</v>
      </c>
      <c r="AH584" s="298">
        <v>45345</v>
      </c>
      <c r="AJ584" s="296" t="s">
        <v>194</v>
      </c>
      <c r="AK584" s="299">
        <f>COUNTIF($A$3:A$917,A584)</f>
        <v>2</v>
      </c>
    </row>
    <row r="585" spans="1:37" x14ac:dyDescent="0.25">
      <c r="A585" s="296">
        <v>204290312</v>
      </c>
      <c r="B585" s="296" t="s">
        <v>2907</v>
      </c>
      <c r="C585" s="296" t="s">
        <v>183</v>
      </c>
      <c r="D585" s="296" t="s">
        <v>183</v>
      </c>
      <c r="E585" s="296" t="s">
        <v>183</v>
      </c>
      <c r="F585" s="296" t="s">
        <v>2908</v>
      </c>
      <c r="G585" s="296" t="s">
        <v>2908</v>
      </c>
      <c r="H585" s="296" t="s">
        <v>2909</v>
      </c>
      <c r="I585" s="296" t="s">
        <v>4412</v>
      </c>
      <c r="J585" s="296" t="s">
        <v>4878</v>
      </c>
      <c r="K585" s="296" t="s">
        <v>2911</v>
      </c>
      <c r="L585" s="296" t="s">
        <v>2912</v>
      </c>
      <c r="M585" s="296" t="s">
        <v>179</v>
      </c>
      <c r="N585" s="296" t="s">
        <v>2913</v>
      </c>
      <c r="O585" s="296" t="s">
        <v>183</v>
      </c>
      <c r="P585" s="296" t="s">
        <v>2914</v>
      </c>
      <c r="Q585" s="296" t="s">
        <v>183</v>
      </c>
      <c r="R585" s="296" t="s">
        <v>2915</v>
      </c>
      <c r="S585" s="296" t="s">
        <v>185</v>
      </c>
      <c r="T585" s="296" t="s">
        <v>185</v>
      </c>
      <c r="U585" s="296" t="s">
        <v>186</v>
      </c>
      <c r="V585" s="296" t="s">
        <v>187</v>
      </c>
      <c r="W585" s="296" t="s">
        <v>188</v>
      </c>
      <c r="X585" s="296" t="s">
        <v>256</v>
      </c>
      <c r="Y585" s="296" t="s">
        <v>183</v>
      </c>
      <c r="Z585" s="296" t="s">
        <v>183</v>
      </c>
      <c r="AA585" s="296" t="s">
        <v>183</v>
      </c>
      <c r="AB585" s="296" t="s">
        <v>183</v>
      </c>
      <c r="AC585" s="296" t="s">
        <v>2916</v>
      </c>
      <c r="AD585" s="296" t="s">
        <v>4879</v>
      </c>
      <c r="AE585" s="296" t="s">
        <v>192</v>
      </c>
      <c r="AF585" s="296" t="s">
        <v>193</v>
      </c>
      <c r="AG585" s="296">
        <v>0</v>
      </c>
      <c r="AH585" s="298">
        <v>44985</v>
      </c>
      <c r="AJ585" s="296" t="s">
        <v>194</v>
      </c>
      <c r="AK585" s="299">
        <f>COUNTIF($A$3:A$917,A585)</f>
        <v>2</v>
      </c>
    </row>
    <row r="586" spans="1:37" x14ac:dyDescent="0.25">
      <c r="A586" s="296">
        <v>504050396</v>
      </c>
      <c r="B586" s="296" t="s">
        <v>1253</v>
      </c>
      <c r="C586" s="296" t="s">
        <v>183</v>
      </c>
      <c r="D586" s="296" t="s">
        <v>183</v>
      </c>
      <c r="E586" s="296" t="s">
        <v>183</v>
      </c>
      <c r="F586" s="296" t="s">
        <v>1254</v>
      </c>
      <c r="G586" s="296" t="s">
        <v>183</v>
      </c>
      <c r="H586" s="296" t="s">
        <v>1255</v>
      </c>
      <c r="I586" s="296" t="s">
        <v>4412</v>
      </c>
      <c r="J586" s="296" t="s">
        <v>1256</v>
      </c>
      <c r="K586" s="296" t="s">
        <v>1257</v>
      </c>
      <c r="L586" s="296" t="s">
        <v>1258</v>
      </c>
      <c r="M586" s="296" t="s">
        <v>179</v>
      </c>
      <c r="N586" s="296" t="s">
        <v>1259</v>
      </c>
      <c r="O586" s="296" t="s">
        <v>278</v>
      </c>
      <c r="P586" s="296" t="s">
        <v>1260</v>
      </c>
      <c r="Q586" s="296" t="s">
        <v>183</v>
      </c>
      <c r="R586" s="296" t="s">
        <v>1261</v>
      </c>
      <c r="S586" s="296" t="s">
        <v>185</v>
      </c>
      <c r="T586" s="296" t="s">
        <v>185</v>
      </c>
      <c r="U586" s="296" t="s">
        <v>186</v>
      </c>
      <c r="V586" s="296" t="s">
        <v>187</v>
      </c>
      <c r="W586" s="296" t="s">
        <v>188</v>
      </c>
      <c r="X586" s="296" t="s">
        <v>189</v>
      </c>
      <c r="Y586" s="296" t="s">
        <v>183</v>
      </c>
      <c r="Z586" s="296" t="s">
        <v>183</v>
      </c>
      <c r="AA586" s="296" t="s">
        <v>183</v>
      </c>
      <c r="AB586" s="296" t="s">
        <v>183</v>
      </c>
      <c r="AC586" s="296" t="s">
        <v>1262</v>
      </c>
      <c r="AD586" s="296" t="s">
        <v>4880</v>
      </c>
      <c r="AE586" s="296" t="s">
        <v>192</v>
      </c>
      <c r="AF586" s="296" t="s">
        <v>193</v>
      </c>
      <c r="AG586" s="296">
        <v>0</v>
      </c>
      <c r="AH586" s="298">
        <v>45702</v>
      </c>
      <c r="AJ586" s="296" t="s">
        <v>194</v>
      </c>
      <c r="AK586" s="299">
        <f>COUNTIF($A$3:A$917,A586)</f>
        <v>3</v>
      </c>
    </row>
    <row r="587" spans="1:37" x14ac:dyDescent="0.25">
      <c r="A587" s="296">
        <v>504050268</v>
      </c>
      <c r="B587" s="296" t="s">
        <v>4881</v>
      </c>
      <c r="C587" s="296" t="s">
        <v>183</v>
      </c>
      <c r="D587" s="296" t="s">
        <v>183</v>
      </c>
      <c r="E587" s="296" t="s">
        <v>183</v>
      </c>
      <c r="F587" s="296" t="s">
        <v>4882</v>
      </c>
      <c r="G587" s="296" t="s">
        <v>4882</v>
      </c>
      <c r="H587" s="296" t="s">
        <v>4883</v>
      </c>
      <c r="I587" s="296" t="s">
        <v>4412</v>
      </c>
      <c r="J587" s="296" t="s">
        <v>4884</v>
      </c>
      <c r="K587" s="296" t="s">
        <v>4885</v>
      </c>
      <c r="L587" s="296" t="s">
        <v>4886</v>
      </c>
      <c r="M587" s="296" t="s">
        <v>179</v>
      </c>
      <c r="N587" s="296" t="s">
        <v>4887</v>
      </c>
      <c r="O587" s="296" t="s">
        <v>183</v>
      </c>
      <c r="P587" s="296" t="s">
        <v>4888</v>
      </c>
      <c r="Q587" s="296" t="s">
        <v>183</v>
      </c>
      <c r="R587" s="296" t="s">
        <v>4889</v>
      </c>
      <c r="S587" s="296" t="s">
        <v>185</v>
      </c>
      <c r="T587" s="296" t="s">
        <v>185</v>
      </c>
      <c r="U587" s="296" t="s">
        <v>186</v>
      </c>
      <c r="V587" s="296" t="s">
        <v>187</v>
      </c>
      <c r="W587" s="296" t="s">
        <v>188</v>
      </c>
      <c r="X587" s="296" t="s">
        <v>224</v>
      </c>
      <c r="Y587" s="296" t="s">
        <v>183</v>
      </c>
      <c r="Z587" s="296" t="s">
        <v>183</v>
      </c>
      <c r="AA587" s="296" t="s">
        <v>183</v>
      </c>
      <c r="AB587" s="296" t="s">
        <v>183</v>
      </c>
      <c r="AC587" s="296" t="s">
        <v>4890</v>
      </c>
      <c r="AD587" s="296" t="s">
        <v>4891</v>
      </c>
      <c r="AE587" s="296" t="s">
        <v>192</v>
      </c>
      <c r="AF587" s="296" t="s">
        <v>193</v>
      </c>
      <c r="AG587" s="296">
        <v>0</v>
      </c>
      <c r="AH587" s="298">
        <v>45156</v>
      </c>
      <c r="AJ587" s="296" t="s">
        <v>194</v>
      </c>
      <c r="AK587" s="299">
        <f>COUNTIF($A$3:A$917,A587)</f>
        <v>1</v>
      </c>
    </row>
    <row r="588" spans="1:37" x14ac:dyDescent="0.25">
      <c r="A588" s="296">
        <v>207460832</v>
      </c>
      <c r="B588" s="296" t="s">
        <v>4892</v>
      </c>
      <c r="C588" s="296" t="s">
        <v>183</v>
      </c>
      <c r="D588" s="296" t="s">
        <v>183</v>
      </c>
      <c r="E588" s="296" t="s">
        <v>183</v>
      </c>
      <c r="F588" s="296" t="s">
        <v>4893</v>
      </c>
      <c r="G588" s="296" t="s">
        <v>4893</v>
      </c>
      <c r="H588" s="296" t="s">
        <v>4894</v>
      </c>
      <c r="I588" s="296" t="s">
        <v>4412</v>
      </c>
      <c r="J588" s="296" t="s">
        <v>4895</v>
      </c>
      <c r="K588" s="296" t="s">
        <v>4896</v>
      </c>
      <c r="L588" s="296" t="s">
        <v>4897</v>
      </c>
      <c r="M588" s="296" t="s">
        <v>179</v>
      </c>
      <c r="N588" s="296" t="s">
        <v>4898</v>
      </c>
      <c r="O588" s="296" t="s">
        <v>4898</v>
      </c>
      <c r="P588" s="296" t="s">
        <v>4894</v>
      </c>
      <c r="Q588" s="296" t="s">
        <v>183</v>
      </c>
      <c r="R588" s="296" t="s">
        <v>4899</v>
      </c>
      <c r="S588" s="296" t="s">
        <v>185</v>
      </c>
      <c r="T588" s="296" t="s">
        <v>185</v>
      </c>
      <c r="U588" s="296" t="s">
        <v>186</v>
      </c>
      <c r="V588" s="296" t="s">
        <v>187</v>
      </c>
      <c r="W588" s="296" t="s">
        <v>188</v>
      </c>
      <c r="X588" s="296" t="s">
        <v>573</v>
      </c>
      <c r="Y588" s="296" t="s">
        <v>183</v>
      </c>
      <c r="Z588" s="296" t="s">
        <v>183</v>
      </c>
      <c r="AA588" s="296" t="s">
        <v>183</v>
      </c>
      <c r="AB588" s="296" t="s">
        <v>183</v>
      </c>
      <c r="AC588" s="296" t="s">
        <v>4900</v>
      </c>
      <c r="AD588" s="296" t="s">
        <v>4901</v>
      </c>
      <c r="AE588" s="296" t="s">
        <v>192</v>
      </c>
      <c r="AF588" s="296" t="s">
        <v>193</v>
      </c>
      <c r="AG588" s="296">
        <v>0</v>
      </c>
      <c r="AH588" s="298">
        <v>45580</v>
      </c>
      <c r="AJ588" s="296" t="s">
        <v>194</v>
      </c>
      <c r="AK588" s="299">
        <f>COUNTIF($A$3:A$917,A588)</f>
        <v>1</v>
      </c>
    </row>
    <row r="589" spans="1:37" x14ac:dyDescent="0.25">
      <c r="A589" s="296">
        <v>119200906205</v>
      </c>
      <c r="B589" s="296" t="s">
        <v>4902</v>
      </c>
      <c r="C589" s="296" t="s">
        <v>183</v>
      </c>
      <c r="D589" s="296" t="s">
        <v>183</v>
      </c>
      <c r="E589" s="296" t="s">
        <v>183</v>
      </c>
      <c r="F589" s="296" t="s">
        <v>4903</v>
      </c>
      <c r="G589" s="296" t="s">
        <v>183</v>
      </c>
      <c r="H589" s="296" t="s">
        <v>4904</v>
      </c>
      <c r="I589" s="296" t="s">
        <v>4412</v>
      </c>
      <c r="J589" s="296" t="s">
        <v>4905</v>
      </c>
      <c r="K589" s="296" t="s">
        <v>4906</v>
      </c>
      <c r="L589" s="296" t="s">
        <v>4907</v>
      </c>
      <c r="M589" s="296" t="s">
        <v>179</v>
      </c>
      <c r="N589" s="296" t="s">
        <v>4908</v>
      </c>
      <c r="O589" s="296" t="s">
        <v>183</v>
      </c>
      <c r="P589" s="296" t="s">
        <v>4909</v>
      </c>
      <c r="Q589" s="296" t="s">
        <v>183</v>
      </c>
      <c r="R589" s="296" t="s">
        <v>4910</v>
      </c>
      <c r="S589" s="296" t="s">
        <v>185</v>
      </c>
      <c r="T589" s="296" t="s">
        <v>185</v>
      </c>
      <c r="U589" s="296" t="s">
        <v>186</v>
      </c>
      <c r="V589" s="296" t="s">
        <v>187</v>
      </c>
      <c r="W589" s="296" t="s">
        <v>188</v>
      </c>
      <c r="X589" s="296" t="s">
        <v>404</v>
      </c>
      <c r="Y589" s="296" t="s">
        <v>183</v>
      </c>
      <c r="Z589" s="296" t="s">
        <v>183</v>
      </c>
      <c r="AA589" s="296" t="s">
        <v>183</v>
      </c>
      <c r="AB589" s="296" t="s">
        <v>183</v>
      </c>
      <c r="AC589" s="296" t="s">
        <v>4911</v>
      </c>
      <c r="AD589" s="296" t="s">
        <v>4912</v>
      </c>
      <c r="AE589" s="296" t="s">
        <v>192</v>
      </c>
      <c r="AF589" s="296" t="s">
        <v>193</v>
      </c>
      <c r="AG589" s="296">
        <v>0</v>
      </c>
      <c r="AH589" s="298">
        <v>45870</v>
      </c>
      <c r="AJ589" s="296" t="s">
        <v>194</v>
      </c>
      <c r="AK589" s="299">
        <f>COUNTIF($A$3:A$917,A589)</f>
        <v>1</v>
      </c>
    </row>
    <row r="590" spans="1:37" x14ac:dyDescent="0.25">
      <c r="A590" s="296">
        <v>208370281</v>
      </c>
      <c r="B590" s="296" t="s">
        <v>4913</v>
      </c>
      <c r="C590" s="296" t="s">
        <v>183</v>
      </c>
      <c r="D590" s="296" t="s">
        <v>183</v>
      </c>
      <c r="E590" s="296" t="s">
        <v>183</v>
      </c>
      <c r="F590" s="296" t="s">
        <v>4914</v>
      </c>
      <c r="G590" s="296" t="s">
        <v>4914</v>
      </c>
      <c r="H590" s="296" t="s">
        <v>4915</v>
      </c>
      <c r="I590" s="296" t="s">
        <v>4916</v>
      </c>
      <c r="J590" s="296" t="s">
        <v>4917</v>
      </c>
      <c r="K590" s="296" t="s">
        <v>4918</v>
      </c>
      <c r="L590" s="296" t="s">
        <v>4919</v>
      </c>
      <c r="M590" s="296" t="s">
        <v>179</v>
      </c>
      <c r="N590" s="296" t="s">
        <v>4920</v>
      </c>
      <c r="O590" s="296" t="s">
        <v>183</v>
      </c>
      <c r="P590" s="296" t="s">
        <v>4921</v>
      </c>
      <c r="Q590" s="296" t="s">
        <v>183</v>
      </c>
      <c r="R590" s="296" t="s">
        <v>4922</v>
      </c>
      <c r="S590" s="296" t="s">
        <v>185</v>
      </c>
      <c r="T590" s="296" t="s">
        <v>185</v>
      </c>
      <c r="U590" s="296" t="s">
        <v>186</v>
      </c>
      <c r="V590" s="296" t="s">
        <v>187</v>
      </c>
      <c r="W590" s="296" t="s">
        <v>188</v>
      </c>
      <c r="X590" s="296" t="s">
        <v>189</v>
      </c>
      <c r="Y590" s="296" t="s">
        <v>183</v>
      </c>
      <c r="Z590" s="296" t="s">
        <v>183</v>
      </c>
      <c r="AA590" s="296" t="s">
        <v>183</v>
      </c>
      <c r="AB590" s="296" t="s">
        <v>183</v>
      </c>
      <c r="AC590" s="296" t="s">
        <v>4923</v>
      </c>
      <c r="AD590" s="296" t="s">
        <v>4924</v>
      </c>
      <c r="AE590" s="296" t="s">
        <v>192</v>
      </c>
      <c r="AF590" s="296" t="s">
        <v>193</v>
      </c>
      <c r="AG590" s="296">
        <v>0</v>
      </c>
      <c r="AH590" s="298">
        <v>44526</v>
      </c>
      <c r="AJ590" s="296" t="s">
        <v>194</v>
      </c>
      <c r="AK590" s="299">
        <f>COUNTIF($A$3:A$917,A590)</f>
        <v>1</v>
      </c>
    </row>
    <row r="591" spans="1:37" x14ac:dyDescent="0.25">
      <c r="A591" s="296">
        <v>184001907423</v>
      </c>
      <c r="B591" s="296" t="s">
        <v>4925</v>
      </c>
      <c r="C591" s="296" t="s">
        <v>183</v>
      </c>
      <c r="D591" s="296" t="s">
        <v>183</v>
      </c>
      <c r="E591" s="296" t="s">
        <v>183</v>
      </c>
      <c r="F591" s="296" t="s">
        <v>4926</v>
      </c>
      <c r="G591" s="296" t="s">
        <v>4926</v>
      </c>
      <c r="H591" s="296" t="s">
        <v>4927</v>
      </c>
      <c r="I591" s="296" t="s">
        <v>4916</v>
      </c>
      <c r="J591" s="296" t="s">
        <v>4928</v>
      </c>
      <c r="K591" s="296" t="s">
        <v>768</v>
      </c>
      <c r="L591" s="296" t="s">
        <v>769</v>
      </c>
      <c r="M591" s="296" t="s">
        <v>179</v>
      </c>
      <c r="N591" s="296" t="s">
        <v>770</v>
      </c>
      <c r="O591" s="296" t="s">
        <v>770</v>
      </c>
      <c r="P591" s="296" t="s">
        <v>771</v>
      </c>
      <c r="Q591" s="296" t="s">
        <v>183</v>
      </c>
      <c r="R591" s="296" t="s">
        <v>772</v>
      </c>
      <c r="S591" s="296" t="s">
        <v>185</v>
      </c>
      <c r="T591" s="296" t="s">
        <v>185</v>
      </c>
      <c r="U591" s="296" t="s">
        <v>186</v>
      </c>
      <c r="V591" s="296" t="s">
        <v>187</v>
      </c>
      <c r="W591" s="296" t="s">
        <v>188</v>
      </c>
      <c r="X591" s="296" t="s">
        <v>256</v>
      </c>
      <c r="Y591" s="296" t="s">
        <v>183</v>
      </c>
      <c r="Z591" s="296" t="s">
        <v>183</v>
      </c>
      <c r="AA591" s="296" t="s">
        <v>183</v>
      </c>
      <c r="AB591" s="296" t="s">
        <v>183</v>
      </c>
      <c r="AC591" s="296" t="s">
        <v>773</v>
      </c>
      <c r="AD591" s="296" t="s">
        <v>4929</v>
      </c>
      <c r="AE591" s="296" t="s">
        <v>192</v>
      </c>
      <c r="AF591" s="296" t="s">
        <v>193</v>
      </c>
      <c r="AG591" s="296">
        <v>0</v>
      </c>
      <c r="AH591" s="298">
        <v>45965</v>
      </c>
      <c r="AJ591" s="296" t="s">
        <v>194</v>
      </c>
      <c r="AK591" s="299">
        <f>COUNTIF($A$3:A$917,A591)</f>
        <v>1</v>
      </c>
    </row>
    <row r="592" spans="1:37" x14ac:dyDescent="0.25">
      <c r="A592" s="296">
        <v>504050140</v>
      </c>
      <c r="B592" s="296" t="s">
        <v>4930</v>
      </c>
      <c r="C592" s="296" t="s">
        <v>183</v>
      </c>
      <c r="D592" s="296" t="s">
        <v>183</v>
      </c>
      <c r="E592" s="296" t="s">
        <v>183</v>
      </c>
      <c r="F592" s="296" t="s">
        <v>4931</v>
      </c>
      <c r="G592" s="296" t="s">
        <v>183</v>
      </c>
      <c r="H592" s="296" t="s">
        <v>4932</v>
      </c>
      <c r="I592" s="296" t="s">
        <v>4916</v>
      </c>
      <c r="J592" s="296" t="s">
        <v>4933</v>
      </c>
      <c r="K592" s="296" t="s">
        <v>4229</v>
      </c>
      <c r="L592" s="296" t="s">
        <v>4230</v>
      </c>
      <c r="M592" s="296" t="s">
        <v>179</v>
      </c>
      <c r="N592" s="296" t="s">
        <v>4231</v>
      </c>
      <c r="O592" s="296" t="s">
        <v>4232</v>
      </c>
      <c r="P592" s="296" t="s">
        <v>4233</v>
      </c>
      <c r="Q592" s="296" t="s">
        <v>183</v>
      </c>
      <c r="R592" s="296" t="s">
        <v>4934</v>
      </c>
      <c r="S592" s="296" t="s">
        <v>185</v>
      </c>
      <c r="T592" s="296" t="s">
        <v>185</v>
      </c>
      <c r="U592" s="296" t="s">
        <v>186</v>
      </c>
      <c r="V592" s="296" t="s">
        <v>187</v>
      </c>
      <c r="W592" s="296" t="s">
        <v>188</v>
      </c>
      <c r="X592" s="296" t="s">
        <v>404</v>
      </c>
      <c r="Y592" s="296" t="s">
        <v>183</v>
      </c>
      <c r="Z592" s="296" t="s">
        <v>183</v>
      </c>
      <c r="AA592" s="296" t="s">
        <v>183</v>
      </c>
      <c r="AB592" s="296" t="s">
        <v>183</v>
      </c>
      <c r="AC592" s="296" t="s">
        <v>4935</v>
      </c>
      <c r="AD592" s="296" t="s">
        <v>4936</v>
      </c>
      <c r="AE592" s="296" t="s">
        <v>192</v>
      </c>
      <c r="AF592" s="296" t="s">
        <v>193</v>
      </c>
      <c r="AG592" s="296">
        <v>0</v>
      </c>
      <c r="AH592" s="298">
        <v>45358</v>
      </c>
      <c r="AJ592" s="296" t="s">
        <v>194</v>
      </c>
      <c r="AK592" s="299">
        <f>COUNTIF($A$3:A$917,A592)</f>
        <v>1</v>
      </c>
    </row>
    <row r="593" spans="1:37" x14ac:dyDescent="0.25">
      <c r="A593" s="296">
        <v>3102894873</v>
      </c>
      <c r="B593" s="296" t="s">
        <v>4937</v>
      </c>
      <c r="C593" s="296" t="s">
        <v>4938</v>
      </c>
      <c r="D593" s="296" t="s">
        <v>4939</v>
      </c>
      <c r="E593" s="296" t="s">
        <v>172</v>
      </c>
      <c r="F593" s="296" t="s">
        <v>4940</v>
      </c>
      <c r="G593" s="296" t="s">
        <v>4941</v>
      </c>
      <c r="H593" s="296" t="s">
        <v>4942</v>
      </c>
      <c r="I593" s="296" t="s">
        <v>4916</v>
      </c>
      <c r="J593" s="296" t="s">
        <v>4943</v>
      </c>
      <c r="K593" s="296" t="s">
        <v>4944</v>
      </c>
      <c r="L593" s="296" t="s">
        <v>4945</v>
      </c>
      <c r="M593" s="296" t="s">
        <v>179</v>
      </c>
      <c r="N593" s="296" t="s">
        <v>4946</v>
      </c>
      <c r="O593" s="296" t="s">
        <v>4946</v>
      </c>
      <c r="P593" s="296" t="s">
        <v>4947</v>
      </c>
      <c r="Q593" s="296" t="s">
        <v>183</v>
      </c>
      <c r="R593" s="296" t="s">
        <v>4948</v>
      </c>
      <c r="S593" s="296" t="s">
        <v>185</v>
      </c>
      <c r="T593" s="296" t="s">
        <v>185</v>
      </c>
      <c r="U593" s="296" t="s">
        <v>186</v>
      </c>
      <c r="V593" s="296" t="s">
        <v>187</v>
      </c>
      <c r="W593" s="296" t="s">
        <v>188</v>
      </c>
      <c r="X593" s="296" t="s">
        <v>189</v>
      </c>
      <c r="Y593" s="296" t="s">
        <v>183</v>
      </c>
      <c r="Z593" s="296" t="s">
        <v>183</v>
      </c>
      <c r="AA593" s="296" t="s">
        <v>183</v>
      </c>
      <c r="AB593" s="296" t="s">
        <v>183</v>
      </c>
      <c r="AC593" s="296" t="s">
        <v>4949</v>
      </c>
      <c r="AD593" s="296" t="s">
        <v>4950</v>
      </c>
      <c r="AE593" s="296" t="s">
        <v>192</v>
      </c>
      <c r="AF593" s="296" t="s">
        <v>193</v>
      </c>
      <c r="AG593" s="296">
        <v>0</v>
      </c>
      <c r="AH593" s="298">
        <v>45399</v>
      </c>
      <c r="AJ593" s="296" t="s">
        <v>194</v>
      </c>
      <c r="AK593" s="299">
        <f>COUNTIF($A$3:A$917,A593)</f>
        <v>2</v>
      </c>
    </row>
    <row r="594" spans="1:37" x14ac:dyDescent="0.25">
      <c r="A594" s="296">
        <v>503830907</v>
      </c>
      <c r="B594" s="296" t="s">
        <v>4951</v>
      </c>
      <c r="C594" s="296" t="s">
        <v>183</v>
      </c>
      <c r="D594" s="296" t="s">
        <v>183</v>
      </c>
      <c r="E594" s="296" t="s">
        <v>183</v>
      </c>
      <c r="F594" s="296" t="s">
        <v>4952</v>
      </c>
      <c r="G594" s="296" t="s">
        <v>183</v>
      </c>
      <c r="H594" s="296" t="s">
        <v>4953</v>
      </c>
      <c r="I594" s="296" t="s">
        <v>4916</v>
      </c>
      <c r="J594" s="296" t="s">
        <v>4954</v>
      </c>
      <c r="K594" s="296" t="s">
        <v>4955</v>
      </c>
      <c r="L594" s="296" t="s">
        <v>4951</v>
      </c>
      <c r="M594" s="296" t="s">
        <v>179</v>
      </c>
      <c r="N594" s="296" t="s">
        <v>4952</v>
      </c>
      <c r="O594" s="296" t="s">
        <v>183</v>
      </c>
      <c r="P594" s="296" t="s">
        <v>4953</v>
      </c>
      <c r="Q594" s="296" t="s">
        <v>183</v>
      </c>
      <c r="R594" s="296" t="s">
        <v>4956</v>
      </c>
      <c r="S594" s="296" t="s">
        <v>185</v>
      </c>
      <c r="T594" s="296" t="s">
        <v>185</v>
      </c>
      <c r="U594" s="296" t="s">
        <v>186</v>
      </c>
      <c r="V594" s="296" t="s">
        <v>187</v>
      </c>
      <c r="W594" s="296" t="s">
        <v>188</v>
      </c>
      <c r="X594" s="296" t="s">
        <v>189</v>
      </c>
      <c r="Y594" s="296" t="s">
        <v>183</v>
      </c>
      <c r="Z594" s="296" t="s">
        <v>183</v>
      </c>
      <c r="AA594" s="296" t="s">
        <v>183</v>
      </c>
      <c r="AB594" s="296" t="s">
        <v>183</v>
      </c>
      <c r="AC594" s="296" t="s">
        <v>4957</v>
      </c>
      <c r="AD594" s="296" t="s">
        <v>4958</v>
      </c>
      <c r="AE594" s="296" t="s">
        <v>192</v>
      </c>
      <c r="AF594" s="296" t="s">
        <v>193</v>
      </c>
      <c r="AG594" s="296">
        <v>0</v>
      </c>
      <c r="AH594" s="298">
        <v>43655</v>
      </c>
      <c r="AJ594" s="296" t="s">
        <v>194</v>
      </c>
      <c r="AK594" s="299">
        <f>COUNTIF($A$3:A$917,A594)</f>
        <v>1</v>
      </c>
    </row>
    <row r="595" spans="1:37" x14ac:dyDescent="0.25">
      <c r="A595" s="296">
        <v>504230111</v>
      </c>
      <c r="B595" s="296" t="s">
        <v>4959</v>
      </c>
      <c r="C595" s="296" t="s">
        <v>183</v>
      </c>
      <c r="D595" s="296" t="s">
        <v>183</v>
      </c>
      <c r="E595" s="296" t="s">
        <v>183</v>
      </c>
      <c r="F595" s="296" t="s">
        <v>4960</v>
      </c>
      <c r="G595" s="296" t="s">
        <v>183</v>
      </c>
      <c r="H595" s="296" t="s">
        <v>4961</v>
      </c>
      <c r="I595" s="296" t="s">
        <v>4916</v>
      </c>
      <c r="J595" s="296" t="s">
        <v>4962</v>
      </c>
      <c r="K595" s="296" t="s">
        <v>4049</v>
      </c>
      <c r="L595" s="296" t="s">
        <v>4043</v>
      </c>
      <c r="M595" s="296" t="s">
        <v>179</v>
      </c>
      <c r="N595" s="296" t="s">
        <v>4046</v>
      </c>
      <c r="O595" s="296" t="s">
        <v>183</v>
      </c>
      <c r="P595" s="296" t="s">
        <v>4050</v>
      </c>
      <c r="Q595" s="296" t="s">
        <v>183</v>
      </c>
      <c r="R595" s="296" t="s">
        <v>4051</v>
      </c>
      <c r="S595" s="296" t="s">
        <v>185</v>
      </c>
      <c r="T595" s="296" t="s">
        <v>185</v>
      </c>
      <c r="U595" s="296" t="s">
        <v>186</v>
      </c>
      <c r="V595" s="296" t="s">
        <v>187</v>
      </c>
      <c r="W595" s="296" t="s">
        <v>188</v>
      </c>
      <c r="X595" s="296" t="s">
        <v>189</v>
      </c>
      <c r="Y595" s="296" t="s">
        <v>183</v>
      </c>
      <c r="Z595" s="296" t="s">
        <v>183</v>
      </c>
      <c r="AA595" s="296" t="s">
        <v>183</v>
      </c>
      <c r="AB595" s="296" t="s">
        <v>183</v>
      </c>
      <c r="AC595" s="296" t="s">
        <v>3296</v>
      </c>
      <c r="AD595" s="296" t="s">
        <v>4963</v>
      </c>
      <c r="AE595" s="296" t="s">
        <v>192</v>
      </c>
      <c r="AF595" s="296" t="s">
        <v>193</v>
      </c>
      <c r="AG595" s="296">
        <v>0</v>
      </c>
      <c r="AH595" s="298">
        <v>44847</v>
      </c>
      <c r="AJ595" s="296" t="s">
        <v>194</v>
      </c>
      <c r="AK595" s="299">
        <f>COUNTIF($A$3:A$917,A595)</f>
        <v>1</v>
      </c>
    </row>
    <row r="596" spans="1:37" x14ac:dyDescent="0.25">
      <c r="A596" s="296">
        <v>111740025</v>
      </c>
      <c r="B596" s="296" t="s">
        <v>4964</v>
      </c>
      <c r="C596" s="296" t="s">
        <v>183</v>
      </c>
      <c r="D596" s="296" t="s">
        <v>183</v>
      </c>
      <c r="E596" s="296" t="s">
        <v>183</v>
      </c>
      <c r="F596" s="296" t="s">
        <v>4965</v>
      </c>
      <c r="G596" s="296" t="s">
        <v>183</v>
      </c>
      <c r="H596" s="296" t="s">
        <v>4966</v>
      </c>
      <c r="I596" s="296" t="s">
        <v>4916</v>
      </c>
      <c r="J596" s="296" t="s">
        <v>4967</v>
      </c>
      <c r="K596" s="296" t="s">
        <v>602</v>
      </c>
      <c r="L596" s="296" t="s">
        <v>603</v>
      </c>
      <c r="M596" s="296" t="s">
        <v>179</v>
      </c>
      <c r="N596" s="296" t="s">
        <v>604</v>
      </c>
      <c r="O596" s="296" t="s">
        <v>604</v>
      </c>
      <c r="P596" s="296" t="s">
        <v>605</v>
      </c>
      <c r="Q596" s="296" t="s">
        <v>183</v>
      </c>
      <c r="R596" s="296" t="s">
        <v>1281</v>
      </c>
      <c r="S596" s="296" t="s">
        <v>185</v>
      </c>
      <c r="T596" s="296" t="s">
        <v>185</v>
      </c>
      <c r="U596" s="296" t="s">
        <v>186</v>
      </c>
      <c r="V596" s="296" t="s">
        <v>187</v>
      </c>
      <c r="W596" s="296" t="s">
        <v>188</v>
      </c>
      <c r="X596" s="296" t="s">
        <v>189</v>
      </c>
      <c r="Y596" s="296" t="s">
        <v>183</v>
      </c>
      <c r="Z596" s="296" t="s">
        <v>183</v>
      </c>
      <c r="AA596" s="296" t="s">
        <v>183</v>
      </c>
      <c r="AB596" s="296" t="s">
        <v>183</v>
      </c>
      <c r="AC596" s="296" t="s">
        <v>1282</v>
      </c>
      <c r="AD596" s="296" t="s">
        <v>4968</v>
      </c>
      <c r="AE596" s="296" t="s">
        <v>192</v>
      </c>
      <c r="AF596" s="296" t="s">
        <v>193</v>
      </c>
      <c r="AG596" s="296">
        <v>0</v>
      </c>
      <c r="AH596" s="298">
        <v>41919</v>
      </c>
      <c r="AJ596" s="296" t="s">
        <v>194</v>
      </c>
      <c r="AK596" s="299">
        <f>COUNTIF($A$3:A$917,A596)</f>
        <v>1</v>
      </c>
    </row>
    <row r="597" spans="1:37" x14ac:dyDescent="0.25">
      <c r="A597" s="296">
        <v>208080074</v>
      </c>
      <c r="B597" s="296" t="s">
        <v>4969</v>
      </c>
      <c r="C597" s="296" t="s">
        <v>183</v>
      </c>
      <c r="D597" s="296" t="s">
        <v>183</v>
      </c>
      <c r="E597" s="296" t="s">
        <v>183</v>
      </c>
      <c r="F597" s="296" t="s">
        <v>4970</v>
      </c>
      <c r="G597" s="296" t="s">
        <v>183</v>
      </c>
      <c r="H597" s="296" t="s">
        <v>4971</v>
      </c>
      <c r="I597" s="296" t="s">
        <v>4916</v>
      </c>
      <c r="J597" s="296" t="s">
        <v>4972</v>
      </c>
      <c r="K597" s="296" t="s">
        <v>4973</v>
      </c>
      <c r="L597" s="296" t="s">
        <v>4974</v>
      </c>
      <c r="M597" s="296" t="s">
        <v>179</v>
      </c>
      <c r="N597" s="296" t="s">
        <v>4975</v>
      </c>
      <c r="O597" s="296" t="s">
        <v>278</v>
      </c>
      <c r="P597" s="296" t="s">
        <v>2063</v>
      </c>
      <c r="Q597" s="296" t="s">
        <v>183</v>
      </c>
      <c r="R597" s="296" t="s">
        <v>4976</v>
      </c>
      <c r="S597" s="296" t="s">
        <v>185</v>
      </c>
      <c r="T597" s="296" t="s">
        <v>185</v>
      </c>
      <c r="U597" s="296" t="s">
        <v>186</v>
      </c>
      <c r="V597" s="296" t="s">
        <v>187</v>
      </c>
      <c r="W597" s="296" t="s">
        <v>188</v>
      </c>
      <c r="X597" s="296" t="s">
        <v>256</v>
      </c>
      <c r="Y597" s="296" t="s">
        <v>183</v>
      </c>
      <c r="Z597" s="296" t="s">
        <v>183</v>
      </c>
      <c r="AA597" s="296" t="s">
        <v>183</v>
      </c>
      <c r="AB597" s="296" t="s">
        <v>183</v>
      </c>
      <c r="AC597" s="296" t="s">
        <v>4977</v>
      </c>
      <c r="AD597" s="296" t="s">
        <v>4978</v>
      </c>
      <c r="AE597" s="296" t="s">
        <v>192</v>
      </c>
      <c r="AF597" s="296" t="s">
        <v>193</v>
      </c>
      <c r="AG597" s="296">
        <v>0</v>
      </c>
      <c r="AH597" s="298">
        <v>44785</v>
      </c>
      <c r="AI597" s="298">
        <v>45635</v>
      </c>
      <c r="AJ597" s="296" t="s">
        <v>194</v>
      </c>
      <c r="AK597" s="299">
        <f>COUNTIF($A$3:A$917,A597)</f>
        <v>1</v>
      </c>
    </row>
    <row r="598" spans="1:37" x14ac:dyDescent="0.25">
      <c r="A598" s="296">
        <v>503520765</v>
      </c>
      <c r="B598" s="296" t="s">
        <v>4979</v>
      </c>
      <c r="C598" s="296" t="s">
        <v>183</v>
      </c>
      <c r="D598" s="296" t="s">
        <v>183</v>
      </c>
      <c r="E598" s="296" t="s">
        <v>183</v>
      </c>
      <c r="F598" s="296" t="s">
        <v>4980</v>
      </c>
      <c r="G598" s="296" t="s">
        <v>183</v>
      </c>
      <c r="H598" s="296" t="s">
        <v>4981</v>
      </c>
      <c r="I598" s="296" t="s">
        <v>4916</v>
      </c>
      <c r="J598" s="296" t="s">
        <v>4982</v>
      </c>
      <c r="K598" s="296" t="s">
        <v>4174</v>
      </c>
      <c r="L598" s="296" t="s">
        <v>4175</v>
      </c>
      <c r="M598" s="296" t="s">
        <v>179</v>
      </c>
      <c r="N598" s="296" t="s">
        <v>4176</v>
      </c>
      <c r="O598" s="296" t="s">
        <v>4177</v>
      </c>
      <c r="P598" s="296" t="s">
        <v>4178</v>
      </c>
      <c r="Q598" s="296" t="s">
        <v>183</v>
      </c>
      <c r="R598" s="296" t="s">
        <v>4983</v>
      </c>
      <c r="S598" s="296" t="s">
        <v>185</v>
      </c>
      <c r="T598" s="296" t="s">
        <v>185</v>
      </c>
      <c r="U598" s="296" t="s">
        <v>186</v>
      </c>
      <c r="V598" s="296" t="s">
        <v>187</v>
      </c>
      <c r="W598" s="296" t="s">
        <v>188</v>
      </c>
      <c r="X598" s="296" t="s">
        <v>189</v>
      </c>
      <c r="Y598" s="296" t="s">
        <v>183</v>
      </c>
      <c r="Z598" s="296" t="s">
        <v>183</v>
      </c>
      <c r="AA598" s="296" t="s">
        <v>183</v>
      </c>
      <c r="AB598" s="296" t="s">
        <v>183</v>
      </c>
      <c r="AC598" s="296" t="s">
        <v>4984</v>
      </c>
      <c r="AD598" s="296" t="s">
        <v>4985</v>
      </c>
      <c r="AE598" s="296" t="s">
        <v>192</v>
      </c>
      <c r="AF598" s="296" t="s">
        <v>193</v>
      </c>
      <c r="AG598" s="296">
        <v>0</v>
      </c>
      <c r="AH598" s="298">
        <v>45386</v>
      </c>
      <c r="AJ598" s="296" t="s">
        <v>194</v>
      </c>
      <c r="AK598" s="299">
        <f>COUNTIF($A$3:A$917,A598)</f>
        <v>1</v>
      </c>
    </row>
    <row r="599" spans="1:37" x14ac:dyDescent="0.25">
      <c r="A599" s="296">
        <v>105580352</v>
      </c>
      <c r="B599" s="296" t="s">
        <v>4986</v>
      </c>
      <c r="C599" s="296" t="s">
        <v>183</v>
      </c>
      <c r="D599" s="296" t="s">
        <v>183</v>
      </c>
      <c r="E599" s="296" t="s">
        <v>183</v>
      </c>
      <c r="F599" s="296" t="s">
        <v>4987</v>
      </c>
      <c r="G599" s="296" t="s">
        <v>183</v>
      </c>
      <c r="H599" s="296" t="s">
        <v>4988</v>
      </c>
      <c r="I599" s="296" t="s">
        <v>4916</v>
      </c>
      <c r="J599" s="296" t="s">
        <v>4989</v>
      </c>
      <c r="K599" s="296" t="s">
        <v>4990</v>
      </c>
      <c r="L599" s="296" t="s">
        <v>4991</v>
      </c>
      <c r="M599" s="296" t="s">
        <v>179</v>
      </c>
      <c r="N599" s="296" t="s">
        <v>4992</v>
      </c>
      <c r="O599" s="296" t="s">
        <v>278</v>
      </c>
      <c r="P599" s="296" t="s">
        <v>4993</v>
      </c>
      <c r="Q599" s="296" t="s">
        <v>183</v>
      </c>
      <c r="R599" s="296" t="s">
        <v>4994</v>
      </c>
      <c r="S599" s="296" t="s">
        <v>185</v>
      </c>
      <c r="T599" s="296" t="s">
        <v>185</v>
      </c>
      <c r="U599" s="296" t="s">
        <v>186</v>
      </c>
      <c r="V599" s="296" t="s">
        <v>187</v>
      </c>
      <c r="W599" s="296" t="s">
        <v>188</v>
      </c>
      <c r="X599" s="296" t="s">
        <v>189</v>
      </c>
      <c r="Y599" s="296" t="s">
        <v>183</v>
      </c>
      <c r="Z599" s="296" t="s">
        <v>183</v>
      </c>
      <c r="AA599" s="296" t="s">
        <v>183</v>
      </c>
      <c r="AB599" s="296" t="s">
        <v>183</v>
      </c>
      <c r="AC599" s="296" t="s">
        <v>4995</v>
      </c>
      <c r="AD599" s="296" t="s">
        <v>4996</v>
      </c>
      <c r="AE599" s="296" t="s">
        <v>192</v>
      </c>
      <c r="AF599" s="296" t="s">
        <v>193</v>
      </c>
      <c r="AG599" s="296">
        <v>19961</v>
      </c>
      <c r="AH599" s="298">
        <v>42956</v>
      </c>
      <c r="AJ599" s="296" t="s">
        <v>194</v>
      </c>
      <c r="AK599" s="299">
        <f>COUNTIF($A$3:A$917,A599)</f>
        <v>1</v>
      </c>
    </row>
    <row r="600" spans="1:37" x14ac:dyDescent="0.25">
      <c r="A600" s="296">
        <v>204360806</v>
      </c>
      <c r="B600" s="296" t="s">
        <v>3778</v>
      </c>
      <c r="C600" s="296" t="s">
        <v>183</v>
      </c>
      <c r="D600" s="296" t="s">
        <v>183</v>
      </c>
      <c r="E600" s="296" t="s">
        <v>183</v>
      </c>
      <c r="F600" s="296" t="s">
        <v>3779</v>
      </c>
      <c r="G600" s="296" t="s">
        <v>3780</v>
      </c>
      <c r="H600" s="296" t="s">
        <v>3781</v>
      </c>
      <c r="I600" s="296" t="s">
        <v>3131</v>
      </c>
      <c r="J600" s="296" t="s">
        <v>4997</v>
      </c>
      <c r="K600" s="296" t="s">
        <v>3798</v>
      </c>
      <c r="L600" s="296" t="s">
        <v>3799</v>
      </c>
      <c r="M600" s="296" t="s">
        <v>503</v>
      </c>
      <c r="N600" s="296" t="s">
        <v>3800</v>
      </c>
      <c r="O600" s="296" t="s">
        <v>278</v>
      </c>
      <c r="P600" s="296" t="s">
        <v>3801</v>
      </c>
      <c r="Q600" s="296" t="s">
        <v>183</v>
      </c>
      <c r="R600" s="296" t="s">
        <v>3802</v>
      </c>
      <c r="S600" s="296" t="s">
        <v>185</v>
      </c>
      <c r="T600" s="296" t="s">
        <v>185</v>
      </c>
      <c r="U600" s="296" t="s">
        <v>186</v>
      </c>
      <c r="V600" s="296" t="s">
        <v>187</v>
      </c>
      <c r="W600" s="296" t="s">
        <v>188</v>
      </c>
      <c r="X600" s="296" t="s">
        <v>189</v>
      </c>
      <c r="Y600" s="296" t="s">
        <v>183</v>
      </c>
      <c r="Z600" s="296" t="s">
        <v>183</v>
      </c>
      <c r="AA600" s="296" t="s">
        <v>183</v>
      </c>
      <c r="AB600" s="296" t="s">
        <v>183</v>
      </c>
      <c r="AC600" s="296" t="s">
        <v>3803</v>
      </c>
      <c r="AD600" s="296" t="s">
        <v>4998</v>
      </c>
      <c r="AE600" s="296" t="s">
        <v>192</v>
      </c>
      <c r="AF600" s="296" t="s">
        <v>193</v>
      </c>
      <c r="AG600" s="296">
        <v>0</v>
      </c>
      <c r="AH600" s="298">
        <v>45429</v>
      </c>
      <c r="AJ600" s="296" t="s">
        <v>194</v>
      </c>
      <c r="AK600" s="299">
        <f>COUNTIF($A$3:A$917,A600)</f>
        <v>8</v>
      </c>
    </row>
    <row r="601" spans="1:37" x14ac:dyDescent="0.25">
      <c r="A601" s="296">
        <v>502430792</v>
      </c>
      <c r="B601" s="296" t="s">
        <v>4999</v>
      </c>
      <c r="C601" s="296" t="s">
        <v>183</v>
      </c>
      <c r="D601" s="296" t="s">
        <v>183</v>
      </c>
      <c r="E601" s="296" t="s">
        <v>183</v>
      </c>
      <c r="F601" s="296" t="s">
        <v>5000</v>
      </c>
      <c r="G601" s="296" t="s">
        <v>5000</v>
      </c>
      <c r="H601" s="296" t="s">
        <v>5001</v>
      </c>
      <c r="I601" s="296" t="s">
        <v>3131</v>
      </c>
      <c r="J601" s="296" t="s">
        <v>5002</v>
      </c>
      <c r="K601" s="296" t="s">
        <v>3237</v>
      </c>
      <c r="L601" s="296" t="s">
        <v>3238</v>
      </c>
      <c r="M601" s="296" t="s">
        <v>179</v>
      </c>
      <c r="N601" s="296" t="s">
        <v>3239</v>
      </c>
      <c r="O601" s="296" t="s">
        <v>3239</v>
      </c>
      <c r="P601" s="296" t="s">
        <v>3240</v>
      </c>
      <c r="Q601" s="296" t="s">
        <v>183</v>
      </c>
      <c r="R601" s="296" t="s">
        <v>3241</v>
      </c>
      <c r="S601" s="296" t="s">
        <v>185</v>
      </c>
      <c r="T601" s="296" t="s">
        <v>185</v>
      </c>
      <c r="U601" s="296" t="s">
        <v>186</v>
      </c>
      <c r="V601" s="296" t="s">
        <v>187</v>
      </c>
      <c r="W601" s="296" t="s">
        <v>188</v>
      </c>
      <c r="X601" s="296" t="s">
        <v>189</v>
      </c>
      <c r="Y601" s="296" t="s">
        <v>183</v>
      </c>
      <c r="Z601" s="296" t="s">
        <v>183</v>
      </c>
      <c r="AA601" s="296" t="s">
        <v>183</v>
      </c>
      <c r="AB601" s="296" t="s">
        <v>183</v>
      </c>
      <c r="AC601" s="296" t="s">
        <v>183</v>
      </c>
      <c r="AD601" s="296" t="s">
        <v>5003</v>
      </c>
      <c r="AE601" s="296" t="s">
        <v>192</v>
      </c>
      <c r="AF601" s="296" t="s">
        <v>193</v>
      </c>
      <c r="AG601" s="296">
        <v>0</v>
      </c>
      <c r="AH601" s="298">
        <v>45986</v>
      </c>
      <c r="AJ601" s="296" t="s">
        <v>194</v>
      </c>
      <c r="AK601" s="299">
        <f>COUNTIF($A$3:A$917,A601)</f>
        <v>1</v>
      </c>
    </row>
    <row r="602" spans="1:37" x14ac:dyDescent="0.25">
      <c r="A602" s="296">
        <v>503960078</v>
      </c>
      <c r="B602" s="296" t="s">
        <v>5004</v>
      </c>
      <c r="C602" s="296" t="s">
        <v>183</v>
      </c>
      <c r="D602" s="296" t="s">
        <v>183</v>
      </c>
      <c r="E602" s="296" t="s">
        <v>183</v>
      </c>
      <c r="F602" s="296" t="s">
        <v>3710</v>
      </c>
      <c r="G602" s="296" t="s">
        <v>3710</v>
      </c>
      <c r="H602" s="296" t="s">
        <v>5005</v>
      </c>
      <c r="I602" s="296" t="s">
        <v>3131</v>
      </c>
      <c r="J602" s="296" t="s">
        <v>5006</v>
      </c>
      <c r="K602" s="296" t="s">
        <v>1954</v>
      </c>
      <c r="L602" s="296" t="s">
        <v>1955</v>
      </c>
      <c r="M602" s="296" t="s">
        <v>179</v>
      </c>
      <c r="N602" s="296" t="s">
        <v>1956</v>
      </c>
      <c r="O602" s="296" t="s">
        <v>183</v>
      </c>
      <c r="P602" s="296" t="s">
        <v>1957</v>
      </c>
      <c r="Q602" s="296" t="s">
        <v>183</v>
      </c>
      <c r="R602" s="296" t="s">
        <v>1958</v>
      </c>
      <c r="S602" s="296" t="s">
        <v>185</v>
      </c>
      <c r="T602" s="296" t="s">
        <v>185</v>
      </c>
      <c r="U602" s="296" t="s">
        <v>186</v>
      </c>
      <c r="V602" s="296" t="s">
        <v>187</v>
      </c>
      <c r="W602" s="296" t="s">
        <v>188</v>
      </c>
      <c r="X602" s="296" t="s">
        <v>256</v>
      </c>
      <c r="Y602" s="296" t="s">
        <v>183</v>
      </c>
      <c r="Z602" s="296" t="s">
        <v>183</v>
      </c>
      <c r="AA602" s="296" t="s">
        <v>183</v>
      </c>
      <c r="AB602" s="296" t="s">
        <v>183</v>
      </c>
      <c r="AC602" s="296" t="s">
        <v>1959</v>
      </c>
      <c r="AD602" s="296" t="s">
        <v>5007</v>
      </c>
      <c r="AE602" s="296" t="s">
        <v>192</v>
      </c>
      <c r="AF602" s="296" t="s">
        <v>193</v>
      </c>
      <c r="AG602" s="296">
        <v>0</v>
      </c>
      <c r="AH602" s="298">
        <v>44180</v>
      </c>
      <c r="AJ602" s="296" t="s">
        <v>194</v>
      </c>
      <c r="AK602" s="299">
        <f>COUNTIF($A$3:A$917,A602)</f>
        <v>1</v>
      </c>
    </row>
    <row r="603" spans="1:37" x14ac:dyDescent="0.25">
      <c r="A603" s="296">
        <v>602330963</v>
      </c>
      <c r="B603" s="296" t="s">
        <v>1533</v>
      </c>
      <c r="C603" s="296" t="s">
        <v>183</v>
      </c>
      <c r="D603" s="296" t="s">
        <v>183</v>
      </c>
      <c r="E603" s="296" t="s">
        <v>183</v>
      </c>
      <c r="F603" s="296" t="s">
        <v>1534</v>
      </c>
      <c r="G603" s="296" t="s">
        <v>1534</v>
      </c>
      <c r="H603" s="296" t="s">
        <v>1535</v>
      </c>
      <c r="I603" s="296" t="s">
        <v>3131</v>
      </c>
      <c r="J603" s="296" t="s">
        <v>5008</v>
      </c>
      <c r="K603" s="296" t="s">
        <v>1532</v>
      </c>
      <c r="L603" s="296" t="s">
        <v>1533</v>
      </c>
      <c r="M603" s="296" t="s">
        <v>179</v>
      </c>
      <c r="N603" s="296" t="s">
        <v>1534</v>
      </c>
      <c r="O603" s="296" t="s">
        <v>1534</v>
      </c>
      <c r="P603" s="296" t="s">
        <v>1535</v>
      </c>
      <c r="Q603" s="296" t="s">
        <v>183</v>
      </c>
      <c r="R603" s="296" t="s">
        <v>4810</v>
      </c>
      <c r="S603" s="296" t="s">
        <v>185</v>
      </c>
      <c r="T603" s="296" t="s">
        <v>185</v>
      </c>
      <c r="U603" s="296" t="s">
        <v>186</v>
      </c>
      <c r="V603" s="296" t="s">
        <v>187</v>
      </c>
      <c r="W603" s="296" t="s">
        <v>188</v>
      </c>
      <c r="X603" s="296" t="s">
        <v>256</v>
      </c>
      <c r="Y603" s="296" t="s">
        <v>183</v>
      </c>
      <c r="Z603" s="296" t="s">
        <v>183</v>
      </c>
      <c r="AA603" s="296" t="s">
        <v>183</v>
      </c>
      <c r="AB603" s="296" t="s">
        <v>183</v>
      </c>
      <c r="AC603" s="296" t="s">
        <v>4811</v>
      </c>
      <c r="AD603" s="296" t="s">
        <v>5009</v>
      </c>
      <c r="AE603" s="296" t="s">
        <v>192</v>
      </c>
      <c r="AF603" s="296" t="s">
        <v>193</v>
      </c>
      <c r="AG603" s="296">
        <v>0</v>
      </c>
      <c r="AH603" s="298">
        <v>44158</v>
      </c>
      <c r="AJ603" s="296" t="s">
        <v>194</v>
      </c>
      <c r="AK603" s="299">
        <f>COUNTIF($A$3:A$917,A603)</f>
        <v>2</v>
      </c>
    </row>
    <row r="604" spans="1:37" x14ac:dyDescent="0.25">
      <c r="A604" s="296">
        <v>3101855778</v>
      </c>
      <c r="B604" s="296" t="s">
        <v>5010</v>
      </c>
      <c r="C604" s="296" t="s">
        <v>183</v>
      </c>
      <c r="D604" s="296" t="s">
        <v>183</v>
      </c>
      <c r="E604" s="296" t="s">
        <v>183</v>
      </c>
      <c r="F604" s="296" t="s">
        <v>5011</v>
      </c>
      <c r="G604" s="296" t="s">
        <v>5011</v>
      </c>
      <c r="H604" s="296" t="s">
        <v>1384</v>
      </c>
      <c r="I604" s="296" t="s">
        <v>3131</v>
      </c>
      <c r="J604" s="296" t="s">
        <v>5012</v>
      </c>
      <c r="K604" s="296" t="s">
        <v>1380</v>
      </c>
      <c r="L604" s="296" t="s">
        <v>1381</v>
      </c>
      <c r="M604" s="296" t="s">
        <v>179</v>
      </c>
      <c r="N604" s="296" t="s">
        <v>1382</v>
      </c>
      <c r="O604" s="296" t="s">
        <v>1383</v>
      </c>
      <c r="P604" s="296" t="s">
        <v>1384</v>
      </c>
      <c r="Q604" s="296" t="s">
        <v>183</v>
      </c>
      <c r="R604" s="296" t="s">
        <v>1385</v>
      </c>
      <c r="S604" s="296" t="s">
        <v>185</v>
      </c>
      <c r="T604" s="296" t="s">
        <v>185</v>
      </c>
      <c r="U604" s="296" t="s">
        <v>186</v>
      </c>
      <c r="V604" s="296" t="s">
        <v>187</v>
      </c>
      <c r="W604" s="296" t="s">
        <v>188</v>
      </c>
      <c r="X604" s="296" t="s">
        <v>189</v>
      </c>
      <c r="Y604" s="296" t="s">
        <v>183</v>
      </c>
      <c r="Z604" s="296" t="s">
        <v>183</v>
      </c>
      <c r="AA604" s="296" t="s">
        <v>183</v>
      </c>
      <c r="AB604" s="296" t="s">
        <v>183</v>
      </c>
      <c r="AC604" s="296" t="s">
        <v>1386</v>
      </c>
      <c r="AD604" s="296" t="s">
        <v>5013</v>
      </c>
      <c r="AE604" s="296" t="s">
        <v>192</v>
      </c>
      <c r="AF604" s="296" t="s">
        <v>193</v>
      </c>
      <c r="AG604" s="296">
        <v>0</v>
      </c>
      <c r="AH604" s="298">
        <v>42503</v>
      </c>
      <c r="AJ604" s="296" t="s">
        <v>194</v>
      </c>
      <c r="AK604" s="299">
        <f>COUNTIF($A$3:A$917,A604)</f>
        <v>1</v>
      </c>
    </row>
    <row r="605" spans="1:37" x14ac:dyDescent="0.25">
      <c r="A605" s="296">
        <v>604870793</v>
      </c>
      <c r="B605" s="296" t="s">
        <v>5014</v>
      </c>
      <c r="C605" s="296" t="s">
        <v>183</v>
      </c>
      <c r="D605" s="296" t="s">
        <v>183</v>
      </c>
      <c r="E605" s="296" t="s">
        <v>183</v>
      </c>
      <c r="F605" s="296" t="s">
        <v>5015</v>
      </c>
      <c r="G605" s="296" t="s">
        <v>5015</v>
      </c>
      <c r="H605" s="296" t="s">
        <v>5016</v>
      </c>
      <c r="I605" s="296" t="s">
        <v>5017</v>
      </c>
      <c r="J605" s="296" t="s">
        <v>5018</v>
      </c>
      <c r="K605" s="296" t="s">
        <v>5019</v>
      </c>
      <c r="L605" s="296" t="s">
        <v>5020</v>
      </c>
      <c r="M605" s="296" t="s">
        <v>179</v>
      </c>
      <c r="N605" s="296" t="s">
        <v>5021</v>
      </c>
      <c r="O605" s="296" t="s">
        <v>278</v>
      </c>
      <c r="P605" s="296" t="s">
        <v>5022</v>
      </c>
      <c r="Q605" s="296" t="s">
        <v>183</v>
      </c>
      <c r="R605" s="296" t="s">
        <v>5023</v>
      </c>
      <c r="S605" s="296" t="s">
        <v>185</v>
      </c>
      <c r="T605" s="296" t="s">
        <v>185</v>
      </c>
      <c r="U605" s="296" t="s">
        <v>186</v>
      </c>
      <c r="V605" s="296" t="s">
        <v>187</v>
      </c>
      <c r="W605" s="296" t="s">
        <v>188</v>
      </c>
      <c r="X605" s="296" t="s">
        <v>189</v>
      </c>
      <c r="Y605" s="296" t="s">
        <v>183</v>
      </c>
      <c r="Z605" s="296" t="s">
        <v>183</v>
      </c>
      <c r="AA605" s="296" t="s">
        <v>183</v>
      </c>
      <c r="AB605" s="296" t="s">
        <v>183</v>
      </c>
      <c r="AC605" s="296" t="s">
        <v>5024</v>
      </c>
      <c r="AD605" s="296" t="s">
        <v>5025</v>
      </c>
      <c r="AE605" s="296" t="s">
        <v>192</v>
      </c>
      <c r="AF605" s="296" t="s">
        <v>193</v>
      </c>
      <c r="AG605" s="296">
        <v>0</v>
      </c>
      <c r="AH605" s="298">
        <v>45945</v>
      </c>
      <c r="AJ605" s="296" t="s">
        <v>194</v>
      </c>
      <c r="AK605" s="299">
        <f>COUNTIF($A$3:A$917,A605)</f>
        <v>1</v>
      </c>
    </row>
    <row r="606" spans="1:37" x14ac:dyDescent="0.25">
      <c r="A606" s="296">
        <v>801310215</v>
      </c>
      <c r="B606" s="296" t="s">
        <v>5026</v>
      </c>
      <c r="C606" s="296" t="s">
        <v>183</v>
      </c>
      <c r="D606" s="296" t="s">
        <v>183</v>
      </c>
      <c r="E606" s="296" t="s">
        <v>183</v>
      </c>
      <c r="F606" s="296" t="s">
        <v>5027</v>
      </c>
      <c r="G606" s="296" t="s">
        <v>183</v>
      </c>
      <c r="H606" s="296" t="s">
        <v>5028</v>
      </c>
      <c r="I606" s="296" t="s">
        <v>5017</v>
      </c>
      <c r="J606" s="296" t="s">
        <v>5029</v>
      </c>
      <c r="K606" s="296" t="s">
        <v>1806</v>
      </c>
      <c r="L606" s="296" t="s">
        <v>1799</v>
      </c>
      <c r="M606" s="296" t="s">
        <v>179</v>
      </c>
      <c r="N606" s="296" t="s">
        <v>1802</v>
      </c>
      <c r="O606" s="296" t="s">
        <v>1803</v>
      </c>
      <c r="P606" s="296" t="s">
        <v>1804</v>
      </c>
      <c r="Q606" s="296" t="s">
        <v>183</v>
      </c>
      <c r="R606" s="296" t="s">
        <v>4779</v>
      </c>
      <c r="S606" s="296" t="s">
        <v>185</v>
      </c>
      <c r="T606" s="296" t="s">
        <v>185</v>
      </c>
      <c r="U606" s="296" t="s">
        <v>186</v>
      </c>
      <c r="V606" s="296" t="s">
        <v>187</v>
      </c>
      <c r="W606" s="296" t="s">
        <v>188</v>
      </c>
      <c r="X606" s="296" t="s">
        <v>256</v>
      </c>
      <c r="Y606" s="296" t="s">
        <v>183</v>
      </c>
      <c r="Z606" s="296" t="s">
        <v>183</v>
      </c>
      <c r="AA606" s="296" t="s">
        <v>183</v>
      </c>
      <c r="AB606" s="296" t="s">
        <v>183</v>
      </c>
      <c r="AC606" s="296" t="s">
        <v>1808</v>
      </c>
      <c r="AD606" s="296" t="s">
        <v>5030</v>
      </c>
      <c r="AE606" s="296" t="s">
        <v>192</v>
      </c>
      <c r="AF606" s="296" t="s">
        <v>193</v>
      </c>
      <c r="AG606" s="296">
        <v>0</v>
      </c>
      <c r="AH606" s="298">
        <v>45630</v>
      </c>
      <c r="AJ606" s="296" t="s">
        <v>194</v>
      </c>
      <c r="AK606" s="299">
        <f>COUNTIF($A$3:A$917,A606)</f>
        <v>1</v>
      </c>
    </row>
    <row r="607" spans="1:37" x14ac:dyDescent="0.25">
      <c r="A607" s="296">
        <v>3102867594</v>
      </c>
      <c r="B607" s="296" t="s">
        <v>2753</v>
      </c>
      <c r="C607" s="296" t="s">
        <v>2754</v>
      </c>
      <c r="D607" s="296" t="s">
        <v>2755</v>
      </c>
      <c r="E607" s="296" t="s">
        <v>1723</v>
      </c>
      <c r="F607" s="296" t="s">
        <v>2756</v>
      </c>
      <c r="G607" s="296" t="s">
        <v>278</v>
      </c>
      <c r="H607" s="296" t="s">
        <v>2757</v>
      </c>
      <c r="I607" s="296" t="s">
        <v>5031</v>
      </c>
      <c r="J607" s="296" t="s">
        <v>5032</v>
      </c>
      <c r="K607" s="296" t="s">
        <v>2759</v>
      </c>
      <c r="L607" s="296" t="s">
        <v>2760</v>
      </c>
      <c r="M607" s="296" t="s">
        <v>179</v>
      </c>
      <c r="N607" s="296" t="s">
        <v>2756</v>
      </c>
      <c r="O607" s="296" t="s">
        <v>183</v>
      </c>
      <c r="P607" s="296" t="s">
        <v>2757</v>
      </c>
      <c r="Q607" s="296" t="s">
        <v>183</v>
      </c>
      <c r="R607" s="296" t="s">
        <v>2761</v>
      </c>
      <c r="S607" s="296" t="s">
        <v>185</v>
      </c>
      <c r="T607" s="296" t="s">
        <v>185</v>
      </c>
      <c r="U607" s="296" t="s">
        <v>186</v>
      </c>
      <c r="V607" s="296" t="s">
        <v>187</v>
      </c>
      <c r="W607" s="296" t="s">
        <v>188</v>
      </c>
      <c r="X607" s="296" t="s">
        <v>404</v>
      </c>
      <c r="Y607" s="296" t="s">
        <v>183</v>
      </c>
      <c r="Z607" s="296" t="s">
        <v>183</v>
      </c>
      <c r="AA607" s="296" t="s">
        <v>183</v>
      </c>
      <c r="AB607" s="296" t="s">
        <v>183</v>
      </c>
      <c r="AC607" s="296" t="s">
        <v>2762</v>
      </c>
      <c r="AD607" s="296" t="s">
        <v>5033</v>
      </c>
      <c r="AE607" s="296" t="s">
        <v>192</v>
      </c>
      <c r="AF607" s="296" t="s">
        <v>193</v>
      </c>
      <c r="AG607" s="296">
        <v>0</v>
      </c>
      <c r="AH607" s="298">
        <v>45191</v>
      </c>
      <c r="AJ607" s="296" t="s">
        <v>194</v>
      </c>
      <c r="AK607" s="299">
        <f>COUNTIF($A$3:A$917,A607)</f>
        <v>2</v>
      </c>
    </row>
    <row r="608" spans="1:37" x14ac:dyDescent="0.25">
      <c r="A608" s="296">
        <v>3101767951</v>
      </c>
      <c r="B608" s="296" t="s">
        <v>1767</v>
      </c>
      <c r="C608" s="296" t="s">
        <v>1768</v>
      </c>
      <c r="D608" s="296" t="s">
        <v>1769</v>
      </c>
      <c r="E608" s="296" t="s">
        <v>172</v>
      </c>
      <c r="F608" s="296" t="s">
        <v>1770</v>
      </c>
      <c r="G608" s="296" t="s">
        <v>1771</v>
      </c>
      <c r="H608" s="296" t="s">
        <v>1772</v>
      </c>
      <c r="I608" s="296" t="s">
        <v>5031</v>
      </c>
      <c r="J608" s="296" t="s">
        <v>5034</v>
      </c>
      <c r="K608" s="296" t="s">
        <v>1769</v>
      </c>
      <c r="L608" s="296" t="s">
        <v>1768</v>
      </c>
      <c r="M608" s="296" t="s">
        <v>179</v>
      </c>
      <c r="N608" s="296" t="s">
        <v>1770</v>
      </c>
      <c r="O608" s="296" t="s">
        <v>1771</v>
      </c>
      <c r="P608" s="296" t="s">
        <v>1772</v>
      </c>
      <c r="Q608" s="296" t="s">
        <v>183</v>
      </c>
      <c r="R608" s="296" t="s">
        <v>1774</v>
      </c>
      <c r="S608" s="296" t="s">
        <v>185</v>
      </c>
      <c r="T608" s="296" t="s">
        <v>185</v>
      </c>
      <c r="U608" s="296" t="s">
        <v>186</v>
      </c>
      <c r="V608" s="296" t="s">
        <v>187</v>
      </c>
      <c r="W608" s="296" t="s">
        <v>188</v>
      </c>
      <c r="X608" s="296" t="s">
        <v>189</v>
      </c>
      <c r="Y608" s="296" t="s">
        <v>183</v>
      </c>
      <c r="Z608" s="296" t="s">
        <v>183</v>
      </c>
      <c r="AA608" s="296" t="s">
        <v>183</v>
      </c>
      <c r="AB608" s="296" t="s">
        <v>183</v>
      </c>
      <c r="AC608" s="296" t="s">
        <v>1775</v>
      </c>
      <c r="AD608" s="296" t="s">
        <v>5035</v>
      </c>
      <c r="AE608" s="296" t="s">
        <v>192</v>
      </c>
      <c r="AF608" s="296" t="s">
        <v>193</v>
      </c>
      <c r="AG608" s="296">
        <v>10643</v>
      </c>
      <c r="AH608" s="298">
        <v>44137</v>
      </c>
      <c r="AJ608" s="296" t="s">
        <v>194</v>
      </c>
      <c r="AK608" s="299">
        <f>COUNTIF($A$3:A$917,A608)</f>
        <v>3</v>
      </c>
    </row>
    <row r="609" spans="1:37" x14ac:dyDescent="0.25">
      <c r="A609" s="296">
        <v>3002056564</v>
      </c>
      <c r="B609" s="296" t="s">
        <v>1003</v>
      </c>
      <c r="C609" s="296" t="s">
        <v>1004</v>
      </c>
      <c r="D609" s="296" t="s">
        <v>1005</v>
      </c>
      <c r="E609" s="296" t="s">
        <v>172</v>
      </c>
      <c r="F609" s="296" t="s">
        <v>1006</v>
      </c>
      <c r="G609" s="296" t="s">
        <v>278</v>
      </c>
      <c r="H609" s="296" t="s">
        <v>1007</v>
      </c>
      <c r="I609" s="296" t="s">
        <v>5036</v>
      </c>
      <c r="J609" s="296" t="s">
        <v>5037</v>
      </c>
      <c r="K609" s="296" t="s">
        <v>1009</v>
      </c>
      <c r="L609" s="296" t="s">
        <v>1003</v>
      </c>
      <c r="M609" s="296" t="s">
        <v>179</v>
      </c>
      <c r="N609" s="296" t="s">
        <v>1006</v>
      </c>
      <c r="O609" s="296" t="s">
        <v>1010</v>
      </c>
      <c r="P609" s="296" t="s">
        <v>1011</v>
      </c>
      <c r="Q609" s="296" t="s">
        <v>183</v>
      </c>
      <c r="R609" s="296" t="s">
        <v>5038</v>
      </c>
      <c r="S609" s="296" t="s">
        <v>185</v>
      </c>
      <c r="T609" s="296" t="s">
        <v>185</v>
      </c>
      <c r="U609" s="296" t="s">
        <v>186</v>
      </c>
      <c r="V609" s="296" t="s">
        <v>187</v>
      </c>
      <c r="W609" s="296" t="s">
        <v>188</v>
      </c>
      <c r="X609" s="296" t="s">
        <v>189</v>
      </c>
      <c r="Y609" s="296" t="s">
        <v>183</v>
      </c>
      <c r="Z609" s="296" t="s">
        <v>183</v>
      </c>
      <c r="AA609" s="296" t="s">
        <v>183</v>
      </c>
      <c r="AB609" s="296" t="s">
        <v>183</v>
      </c>
      <c r="AC609" s="296" t="s">
        <v>5039</v>
      </c>
      <c r="AD609" s="296" t="s">
        <v>5040</v>
      </c>
      <c r="AE609" s="296" t="s">
        <v>192</v>
      </c>
      <c r="AF609" s="296" t="s">
        <v>193</v>
      </c>
      <c r="AG609" s="296">
        <v>28835</v>
      </c>
      <c r="AH609" s="298">
        <v>44280</v>
      </c>
      <c r="AJ609" s="296" t="s">
        <v>194</v>
      </c>
      <c r="AK609" s="299">
        <f>COUNTIF($A$3:A$917,A609)</f>
        <v>4</v>
      </c>
    </row>
    <row r="610" spans="1:37" x14ac:dyDescent="0.25">
      <c r="A610" s="296">
        <v>602950941</v>
      </c>
      <c r="B610" s="296" t="s">
        <v>4517</v>
      </c>
      <c r="C610" s="296" t="s">
        <v>183</v>
      </c>
      <c r="D610" s="296" t="s">
        <v>183</v>
      </c>
      <c r="E610" s="296" t="s">
        <v>183</v>
      </c>
      <c r="F610" s="296" t="s">
        <v>4518</v>
      </c>
      <c r="G610" s="296" t="s">
        <v>4518</v>
      </c>
      <c r="H610" s="296" t="s">
        <v>4519</v>
      </c>
      <c r="I610" s="296" t="s">
        <v>5036</v>
      </c>
      <c r="J610" s="296" t="s">
        <v>5041</v>
      </c>
      <c r="K610" s="296" t="s">
        <v>3847</v>
      </c>
      <c r="L610" s="296" t="s">
        <v>3848</v>
      </c>
      <c r="M610" s="296" t="s">
        <v>179</v>
      </c>
      <c r="N610" s="296" t="s">
        <v>3849</v>
      </c>
      <c r="O610" s="296" t="s">
        <v>3849</v>
      </c>
      <c r="P610" s="296" t="s">
        <v>3850</v>
      </c>
      <c r="Q610" s="296" t="s">
        <v>183</v>
      </c>
      <c r="R610" s="296" t="s">
        <v>3851</v>
      </c>
      <c r="S610" s="296" t="s">
        <v>185</v>
      </c>
      <c r="T610" s="296" t="s">
        <v>185</v>
      </c>
      <c r="U610" s="296" t="s">
        <v>186</v>
      </c>
      <c r="V610" s="296" t="s">
        <v>187</v>
      </c>
      <c r="W610" s="296" t="s">
        <v>188</v>
      </c>
      <c r="X610" s="296" t="s">
        <v>189</v>
      </c>
      <c r="Y610" s="296" t="s">
        <v>183</v>
      </c>
      <c r="Z610" s="296" t="s">
        <v>183</v>
      </c>
      <c r="AA610" s="296" t="s">
        <v>183</v>
      </c>
      <c r="AB610" s="296" t="s">
        <v>183</v>
      </c>
      <c r="AC610" s="296" t="s">
        <v>3852</v>
      </c>
      <c r="AD610" s="296" t="s">
        <v>5042</v>
      </c>
      <c r="AE610" s="296" t="s">
        <v>192</v>
      </c>
      <c r="AF610" s="296" t="s">
        <v>193</v>
      </c>
      <c r="AG610" s="296">
        <v>0</v>
      </c>
      <c r="AH610" s="298">
        <v>45576</v>
      </c>
      <c r="AJ610" s="296" t="s">
        <v>194</v>
      </c>
      <c r="AK610" s="299">
        <f>COUNTIF($A$3:A$917,A610)</f>
        <v>2</v>
      </c>
    </row>
    <row r="611" spans="1:37" x14ac:dyDescent="0.25">
      <c r="A611" s="296">
        <v>208530874</v>
      </c>
      <c r="B611" s="296" t="s">
        <v>1093</v>
      </c>
      <c r="C611" s="296" t="s">
        <v>183</v>
      </c>
      <c r="D611" s="296" t="s">
        <v>183</v>
      </c>
      <c r="E611" s="296" t="s">
        <v>183</v>
      </c>
      <c r="F611" s="296" t="s">
        <v>1094</v>
      </c>
      <c r="G611" s="296" t="s">
        <v>1094</v>
      </c>
      <c r="H611" s="296" t="s">
        <v>1095</v>
      </c>
      <c r="I611" s="296" t="s">
        <v>5036</v>
      </c>
      <c r="J611" s="296" t="s">
        <v>1096</v>
      </c>
      <c r="K611" s="296" t="s">
        <v>1097</v>
      </c>
      <c r="L611" s="296" t="s">
        <v>1098</v>
      </c>
      <c r="M611" s="296" t="s">
        <v>179</v>
      </c>
      <c r="N611" s="296" t="s">
        <v>1099</v>
      </c>
      <c r="O611" s="296" t="s">
        <v>1100</v>
      </c>
      <c r="P611" s="296" t="s">
        <v>1101</v>
      </c>
      <c r="Q611" s="296" t="s">
        <v>183</v>
      </c>
      <c r="R611" s="296" t="s">
        <v>1102</v>
      </c>
      <c r="S611" s="296" t="s">
        <v>185</v>
      </c>
      <c r="T611" s="296" t="s">
        <v>185</v>
      </c>
      <c r="U611" s="296" t="s">
        <v>186</v>
      </c>
      <c r="V611" s="296" t="s">
        <v>187</v>
      </c>
      <c r="W611" s="296" t="s">
        <v>188</v>
      </c>
      <c r="X611" s="296" t="s">
        <v>573</v>
      </c>
      <c r="Y611" s="296" t="s">
        <v>183</v>
      </c>
      <c r="Z611" s="296" t="s">
        <v>183</v>
      </c>
      <c r="AA611" s="296" t="s">
        <v>183</v>
      </c>
      <c r="AB611" s="296" t="s">
        <v>183</v>
      </c>
      <c r="AC611" s="296" t="s">
        <v>1103</v>
      </c>
      <c r="AD611" s="296" t="s">
        <v>5043</v>
      </c>
      <c r="AE611" s="296" t="s">
        <v>192</v>
      </c>
      <c r="AF611" s="296" t="s">
        <v>193</v>
      </c>
      <c r="AG611" s="296">
        <v>0</v>
      </c>
      <c r="AH611" s="298">
        <v>45848</v>
      </c>
      <c r="AJ611" s="296" t="s">
        <v>194</v>
      </c>
      <c r="AK611" s="299">
        <f>COUNTIF($A$3:A$917,A611)</f>
        <v>2</v>
      </c>
    </row>
    <row r="612" spans="1:37" x14ac:dyDescent="0.25">
      <c r="A612" s="296">
        <v>3102794886</v>
      </c>
      <c r="B612" s="296" t="s">
        <v>980</v>
      </c>
      <c r="C612" s="296" t="s">
        <v>183</v>
      </c>
      <c r="D612" s="296" t="s">
        <v>183</v>
      </c>
      <c r="E612" s="296" t="s">
        <v>183</v>
      </c>
      <c r="F612" s="296" t="s">
        <v>981</v>
      </c>
      <c r="G612" s="296" t="s">
        <v>982</v>
      </c>
      <c r="H612" s="296" t="s">
        <v>983</v>
      </c>
      <c r="I612" s="296" t="s">
        <v>5036</v>
      </c>
      <c r="J612" s="296" t="s">
        <v>5044</v>
      </c>
      <c r="K612" s="296" t="s">
        <v>986</v>
      </c>
      <c r="L612" s="296" t="s">
        <v>987</v>
      </c>
      <c r="M612" s="296" t="s">
        <v>179</v>
      </c>
      <c r="N612" s="296" t="s">
        <v>982</v>
      </c>
      <c r="O612" s="296" t="s">
        <v>988</v>
      </c>
      <c r="P612" s="296" t="s">
        <v>983</v>
      </c>
      <c r="Q612" s="296" t="s">
        <v>183</v>
      </c>
      <c r="R612" s="296" t="s">
        <v>989</v>
      </c>
      <c r="S612" s="296" t="s">
        <v>185</v>
      </c>
      <c r="T612" s="296" t="s">
        <v>185</v>
      </c>
      <c r="U612" s="296" t="s">
        <v>186</v>
      </c>
      <c r="V612" s="296" t="s">
        <v>187</v>
      </c>
      <c r="W612" s="296" t="s">
        <v>188</v>
      </c>
      <c r="X612" s="296" t="s">
        <v>189</v>
      </c>
      <c r="Y612" s="296" t="s">
        <v>183</v>
      </c>
      <c r="Z612" s="296" t="s">
        <v>183</v>
      </c>
      <c r="AA612" s="296" t="s">
        <v>183</v>
      </c>
      <c r="AB612" s="296" t="s">
        <v>183</v>
      </c>
      <c r="AC612" s="296" t="s">
        <v>990</v>
      </c>
      <c r="AD612" s="296" t="s">
        <v>5045</v>
      </c>
      <c r="AE612" s="296" t="s">
        <v>192</v>
      </c>
      <c r="AF612" s="296" t="s">
        <v>193</v>
      </c>
      <c r="AG612" s="296">
        <v>0</v>
      </c>
      <c r="AH612" s="298">
        <v>44103</v>
      </c>
      <c r="AJ612" s="296" t="s">
        <v>194</v>
      </c>
      <c r="AK612" s="299">
        <f>COUNTIF($A$3:A$917,A612)</f>
        <v>3</v>
      </c>
    </row>
    <row r="613" spans="1:37" x14ac:dyDescent="0.25">
      <c r="A613" s="296">
        <v>502280708</v>
      </c>
      <c r="B613" s="296" t="s">
        <v>1105</v>
      </c>
      <c r="C613" s="296" t="s">
        <v>183</v>
      </c>
      <c r="D613" s="296" t="s">
        <v>183</v>
      </c>
      <c r="E613" s="296" t="s">
        <v>183</v>
      </c>
      <c r="F613" s="296" t="s">
        <v>1106</v>
      </c>
      <c r="G613" s="296" t="s">
        <v>183</v>
      </c>
      <c r="H613" s="296" t="s">
        <v>1107</v>
      </c>
      <c r="I613" s="296" t="s">
        <v>5036</v>
      </c>
      <c r="J613" s="296" t="s">
        <v>1108</v>
      </c>
      <c r="K613" s="296" t="s">
        <v>1109</v>
      </c>
      <c r="L613" s="296" t="s">
        <v>1110</v>
      </c>
      <c r="M613" s="296" t="s">
        <v>179</v>
      </c>
      <c r="N613" s="296" t="s">
        <v>1111</v>
      </c>
      <c r="O613" s="296" t="s">
        <v>278</v>
      </c>
      <c r="P613" s="296" t="s">
        <v>1112</v>
      </c>
      <c r="Q613" s="296" t="s">
        <v>183</v>
      </c>
      <c r="R613" s="296" t="s">
        <v>1113</v>
      </c>
      <c r="S613" s="296" t="s">
        <v>185</v>
      </c>
      <c r="T613" s="296" t="s">
        <v>185</v>
      </c>
      <c r="U613" s="296" t="s">
        <v>186</v>
      </c>
      <c r="V613" s="296" t="s">
        <v>187</v>
      </c>
      <c r="W613" s="296" t="s">
        <v>188</v>
      </c>
      <c r="X613" s="296" t="s">
        <v>308</v>
      </c>
      <c r="Y613" s="296" t="s">
        <v>183</v>
      </c>
      <c r="Z613" s="296" t="s">
        <v>183</v>
      </c>
      <c r="AA613" s="296" t="s">
        <v>183</v>
      </c>
      <c r="AB613" s="296" t="s">
        <v>183</v>
      </c>
      <c r="AC613" s="296" t="s">
        <v>1114</v>
      </c>
      <c r="AD613" s="296" t="s">
        <v>5046</v>
      </c>
      <c r="AE613" s="296" t="s">
        <v>192</v>
      </c>
      <c r="AF613" s="296" t="s">
        <v>193</v>
      </c>
      <c r="AG613" s="296">
        <v>0</v>
      </c>
      <c r="AH613" s="298">
        <v>44909</v>
      </c>
      <c r="AJ613" s="296" t="s">
        <v>194</v>
      </c>
      <c r="AK613" s="299">
        <f>COUNTIF($A$3:A$917,A613)</f>
        <v>3</v>
      </c>
    </row>
    <row r="614" spans="1:37" x14ac:dyDescent="0.25">
      <c r="A614" s="296">
        <v>502050442</v>
      </c>
      <c r="B614" s="296" t="s">
        <v>1170</v>
      </c>
      <c r="C614" s="296" t="s">
        <v>183</v>
      </c>
      <c r="D614" s="296" t="s">
        <v>183</v>
      </c>
      <c r="E614" s="296" t="s">
        <v>183</v>
      </c>
      <c r="F614" s="296" t="s">
        <v>1171</v>
      </c>
      <c r="G614" s="296" t="s">
        <v>1172</v>
      </c>
      <c r="H614" s="296" t="s">
        <v>1173</v>
      </c>
      <c r="I614" s="296" t="s">
        <v>5036</v>
      </c>
      <c r="J614" s="296" t="s">
        <v>5047</v>
      </c>
      <c r="K614" s="296" t="s">
        <v>1175</v>
      </c>
      <c r="L614" s="296" t="s">
        <v>1170</v>
      </c>
      <c r="M614" s="296" t="s">
        <v>179</v>
      </c>
      <c r="N614" s="296" t="s">
        <v>1171</v>
      </c>
      <c r="O614" s="296" t="s">
        <v>1172</v>
      </c>
      <c r="P614" s="296" t="s">
        <v>1173</v>
      </c>
      <c r="Q614" s="296" t="s">
        <v>183</v>
      </c>
      <c r="R614" s="296" t="s">
        <v>1176</v>
      </c>
      <c r="S614" s="296" t="s">
        <v>185</v>
      </c>
      <c r="T614" s="296" t="s">
        <v>185</v>
      </c>
      <c r="U614" s="296" t="s">
        <v>186</v>
      </c>
      <c r="V614" s="296" t="s">
        <v>187</v>
      </c>
      <c r="W614" s="296" t="s">
        <v>188</v>
      </c>
      <c r="X614" s="296" t="s">
        <v>573</v>
      </c>
      <c r="Y614" s="296" t="s">
        <v>183</v>
      </c>
      <c r="Z614" s="296" t="s">
        <v>183</v>
      </c>
      <c r="AA614" s="296" t="s">
        <v>183</v>
      </c>
      <c r="AB614" s="296" t="s">
        <v>183</v>
      </c>
      <c r="AC614" s="296" t="s">
        <v>1177</v>
      </c>
      <c r="AD614" s="296" t="s">
        <v>5048</v>
      </c>
      <c r="AE614" s="296" t="s">
        <v>192</v>
      </c>
      <c r="AF614" s="296" t="s">
        <v>193</v>
      </c>
      <c r="AG614" s="296">
        <v>0</v>
      </c>
      <c r="AH614" s="298">
        <v>44805</v>
      </c>
      <c r="AJ614" s="296" t="s">
        <v>194</v>
      </c>
      <c r="AK614" s="299">
        <f>COUNTIF($A$3:A$917,A614)</f>
        <v>3</v>
      </c>
    </row>
    <row r="615" spans="1:37" x14ac:dyDescent="0.25">
      <c r="A615" s="296">
        <v>501461316</v>
      </c>
      <c r="B615" s="296" t="s">
        <v>1179</v>
      </c>
      <c r="C615" s="296" t="s">
        <v>183</v>
      </c>
      <c r="D615" s="296" t="s">
        <v>183</v>
      </c>
      <c r="E615" s="296" t="s">
        <v>183</v>
      </c>
      <c r="F615" s="296" t="s">
        <v>1180</v>
      </c>
      <c r="G615" s="296" t="s">
        <v>1181</v>
      </c>
      <c r="H615" s="296" t="s">
        <v>1182</v>
      </c>
      <c r="I615" s="296" t="s">
        <v>5036</v>
      </c>
      <c r="J615" s="296" t="s">
        <v>1183</v>
      </c>
      <c r="K615" s="296" t="s">
        <v>1184</v>
      </c>
      <c r="L615" s="296" t="s">
        <v>1185</v>
      </c>
      <c r="M615" s="296" t="s">
        <v>179</v>
      </c>
      <c r="N615" s="296" t="s">
        <v>1186</v>
      </c>
      <c r="O615" s="296" t="s">
        <v>1186</v>
      </c>
      <c r="P615" s="296" t="s">
        <v>1187</v>
      </c>
      <c r="Q615" s="296" t="s">
        <v>183</v>
      </c>
      <c r="R615" s="296" t="s">
        <v>1188</v>
      </c>
      <c r="S615" s="296" t="s">
        <v>185</v>
      </c>
      <c r="T615" s="296" t="s">
        <v>185</v>
      </c>
      <c r="U615" s="296" t="s">
        <v>186</v>
      </c>
      <c r="V615" s="296" t="s">
        <v>187</v>
      </c>
      <c r="W615" s="296" t="s">
        <v>188</v>
      </c>
      <c r="X615" s="296" t="s">
        <v>404</v>
      </c>
      <c r="Y615" s="296" t="s">
        <v>183</v>
      </c>
      <c r="Z615" s="296" t="s">
        <v>183</v>
      </c>
      <c r="AA615" s="296" t="s">
        <v>183</v>
      </c>
      <c r="AB615" s="296" t="s">
        <v>183</v>
      </c>
      <c r="AC615" s="296" t="s">
        <v>1189</v>
      </c>
      <c r="AD615" s="296" t="s">
        <v>5049</v>
      </c>
      <c r="AE615" s="296" t="s">
        <v>192</v>
      </c>
      <c r="AF615" s="296" t="s">
        <v>193</v>
      </c>
      <c r="AG615" s="296">
        <v>0</v>
      </c>
      <c r="AH615" s="298">
        <v>45145</v>
      </c>
      <c r="AJ615" s="296" t="s">
        <v>194</v>
      </c>
      <c r="AK615" s="299">
        <f>COUNTIF($A$3:A$917,A615)</f>
        <v>3</v>
      </c>
    </row>
    <row r="616" spans="1:37" x14ac:dyDescent="0.25">
      <c r="A616" s="296">
        <v>3101142587</v>
      </c>
      <c r="B616" s="296" t="s">
        <v>1209</v>
      </c>
      <c r="C616" s="296" t="s">
        <v>183</v>
      </c>
      <c r="D616" s="296" t="s">
        <v>183</v>
      </c>
      <c r="E616" s="296" t="s">
        <v>183</v>
      </c>
      <c r="F616" s="296" t="s">
        <v>1210</v>
      </c>
      <c r="G616" s="296" t="s">
        <v>183</v>
      </c>
      <c r="H616" s="296" t="s">
        <v>1211</v>
      </c>
      <c r="I616" s="296" t="s">
        <v>5036</v>
      </c>
      <c r="J616" s="296" t="s">
        <v>5050</v>
      </c>
      <c r="K616" s="296" t="s">
        <v>1213</v>
      </c>
      <c r="L616" s="296" t="s">
        <v>1214</v>
      </c>
      <c r="M616" s="296" t="s">
        <v>179</v>
      </c>
      <c r="N616" s="296" t="s">
        <v>1210</v>
      </c>
      <c r="O616" s="296" t="s">
        <v>183</v>
      </c>
      <c r="P616" s="296" t="s">
        <v>1215</v>
      </c>
      <c r="Q616" s="296" t="s">
        <v>183</v>
      </c>
      <c r="R616" s="296" t="s">
        <v>1216</v>
      </c>
      <c r="S616" s="296" t="s">
        <v>185</v>
      </c>
      <c r="T616" s="296" t="s">
        <v>185</v>
      </c>
      <c r="U616" s="296" t="s">
        <v>186</v>
      </c>
      <c r="V616" s="296" t="s">
        <v>187</v>
      </c>
      <c r="W616" s="296" t="s">
        <v>188</v>
      </c>
      <c r="X616" s="296" t="s">
        <v>256</v>
      </c>
      <c r="Y616" s="296" t="s">
        <v>183</v>
      </c>
      <c r="Z616" s="296" t="s">
        <v>183</v>
      </c>
      <c r="AA616" s="296" t="s">
        <v>183</v>
      </c>
      <c r="AB616" s="296" t="s">
        <v>183</v>
      </c>
      <c r="AC616" s="296" t="s">
        <v>1217</v>
      </c>
      <c r="AD616" s="296" t="s">
        <v>5051</v>
      </c>
      <c r="AE616" s="296" t="s">
        <v>192</v>
      </c>
      <c r="AF616" s="296" t="s">
        <v>193</v>
      </c>
      <c r="AG616" s="296">
        <v>9852.25</v>
      </c>
      <c r="AH616" s="298">
        <v>36564</v>
      </c>
      <c r="AJ616" s="296" t="s">
        <v>194</v>
      </c>
      <c r="AK616" s="299">
        <f>COUNTIF($A$3:A$917,A616)</f>
        <v>4</v>
      </c>
    </row>
    <row r="617" spans="1:37" x14ac:dyDescent="0.25">
      <c r="A617" s="296">
        <v>3102917890</v>
      </c>
      <c r="B617" s="296" t="s">
        <v>4794</v>
      </c>
      <c r="C617" s="296" t="s">
        <v>4795</v>
      </c>
      <c r="D617" s="296" t="s">
        <v>4796</v>
      </c>
      <c r="E617" s="296" t="s">
        <v>172</v>
      </c>
      <c r="F617" s="296" t="s">
        <v>4797</v>
      </c>
      <c r="G617" s="296" t="s">
        <v>4797</v>
      </c>
      <c r="H617" s="296" t="s">
        <v>4798</v>
      </c>
      <c r="I617" s="296" t="s">
        <v>5036</v>
      </c>
      <c r="J617" s="296" t="s">
        <v>4799</v>
      </c>
      <c r="K617" s="296" t="s">
        <v>2060</v>
      </c>
      <c r="L617" s="296" t="s">
        <v>2061</v>
      </c>
      <c r="M617" s="296" t="s">
        <v>179</v>
      </c>
      <c r="N617" s="296" t="s">
        <v>2062</v>
      </c>
      <c r="O617" s="296" t="s">
        <v>183</v>
      </c>
      <c r="P617" s="296" t="s">
        <v>2063</v>
      </c>
      <c r="Q617" s="296" t="s">
        <v>183</v>
      </c>
      <c r="R617" s="296" t="s">
        <v>2064</v>
      </c>
      <c r="S617" s="296" t="s">
        <v>185</v>
      </c>
      <c r="T617" s="296" t="s">
        <v>185</v>
      </c>
      <c r="U617" s="296" t="s">
        <v>186</v>
      </c>
      <c r="V617" s="296" t="s">
        <v>187</v>
      </c>
      <c r="W617" s="296" t="s">
        <v>188</v>
      </c>
      <c r="X617" s="296" t="s">
        <v>189</v>
      </c>
      <c r="Y617" s="296" t="s">
        <v>183</v>
      </c>
      <c r="Z617" s="296" t="s">
        <v>183</v>
      </c>
      <c r="AA617" s="296" t="s">
        <v>183</v>
      </c>
      <c r="AB617" s="296" t="s">
        <v>183</v>
      </c>
      <c r="AC617" s="296" t="s">
        <v>2065</v>
      </c>
      <c r="AD617" s="296" t="s">
        <v>5052</v>
      </c>
      <c r="AE617" s="296" t="s">
        <v>192</v>
      </c>
      <c r="AF617" s="296" t="s">
        <v>193</v>
      </c>
      <c r="AG617" s="296">
        <v>0</v>
      </c>
      <c r="AH617" s="298">
        <v>45622</v>
      </c>
      <c r="AJ617" s="296" t="s">
        <v>194</v>
      </c>
      <c r="AK617" s="299">
        <f>COUNTIF($A$3:A$917,A617)</f>
        <v>2</v>
      </c>
    </row>
    <row r="618" spans="1:37" x14ac:dyDescent="0.25">
      <c r="A618" s="296">
        <v>3101665793</v>
      </c>
      <c r="B618" s="296" t="s">
        <v>945</v>
      </c>
      <c r="C618" s="296" t="s">
        <v>183</v>
      </c>
      <c r="D618" s="296" t="s">
        <v>183</v>
      </c>
      <c r="E618" s="296" t="s">
        <v>183</v>
      </c>
      <c r="F618" s="296" t="s">
        <v>946</v>
      </c>
      <c r="G618" s="296" t="s">
        <v>947</v>
      </c>
      <c r="H618" s="296" t="s">
        <v>948</v>
      </c>
      <c r="I618" s="296" t="s">
        <v>5036</v>
      </c>
      <c r="J618" s="296" t="s">
        <v>5053</v>
      </c>
      <c r="K618" s="296" t="s">
        <v>951</v>
      </c>
      <c r="L618" s="296" t="s">
        <v>952</v>
      </c>
      <c r="M618" s="296" t="s">
        <v>179</v>
      </c>
      <c r="N618" s="296" t="s">
        <v>953</v>
      </c>
      <c r="O618" s="296" t="s">
        <v>954</v>
      </c>
      <c r="P618" s="296" t="s">
        <v>948</v>
      </c>
      <c r="Q618" s="296" t="s">
        <v>183</v>
      </c>
      <c r="R618" s="296" t="s">
        <v>955</v>
      </c>
      <c r="S618" s="296" t="s">
        <v>185</v>
      </c>
      <c r="T618" s="296" t="s">
        <v>185</v>
      </c>
      <c r="U618" s="296" t="s">
        <v>186</v>
      </c>
      <c r="V618" s="296" t="s">
        <v>187</v>
      </c>
      <c r="W618" s="296" t="s">
        <v>188</v>
      </c>
      <c r="X618" s="296" t="s">
        <v>224</v>
      </c>
      <c r="Y618" s="296" t="s">
        <v>183</v>
      </c>
      <c r="Z618" s="296" t="s">
        <v>183</v>
      </c>
      <c r="AA618" s="296" t="s">
        <v>183</v>
      </c>
      <c r="AB618" s="296" t="s">
        <v>183</v>
      </c>
      <c r="AC618" s="296" t="s">
        <v>956</v>
      </c>
      <c r="AD618" s="296" t="s">
        <v>5054</v>
      </c>
      <c r="AE618" s="296" t="s">
        <v>192</v>
      </c>
      <c r="AF618" s="296" t="s">
        <v>193</v>
      </c>
      <c r="AG618" s="296">
        <v>0</v>
      </c>
      <c r="AH618" s="298">
        <v>44127</v>
      </c>
      <c r="AJ618" s="296" t="s">
        <v>194</v>
      </c>
      <c r="AK618" s="299">
        <f>COUNTIF($A$3:A$917,A618)</f>
        <v>7</v>
      </c>
    </row>
    <row r="619" spans="1:37" x14ac:dyDescent="0.25">
      <c r="A619" s="296">
        <v>502710312</v>
      </c>
      <c r="B619" s="296" t="s">
        <v>239</v>
      </c>
      <c r="C619" s="296" t="s">
        <v>183</v>
      </c>
      <c r="D619" s="296" t="s">
        <v>183</v>
      </c>
      <c r="E619" s="296" t="s">
        <v>183</v>
      </c>
      <c r="F619" s="296" t="s">
        <v>240</v>
      </c>
      <c r="G619" s="296" t="s">
        <v>241</v>
      </c>
      <c r="H619" s="296" t="s">
        <v>242</v>
      </c>
      <c r="I619" s="296" t="s">
        <v>5036</v>
      </c>
      <c r="J619" s="296" t="s">
        <v>243</v>
      </c>
      <c r="K619" s="296" t="s">
        <v>244</v>
      </c>
      <c r="L619" s="296" t="s">
        <v>239</v>
      </c>
      <c r="M619" s="296" t="s">
        <v>179</v>
      </c>
      <c r="N619" s="296" t="s">
        <v>240</v>
      </c>
      <c r="O619" s="296" t="s">
        <v>241</v>
      </c>
      <c r="P619" s="296" t="s">
        <v>242</v>
      </c>
      <c r="Q619" s="296" t="s">
        <v>183</v>
      </c>
      <c r="R619" s="296" t="s">
        <v>245</v>
      </c>
      <c r="S619" s="296" t="s">
        <v>185</v>
      </c>
      <c r="T619" s="296" t="s">
        <v>185</v>
      </c>
      <c r="U619" s="296" t="s">
        <v>186</v>
      </c>
      <c r="V619" s="296" t="s">
        <v>187</v>
      </c>
      <c r="W619" s="296" t="s">
        <v>188</v>
      </c>
      <c r="X619" s="296" t="s">
        <v>246</v>
      </c>
      <c r="Y619" s="296" t="s">
        <v>183</v>
      </c>
      <c r="Z619" s="296" t="s">
        <v>183</v>
      </c>
      <c r="AA619" s="296" t="s">
        <v>183</v>
      </c>
      <c r="AB619" s="296" t="s">
        <v>183</v>
      </c>
      <c r="AC619" s="296" t="s">
        <v>247</v>
      </c>
      <c r="AD619" s="296" t="s">
        <v>5055</v>
      </c>
      <c r="AE619" s="296" t="s">
        <v>192</v>
      </c>
      <c r="AF619" s="296" t="s">
        <v>193</v>
      </c>
      <c r="AG619" s="296">
        <v>0</v>
      </c>
      <c r="AH619" s="298">
        <v>45351</v>
      </c>
      <c r="AJ619" s="296" t="s">
        <v>194</v>
      </c>
      <c r="AK619" s="299">
        <f>COUNTIF($A$3:A$917,A619)</f>
        <v>2</v>
      </c>
    </row>
    <row r="620" spans="1:37" x14ac:dyDescent="0.25">
      <c r="A620" s="296">
        <v>107890272</v>
      </c>
      <c r="B620" s="296" t="s">
        <v>1241</v>
      </c>
      <c r="C620" s="296" t="s">
        <v>183</v>
      </c>
      <c r="D620" s="296" t="s">
        <v>183</v>
      </c>
      <c r="E620" s="296" t="s">
        <v>183</v>
      </c>
      <c r="F620" s="296" t="s">
        <v>1242</v>
      </c>
      <c r="G620" s="296" t="s">
        <v>183</v>
      </c>
      <c r="H620" s="296" t="s">
        <v>1243</v>
      </c>
      <c r="I620" s="296" t="s">
        <v>5036</v>
      </c>
      <c r="J620" s="296" t="s">
        <v>1244</v>
      </c>
      <c r="K620" s="296" t="s">
        <v>1245</v>
      </c>
      <c r="L620" s="296" t="s">
        <v>1246</v>
      </c>
      <c r="M620" s="296" t="s">
        <v>179</v>
      </c>
      <c r="N620" s="296" t="s">
        <v>1247</v>
      </c>
      <c r="O620" s="296" t="s">
        <v>1248</v>
      </c>
      <c r="P620" s="296" t="s">
        <v>1249</v>
      </c>
      <c r="Q620" s="296" t="s">
        <v>183</v>
      </c>
      <c r="R620" s="296" t="s">
        <v>1250</v>
      </c>
      <c r="S620" s="296" t="s">
        <v>185</v>
      </c>
      <c r="T620" s="296" t="s">
        <v>185</v>
      </c>
      <c r="U620" s="296" t="s">
        <v>186</v>
      </c>
      <c r="V620" s="296" t="s">
        <v>187</v>
      </c>
      <c r="W620" s="296" t="s">
        <v>188</v>
      </c>
      <c r="X620" s="296" t="s">
        <v>308</v>
      </c>
      <c r="Y620" s="296" t="s">
        <v>183</v>
      </c>
      <c r="Z620" s="296" t="s">
        <v>183</v>
      </c>
      <c r="AA620" s="296" t="s">
        <v>183</v>
      </c>
      <c r="AB620" s="296" t="s">
        <v>183</v>
      </c>
      <c r="AC620" s="296" t="s">
        <v>1251</v>
      </c>
      <c r="AD620" s="296" t="s">
        <v>5056</v>
      </c>
      <c r="AE620" s="296" t="s">
        <v>192</v>
      </c>
      <c r="AF620" s="296" t="s">
        <v>193</v>
      </c>
      <c r="AG620" s="296">
        <v>0</v>
      </c>
      <c r="AH620" s="298">
        <v>45139</v>
      </c>
      <c r="AJ620" s="296" t="s">
        <v>194</v>
      </c>
      <c r="AK620" s="299">
        <f>COUNTIF($A$3:A$917,A620)</f>
        <v>2</v>
      </c>
    </row>
    <row r="621" spans="1:37" x14ac:dyDescent="0.25">
      <c r="A621" s="296">
        <v>504050396</v>
      </c>
      <c r="B621" s="296" t="s">
        <v>1253</v>
      </c>
      <c r="C621" s="296" t="s">
        <v>183</v>
      </c>
      <c r="D621" s="296" t="s">
        <v>183</v>
      </c>
      <c r="E621" s="296" t="s">
        <v>183</v>
      </c>
      <c r="F621" s="296" t="s">
        <v>1254</v>
      </c>
      <c r="G621" s="296" t="s">
        <v>183</v>
      </c>
      <c r="H621" s="296" t="s">
        <v>1255</v>
      </c>
      <c r="I621" s="296" t="s">
        <v>5036</v>
      </c>
      <c r="J621" s="296" t="s">
        <v>1256</v>
      </c>
      <c r="K621" s="296" t="s">
        <v>1257</v>
      </c>
      <c r="L621" s="296" t="s">
        <v>1258</v>
      </c>
      <c r="M621" s="296" t="s">
        <v>179</v>
      </c>
      <c r="N621" s="296" t="s">
        <v>1259</v>
      </c>
      <c r="O621" s="296" t="s">
        <v>278</v>
      </c>
      <c r="P621" s="296" t="s">
        <v>1260</v>
      </c>
      <c r="Q621" s="296" t="s">
        <v>183</v>
      </c>
      <c r="R621" s="296" t="s">
        <v>1261</v>
      </c>
      <c r="S621" s="296" t="s">
        <v>185</v>
      </c>
      <c r="T621" s="296" t="s">
        <v>185</v>
      </c>
      <c r="U621" s="296" t="s">
        <v>186</v>
      </c>
      <c r="V621" s="296" t="s">
        <v>187</v>
      </c>
      <c r="W621" s="296" t="s">
        <v>188</v>
      </c>
      <c r="X621" s="296" t="s">
        <v>189</v>
      </c>
      <c r="Y621" s="296" t="s">
        <v>183</v>
      </c>
      <c r="Z621" s="296" t="s">
        <v>183</v>
      </c>
      <c r="AA621" s="296" t="s">
        <v>183</v>
      </c>
      <c r="AB621" s="296" t="s">
        <v>183</v>
      </c>
      <c r="AC621" s="296" t="s">
        <v>1262</v>
      </c>
      <c r="AD621" s="296" t="s">
        <v>5057</v>
      </c>
      <c r="AE621" s="296" t="s">
        <v>192</v>
      </c>
      <c r="AF621" s="296" t="s">
        <v>193</v>
      </c>
      <c r="AG621" s="296">
        <v>0</v>
      </c>
      <c r="AH621" s="298">
        <v>45702</v>
      </c>
      <c r="AJ621" s="296" t="s">
        <v>194</v>
      </c>
      <c r="AK621" s="299">
        <f>COUNTIF($A$3:A$917,A621)</f>
        <v>3</v>
      </c>
    </row>
    <row r="622" spans="1:37" x14ac:dyDescent="0.25">
      <c r="A622" s="296">
        <v>3101738362</v>
      </c>
      <c r="B622" s="296" t="s">
        <v>5058</v>
      </c>
      <c r="C622" s="296" t="s">
        <v>183</v>
      </c>
      <c r="D622" s="296" t="s">
        <v>183</v>
      </c>
      <c r="E622" s="296" t="s">
        <v>183</v>
      </c>
      <c r="F622" s="296" t="s">
        <v>5059</v>
      </c>
      <c r="G622" s="296" t="s">
        <v>5059</v>
      </c>
      <c r="H622" s="296" t="s">
        <v>5060</v>
      </c>
      <c r="I622" s="296" t="s">
        <v>5061</v>
      </c>
      <c r="J622" s="296" t="s">
        <v>5062</v>
      </c>
      <c r="K622" s="296" t="s">
        <v>602</v>
      </c>
      <c r="L622" s="296" t="s">
        <v>603</v>
      </c>
      <c r="M622" s="296" t="s">
        <v>179</v>
      </c>
      <c r="N622" s="296" t="s">
        <v>604</v>
      </c>
      <c r="O622" s="296" t="s">
        <v>604</v>
      </c>
      <c r="P622" s="296" t="s">
        <v>605</v>
      </c>
      <c r="Q622" s="296" t="s">
        <v>183</v>
      </c>
      <c r="R622" s="296" t="s">
        <v>606</v>
      </c>
      <c r="S622" s="296" t="s">
        <v>185</v>
      </c>
      <c r="T622" s="296" t="s">
        <v>185</v>
      </c>
      <c r="U622" s="296" t="s">
        <v>186</v>
      </c>
      <c r="V622" s="296" t="s">
        <v>187</v>
      </c>
      <c r="W622" s="296" t="s">
        <v>188</v>
      </c>
      <c r="X622" s="296" t="s">
        <v>189</v>
      </c>
      <c r="Y622" s="296" t="s">
        <v>183</v>
      </c>
      <c r="Z622" s="296" t="s">
        <v>183</v>
      </c>
      <c r="AA622" s="296" t="s">
        <v>183</v>
      </c>
      <c r="AB622" s="296" t="s">
        <v>183</v>
      </c>
      <c r="AC622" s="296" t="s">
        <v>607</v>
      </c>
      <c r="AD622" s="296" t="s">
        <v>5063</v>
      </c>
      <c r="AE622" s="296" t="s">
        <v>192</v>
      </c>
      <c r="AF622" s="296" t="s">
        <v>193</v>
      </c>
      <c r="AG622" s="296">
        <v>0</v>
      </c>
      <c r="AH622" s="298">
        <v>44669</v>
      </c>
      <c r="AJ622" s="296" t="s">
        <v>194</v>
      </c>
      <c r="AK622" s="299">
        <f>COUNTIF($A$3:A$917,A622)</f>
        <v>1</v>
      </c>
    </row>
    <row r="623" spans="1:37" x14ac:dyDescent="0.25">
      <c r="A623" s="296">
        <v>503850007</v>
      </c>
      <c r="B623" s="296" t="s">
        <v>5064</v>
      </c>
      <c r="C623" s="296" t="s">
        <v>183</v>
      </c>
      <c r="D623" s="296" t="s">
        <v>183</v>
      </c>
      <c r="E623" s="296" t="s">
        <v>183</v>
      </c>
      <c r="F623" s="296" t="s">
        <v>5065</v>
      </c>
      <c r="G623" s="296" t="s">
        <v>5065</v>
      </c>
      <c r="H623" s="296" t="s">
        <v>5066</v>
      </c>
      <c r="I623" s="296" t="s">
        <v>5067</v>
      </c>
      <c r="J623" s="296" t="s">
        <v>5068</v>
      </c>
      <c r="K623" s="296" t="s">
        <v>1085</v>
      </c>
      <c r="L623" s="296" t="s">
        <v>1086</v>
      </c>
      <c r="M623" s="296" t="s">
        <v>179</v>
      </c>
      <c r="N623" s="296" t="s">
        <v>1087</v>
      </c>
      <c r="O623" s="296" t="s">
        <v>1088</v>
      </c>
      <c r="P623" s="296" t="s">
        <v>1089</v>
      </c>
      <c r="Q623" s="296" t="s">
        <v>183</v>
      </c>
      <c r="R623" s="296" t="s">
        <v>3737</v>
      </c>
      <c r="S623" s="296" t="s">
        <v>185</v>
      </c>
      <c r="T623" s="296" t="s">
        <v>185</v>
      </c>
      <c r="U623" s="296" t="s">
        <v>186</v>
      </c>
      <c r="V623" s="296" t="s">
        <v>187</v>
      </c>
      <c r="W623" s="296" t="s">
        <v>188</v>
      </c>
      <c r="X623" s="296" t="s">
        <v>189</v>
      </c>
      <c r="Y623" s="296" t="s">
        <v>183</v>
      </c>
      <c r="Z623" s="296" t="s">
        <v>183</v>
      </c>
      <c r="AA623" s="296" t="s">
        <v>183</v>
      </c>
      <c r="AB623" s="296" t="s">
        <v>183</v>
      </c>
      <c r="AC623" s="296" t="s">
        <v>3738</v>
      </c>
      <c r="AD623" s="296" t="s">
        <v>5069</v>
      </c>
      <c r="AE623" s="296" t="s">
        <v>192</v>
      </c>
      <c r="AF623" s="296" t="s">
        <v>193</v>
      </c>
      <c r="AG623" s="296">
        <v>0</v>
      </c>
      <c r="AH623" s="298">
        <v>45384</v>
      </c>
      <c r="AJ623" s="296" t="s">
        <v>194</v>
      </c>
      <c r="AK623" s="299">
        <f>COUNTIF($A$3:A$917,A623)</f>
        <v>1</v>
      </c>
    </row>
    <row r="624" spans="1:37" x14ac:dyDescent="0.25">
      <c r="A624" s="296">
        <v>3101747406</v>
      </c>
      <c r="B624" s="296" t="s">
        <v>5070</v>
      </c>
      <c r="C624" s="296" t="s">
        <v>183</v>
      </c>
      <c r="D624" s="296" t="s">
        <v>183</v>
      </c>
      <c r="E624" s="296" t="s">
        <v>183</v>
      </c>
      <c r="F624" s="296" t="s">
        <v>5071</v>
      </c>
      <c r="G624" s="296" t="s">
        <v>5072</v>
      </c>
      <c r="H624" s="296" t="s">
        <v>2081</v>
      </c>
      <c r="I624" s="296" t="s">
        <v>5073</v>
      </c>
      <c r="J624" s="296" t="s">
        <v>5074</v>
      </c>
      <c r="K624" s="296" t="s">
        <v>5075</v>
      </c>
      <c r="L624" s="296" t="s">
        <v>5070</v>
      </c>
      <c r="M624" s="296" t="s">
        <v>179</v>
      </c>
      <c r="N624" s="296" t="s">
        <v>5071</v>
      </c>
      <c r="O624" s="296" t="s">
        <v>5072</v>
      </c>
      <c r="P624" s="296" t="s">
        <v>2081</v>
      </c>
      <c r="Q624" s="296" t="s">
        <v>183</v>
      </c>
      <c r="R624" s="296" t="s">
        <v>5076</v>
      </c>
      <c r="S624" s="296" t="s">
        <v>185</v>
      </c>
      <c r="T624" s="296" t="s">
        <v>185</v>
      </c>
      <c r="U624" s="296" t="s">
        <v>186</v>
      </c>
      <c r="V624" s="296" t="s">
        <v>187</v>
      </c>
      <c r="W624" s="296" t="s">
        <v>188</v>
      </c>
      <c r="X624" s="296" t="s">
        <v>189</v>
      </c>
      <c r="Y624" s="296" t="s">
        <v>183</v>
      </c>
      <c r="Z624" s="296" t="s">
        <v>183</v>
      </c>
      <c r="AA624" s="296" t="s">
        <v>183</v>
      </c>
      <c r="AB624" s="296" t="s">
        <v>183</v>
      </c>
      <c r="AC624" s="296" t="s">
        <v>5077</v>
      </c>
      <c r="AD624" s="296" t="s">
        <v>5078</v>
      </c>
      <c r="AE624" s="296" t="s">
        <v>192</v>
      </c>
      <c r="AF624" s="296" t="s">
        <v>193</v>
      </c>
      <c r="AG624" s="296">
        <v>258565.5</v>
      </c>
      <c r="AH624" s="298">
        <v>43661</v>
      </c>
      <c r="AJ624" s="296" t="s">
        <v>194</v>
      </c>
      <c r="AK624" s="299">
        <f>COUNTIF($A$3:A$917,A624)</f>
        <v>1</v>
      </c>
    </row>
    <row r="625" spans="1:37" x14ac:dyDescent="0.25">
      <c r="A625" s="296">
        <v>503030032</v>
      </c>
      <c r="B625" s="296" t="s">
        <v>5079</v>
      </c>
      <c r="C625" s="296" t="s">
        <v>183</v>
      </c>
      <c r="D625" s="296" t="s">
        <v>183</v>
      </c>
      <c r="E625" s="296" t="s">
        <v>183</v>
      </c>
      <c r="F625" s="296" t="s">
        <v>5080</v>
      </c>
      <c r="G625" s="296" t="s">
        <v>5081</v>
      </c>
      <c r="H625" s="296" t="s">
        <v>5082</v>
      </c>
      <c r="I625" s="296" t="s">
        <v>5083</v>
      </c>
      <c r="J625" s="296" t="s">
        <v>5084</v>
      </c>
      <c r="K625" s="296" t="s">
        <v>183</v>
      </c>
      <c r="L625" s="296" t="s">
        <v>183</v>
      </c>
      <c r="M625" s="296" t="s">
        <v>183</v>
      </c>
      <c r="N625" s="296" t="s">
        <v>4586</v>
      </c>
      <c r="O625" s="296" t="s">
        <v>183</v>
      </c>
      <c r="P625" s="296" t="s">
        <v>183</v>
      </c>
      <c r="Q625" s="296" t="s">
        <v>183</v>
      </c>
      <c r="R625" s="296" t="s">
        <v>183</v>
      </c>
      <c r="S625" s="296" t="s">
        <v>183</v>
      </c>
      <c r="T625" s="296" t="s">
        <v>183</v>
      </c>
      <c r="U625" s="296" t="s">
        <v>183</v>
      </c>
      <c r="V625" s="296" t="s">
        <v>183</v>
      </c>
      <c r="W625" s="296" t="s">
        <v>183</v>
      </c>
      <c r="X625" s="296" t="s">
        <v>183</v>
      </c>
      <c r="Y625" s="296" t="s">
        <v>183</v>
      </c>
      <c r="Z625" s="296" t="s">
        <v>183</v>
      </c>
      <c r="AA625" s="296" t="s">
        <v>183</v>
      </c>
      <c r="AB625" s="296" t="s">
        <v>183</v>
      </c>
      <c r="AC625" s="296" t="s">
        <v>183</v>
      </c>
      <c r="AD625" s="296" t="s">
        <v>5085</v>
      </c>
      <c r="AE625" s="296" t="s">
        <v>192</v>
      </c>
      <c r="AF625" s="296" t="s">
        <v>193</v>
      </c>
      <c r="AG625" s="296">
        <v>0</v>
      </c>
      <c r="AH625" s="298">
        <v>45254</v>
      </c>
      <c r="AJ625" s="296" t="s">
        <v>194</v>
      </c>
      <c r="AK625" s="299">
        <f>COUNTIF($A$3:A$917,A625)</f>
        <v>1</v>
      </c>
    </row>
    <row r="626" spans="1:37" x14ac:dyDescent="0.25">
      <c r="A626" s="296">
        <v>602680159</v>
      </c>
      <c r="B626" s="296" t="s">
        <v>5086</v>
      </c>
      <c r="C626" s="296" t="s">
        <v>183</v>
      </c>
      <c r="D626" s="296" t="s">
        <v>183</v>
      </c>
      <c r="E626" s="296" t="s">
        <v>183</v>
      </c>
      <c r="F626" s="296" t="s">
        <v>5087</v>
      </c>
      <c r="G626" s="296" t="s">
        <v>5087</v>
      </c>
      <c r="H626" s="296" t="s">
        <v>5088</v>
      </c>
      <c r="I626" s="296" t="s">
        <v>5083</v>
      </c>
      <c r="J626" s="296" t="s">
        <v>5089</v>
      </c>
      <c r="K626" s="296" t="s">
        <v>183</v>
      </c>
      <c r="L626" s="296" t="s">
        <v>183</v>
      </c>
      <c r="M626" s="296" t="s">
        <v>183</v>
      </c>
      <c r="N626" s="296" t="s">
        <v>3251</v>
      </c>
      <c r="O626" s="296" t="s">
        <v>183</v>
      </c>
      <c r="P626" s="296" t="s">
        <v>183</v>
      </c>
      <c r="Q626" s="296" t="s">
        <v>183</v>
      </c>
      <c r="R626" s="296" t="s">
        <v>183</v>
      </c>
      <c r="S626" s="296" t="s">
        <v>183</v>
      </c>
      <c r="T626" s="296" t="s">
        <v>183</v>
      </c>
      <c r="U626" s="296" t="s">
        <v>183</v>
      </c>
      <c r="V626" s="296" t="s">
        <v>183</v>
      </c>
      <c r="W626" s="296" t="s">
        <v>183</v>
      </c>
      <c r="X626" s="296" t="s">
        <v>183</v>
      </c>
      <c r="Y626" s="296" t="s">
        <v>183</v>
      </c>
      <c r="Z626" s="296" t="s">
        <v>183</v>
      </c>
      <c r="AA626" s="296" t="s">
        <v>183</v>
      </c>
      <c r="AB626" s="296" t="s">
        <v>183</v>
      </c>
      <c r="AC626" s="296" t="s">
        <v>183</v>
      </c>
      <c r="AD626" s="296" t="s">
        <v>5090</v>
      </c>
      <c r="AE626" s="296" t="s">
        <v>192</v>
      </c>
      <c r="AF626" s="296" t="s">
        <v>193</v>
      </c>
      <c r="AG626" s="296">
        <v>0</v>
      </c>
      <c r="AH626" s="298">
        <v>45646</v>
      </c>
      <c r="AJ626" s="296" t="s">
        <v>194</v>
      </c>
      <c r="AK626" s="299">
        <f>COUNTIF($A$3:A$917,A626)</f>
        <v>1</v>
      </c>
    </row>
    <row r="627" spans="1:37" x14ac:dyDescent="0.25">
      <c r="A627" s="296">
        <v>206600592</v>
      </c>
      <c r="B627" s="296" t="s">
        <v>5091</v>
      </c>
      <c r="C627" s="296" t="s">
        <v>183</v>
      </c>
      <c r="D627" s="296" t="s">
        <v>183</v>
      </c>
      <c r="E627" s="296" t="s">
        <v>183</v>
      </c>
      <c r="F627" s="296" t="s">
        <v>5092</v>
      </c>
      <c r="G627" s="296" t="s">
        <v>183</v>
      </c>
      <c r="H627" s="296" t="s">
        <v>5093</v>
      </c>
      <c r="I627" s="296" t="s">
        <v>5094</v>
      </c>
      <c r="J627" s="296" t="s">
        <v>5095</v>
      </c>
      <c r="K627" s="296" t="s">
        <v>4174</v>
      </c>
      <c r="L627" s="296" t="s">
        <v>4175</v>
      </c>
      <c r="M627" s="296" t="s">
        <v>179</v>
      </c>
      <c r="N627" s="296" t="s">
        <v>4176</v>
      </c>
      <c r="O627" s="296" t="s">
        <v>4177</v>
      </c>
      <c r="P627" s="296" t="s">
        <v>4178</v>
      </c>
      <c r="Q627" s="296" t="s">
        <v>183</v>
      </c>
      <c r="R627" s="296" t="s">
        <v>5096</v>
      </c>
      <c r="S627" s="296" t="s">
        <v>185</v>
      </c>
      <c r="T627" s="296" t="s">
        <v>185</v>
      </c>
      <c r="U627" s="296" t="s">
        <v>186</v>
      </c>
      <c r="V627" s="296" t="s">
        <v>187</v>
      </c>
      <c r="W627" s="296" t="s">
        <v>188</v>
      </c>
      <c r="X627" s="296" t="s">
        <v>189</v>
      </c>
      <c r="Y627" s="296" t="s">
        <v>183</v>
      </c>
      <c r="Z627" s="296" t="s">
        <v>183</v>
      </c>
      <c r="AA627" s="296" t="s">
        <v>183</v>
      </c>
      <c r="AB627" s="296" t="s">
        <v>183</v>
      </c>
      <c r="AC627" s="296" t="s">
        <v>4984</v>
      </c>
      <c r="AD627" s="296" t="s">
        <v>5097</v>
      </c>
      <c r="AE627" s="296" t="s">
        <v>192</v>
      </c>
      <c r="AF627" s="296" t="s">
        <v>193</v>
      </c>
      <c r="AG627" s="296">
        <v>0</v>
      </c>
      <c r="AH627" s="298">
        <v>45965</v>
      </c>
      <c r="AJ627" s="296" t="s">
        <v>194</v>
      </c>
      <c r="AK627" s="299">
        <f>COUNTIF($A$3:A$917,A627)</f>
        <v>1</v>
      </c>
    </row>
    <row r="628" spans="1:37" x14ac:dyDescent="0.25">
      <c r="A628" s="296">
        <v>3102841358</v>
      </c>
      <c r="B628" s="296" t="s">
        <v>5098</v>
      </c>
      <c r="C628" s="296" t="s">
        <v>183</v>
      </c>
      <c r="D628" s="296" t="s">
        <v>183</v>
      </c>
      <c r="E628" s="296" t="s">
        <v>183</v>
      </c>
      <c r="F628" s="296" t="s">
        <v>2156</v>
      </c>
      <c r="G628" s="296" t="s">
        <v>2156</v>
      </c>
      <c r="H628" s="296" t="s">
        <v>5099</v>
      </c>
      <c r="I628" s="296" t="s">
        <v>5100</v>
      </c>
      <c r="J628" s="296" t="s">
        <v>5101</v>
      </c>
      <c r="K628" s="296" t="s">
        <v>183</v>
      </c>
      <c r="L628" s="296" t="s">
        <v>183</v>
      </c>
      <c r="M628" s="296" t="s">
        <v>183</v>
      </c>
      <c r="N628" s="296" t="s">
        <v>1597</v>
      </c>
      <c r="O628" s="296" t="s">
        <v>183</v>
      </c>
      <c r="P628" s="296" t="s">
        <v>183</v>
      </c>
      <c r="Q628" s="296" t="s">
        <v>183</v>
      </c>
      <c r="R628" s="296" t="s">
        <v>183</v>
      </c>
      <c r="S628" s="296" t="s">
        <v>183</v>
      </c>
      <c r="T628" s="296" t="s">
        <v>183</v>
      </c>
      <c r="U628" s="296" t="s">
        <v>183</v>
      </c>
      <c r="V628" s="296" t="s">
        <v>183</v>
      </c>
      <c r="W628" s="296" t="s">
        <v>183</v>
      </c>
      <c r="X628" s="296" t="s">
        <v>183</v>
      </c>
      <c r="Y628" s="296" t="s">
        <v>183</v>
      </c>
      <c r="Z628" s="296" t="s">
        <v>183</v>
      </c>
      <c r="AA628" s="296" t="s">
        <v>183</v>
      </c>
      <c r="AB628" s="296" t="s">
        <v>183</v>
      </c>
      <c r="AC628" s="296" t="s">
        <v>183</v>
      </c>
      <c r="AD628" s="296" t="s">
        <v>5102</v>
      </c>
      <c r="AE628" s="296" t="s">
        <v>192</v>
      </c>
      <c r="AF628" s="296" t="s">
        <v>193</v>
      </c>
      <c r="AG628" s="296">
        <v>0</v>
      </c>
      <c r="AH628" s="298">
        <v>45945</v>
      </c>
      <c r="AJ628" s="296" t="s">
        <v>194</v>
      </c>
      <c r="AK628" s="299">
        <f>COUNTIF($A$3:A$917,A628)</f>
        <v>1</v>
      </c>
    </row>
    <row r="629" spans="1:37" x14ac:dyDescent="0.25">
      <c r="A629" s="296">
        <v>3106765691</v>
      </c>
      <c r="B629" s="296" t="s">
        <v>5103</v>
      </c>
      <c r="C629" s="296" t="s">
        <v>5104</v>
      </c>
      <c r="D629" s="296" t="s">
        <v>5105</v>
      </c>
      <c r="E629" s="296" t="s">
        <v>172</v>
      </c>
      <c r="F629" s="296" t="s">
        <v>2156</v>
      </c>
      <c r="G629" s="296" t="s">
        <v>5106</v>
      </c>
      <c r="H629" s="296" t="s">
        <v>5107</v>
      </c>
      <c r="I629" s="296" t="s">
        <v>5100</v>
      </c>
      <c r="J629" s="296" t="s">
        <v>5108</v>
      </c>
      <c r="K629" s="296" t="s">
        <v>183</v>
      </c>
      <c r="L629" s="296" t="s">
        <v>183</v>
      </c>
      <c r="M629" s="296" t="s">
        <v>183</v>
      </c>
      <c r="N629" s="296" t="s">
        <v>1087</v>
      </c>
      <c r="O629" s="296" t="s">
        <v>183</v>
      </c>
      <c r="P629" s="296" t="s">
        <v>183</v>
      </c>
      <c r="Q629" s="296" t="s">
        <v>183</v>
      </c>
      <c r="R629" s="296" t="s">
        <v>183</v>
      </c>
      <c r="S629" s="296" t="s">
        <v>183</v>
      </c>
      <c r="T629" s="296" t="s">
        <v>183</v>
      </c>
      <c r="U629" s="296" t="s">
        <v>183</v>
      </c>
      <c r="V629" s="296" t="s">
        <v>183</v>
      </c>
      <c r="W629" s="296" t="s">
        <v>183</v>
      </c>
      <c r="X629" s="296" t="s">
        <v>183</v>
      </c>
      <c r="Y629" s="296" t="s">
        <v>183</v>
      </c>
      <c r="Z629" s="296" t="s">
        <v>183</v>
      </c>
      <c r="AA629" s="296" t="s">
        <v>183</v>
      </c>
      <c r="AB629" s="296" t="s">
        <v>183</v>
      </c>
      <c r="AC629" s="296" t="s">
        <v>183</v>
      </c>
      <c r="AD629" s="296" t="s">
        <v>5109</v>
      </c>
      <c r="AE629" s="296" t="s">
        <v>192</v>
      </c>
      <c r="AF629" s="296" t="s">
        <v>193</v>
      </c>
      <c r="AG629" s="296">
        <v>0</v>
      </c>
      <c r="AH629" s="298">
        <v>45951</v>
      </c>
      <c r="AJ629" s="296" t="s">
        <v>194</v>
      </c>
      <c r="AK629" s="299">
        <f>COUNTIF($A$3:A$917,A629)</f>
        <v>1</v>
      </c>
    </row>
    <row r="630" spans="1:37" x14ac:dyDescent="0.25">
      <c r="A630" s="296">
        <v>3101554054</v>
      </c>
      <c r="B630" s="296" t="s">
        <v>5110</v>
      </c>
      <c r="C630" s="296" t="s">
        <v>5111</v>
      </c>
      <c r="D630" s="296" t="s">
        <v>5112</v>
      </c>
      <c r="E630" s="296" t="s">
        <v>172</v>
      </c>
      <c r="F630" s="296" t="s">
        <v>5113</v>
      </c>
      <c r="G630" s="296" t="s">
        <v>183</v>
      </c>
      <c r="H630" s="296" t="s">
        <v>5114</v>
      </c>
      <c r="I630" s="296" t="s">
        <v>5115</v>
      </c>
      <c r="J630" s="296" t="s">
        <v>5116</v>
      </c>
      <c r="K630" s="296" t="s">
        <v>905</v>
      </c>
      <c r="L630" s="296" t="s">
        <v>904</v>
      </c>
      <c r="M630" s="296" t="s">
        <v>179</v>
      </c>
      <c r="N630" s="296" t="s">
        <v>3710</v>
      </c>
      <c r="O630" s="296" t="s">
        <v>906</v>
      </c>
      <c r="P630" s="296" t="s">
        <v>907</v>
      </c>
      <c r="Q630" s="296" t="s">
        <v>183</v>
      </c>
      <c r="R630" s="296" t="s">
        <v>3784</v>
      </c>
      <c r="S630" s="296" t="s">
        <v>185</v>
      </c>
      <c r="T630" s="296" t="s">
        <v>185</v>
      </c>
      <c r="U630" s="296" t="s">
        <v>186</v>
      </c>
      <c r="V630" s="296" t="s">
        <v>187</v>
      </c>
      <c r="W630" s="296" t="s">
        <v>188</v>
      </c>
      <c r="X630" s="296" t="s">
        <v>189</v>
      </c>
      <c r="Y630" s="296" t="s">
        <v>183</v>
      </c>
      <c r="Z630" s="296" t="s">
        <v>183</v>
      </c>
      <c r="AA630" s="296" t="s">
        <v>183</v>
      </c>
      <c r="AB630" s="296" t="s">
        <v>183</v>
      </c>
      <c r="AC630" s="296" t="s">
        <v>3785</v>
      </c>
      <c r="AD630" s="296" t="s">
        <v>5117</v>
      </c>
      <c r="AE630" s="296" t="s">
        <v>192</v>
      </c>
      <c r="AF630" s="296" t="s">
        <v>193</v>
      </c>
      <c r="AG630" s="296">
        <v>0</v>
      </c>
      <c r="AH630" s="298">
        <v>42019</v>
      </c>
      <c r="AJ630" s="296" t="s">
        <v>194</v>
      </c>
      <c r="AK630" s="299">
        <f>COUNTIF($A$3:A$917,A630)</f>
        <v>1</v>
      </c>
    </row>
    <row r="631" spans="1:37" x14ac:dyDescent="0.25">
      <c r="A631" s="296">
        <v>4000000019</v>
      </c>
      <c r="B631" s="296" t="s">
        <v>5118</v>
      </c>
      <c r="C631" s="296" t="s">
        <v>5119</v>
      </c>
      <c r="D631" s="296" t="s">
        <v>5120</v>
      </c>
      <c r="E631" s="296" t="s">
        <v>172</v>
      </c>
      <c r="F631" s="296" t="s">
        <v>5121</v>
      </c>
      <c r="G631" s="296" t="s">
        <v>5122</v>
      </c>
      <c r="H631" s="296" t="s">
        <v>5123</v>
      </c>
      <c r="I631" s="296" t="s">
        <v>5124</v>
      </c>
      <c r="J631" s="296" t="s">
        <v>5125</v>
      </c>
      <c r="K631" s="296" t="s">
        <v>2060</v>
      </c>
      <c r="L631" s="296" t="s">
        <v>2061</v>
      </c>
      <c r="M631" s="296" t="s">
        <v>179</v>
      </c>
      <c r="N631" s="296" t="s">
        <v>2062</v>
      </c>
      <c r="O631" s="296" t="s">
        <v>183</v>
      </c>
      <c r="P631" s="296" t="s">
        <v>2063</v>
      </c>
      <c r="Q631" s="296" t="s">
        <v>183</v>
      </c>
      <c r="R631" s="296" t="s">
        <v>5126</v>
      </c>
      <c r="S631" s="296" t="s">
        <v>185</v>
      </c>
      <c r="T631" s="296" t="s">
        <v>185</v>
      </c>
      <c r="U631" s="296" t="s">
        <v>186</v>
      </c>
      <c r="V631" s="296" t="s">
        <v>187</v>
      </c>
      <c r="W631" s="296" t="s">
        <v>188</v>
      </c>
      <c r="X631" s="296" t="s">
        <v>189</v>
      </c>
      <c r="Y631" s="296" t="s">
        <v>183</v>
      </c>
      <c r="Z631" s="296" t="s">
        <v>183</v>
      </c>
      <c r="AA631" s="296" t="s">
        <v>183</v>
      </c>
      <c r="AB631" s="296" t="s">
        <v>183</v>
      </c>
      <c r="AC631" s="296" t="s">
        <v>5127</v>
      </c>
      <c r="AD631" s="296" t="s">
        <v>5128</v>
      </c>
      <c r="AE631" s="296" t="s">
        <v>192</v>
      </c>
      <c r="AF631" s="296" t="s">
        <v>193</v>
      </c>
      <c r="AG631" s="296">
        <v>0</v>
      </c>
      <c r="AH631" s="298">
        <v>43516</v>
      </c>
      <c r="AJ631" s="296" t="s">
        <v>194</v>
      </c>
      <c r="AK631" s="299">
        <f>COUNTIF($A$3:A$917,A631)</f>
        <v>1</v>
      </c>
    </row>
    <row r="632" spans="1:37" x14ac:dyDescent="0.25">
      <c r="A632" s="296">
        <v>4000001021</v>
      </c>
      <c r="B632" s="296" t="s">
        <v>581</v>
      </c>
      <c r="C632" s="296" t="s">
        <v>5129</v>
      </c>
      <c r="D632" s="296" t="s">
        <v>5130</v>
      </c>
      <c r="E632" s="296" t="s">
        <v>172</v>
      </c>
      <c r="F632" s="296" t="s">
        <v>582</v>
      </c>
      <c r="G632" s="296" t="s">
        <v>183</v>
      </c>
      <c r="H632" s="296" t="s">
        <v>578</v>
      </c>
      <c r="I632" s="296" t="s">
        <v>5124</v>
      </c>
      <c r="J632" s="296" t="s">
        <v>5131</v>
      </c>
      <c r="K632" s="296" t="s">
        <v>580</v>
      </c>
      <c r="L632" s="296" t="s">
        <v>581</v>
      </c>
      <c r="M632" s="296" t="s">
        <v>179</v>
      </c>
      <c r="N632" s="296" t="s">
        <v>582</v>
      </c>
      <c r="O632" s="296" t="s">
        <v>583</v>
      </c>
      <c r="P632" s="296" t="s">
        <v>584</v>
      </c>
      <c r="Q632" s="296" t="s">
        <v>183</v>
      </c>
      <c r="R632" s="296" t="s">
        <v>5132</v>
      </c>
      <c r="S632" s="296" t="s">
        <v>185</v>
      </c>
      <c r="T632" s="296" t="s">
        <v>185</v>
      </c>
      <c r="U632" s="296" t="s">
        <v>186</v>
      </c>
      <c r="V632" s="296" t="s">
        <v>187</v>
      </c>
      <c r="W632" s="296" t="s">
        <v>188</v>
      </c>
      <c r="X632" s="296" t="s">
        <v>189</v>
      </c>
      <c r="Y632" s="296" t="s">
        <v>183</v>
      </c>
      <c r="Z632" s="296" t="s">
        <v>183</v>
      </c>
      <c r="AA632" s="296" t="s">
        <v>183</v>
      </c>
      <c r="AB632" s="296" t="s">
        <v>183</v>
      </c>
      <c r="AC632" s="296" t="s">
        <v>5133</v>
      </c>
      <c r="AD632" s="296" t="s">
        <v>5134</v>
      </c>
      <c r="AE632" s="296" t="s">
        <v>192</v>
      </c>
      <c r="AF632" s="296" t="s">
        <v>193</v>
      </c>
      <c r="AG632" s="296">
        <v>298534</v>
      </c>
      <c r="AH632" s="298">
        <v>43418</v>
      </c>
      <c r="AJ632" s="296" t="s">
        <v>194</v>
      </c>
      <c r="AK632" s="299">
        <f>COUNTIF($A$3:A$917,A632)</f>
        <v>2</v>
      </c>
    </row>
    <row r="633" spans="1:37" x14ac:dyDescent="0.25">
      <c r="A633" s="296">
        <v>4000001021</v>
      </c>
      <c r="B633" s="296" t="s">
        <v>581</v>
      </c>
      <c r="C633" s="296" t="s">
        <v>5129</v>
      </c>
      <c r="D633" s="296" t="s">
        <v>5130</v>
      </c>
      <c r="E633" s="296" t="s">
        <v>172</v>
      </c>
      <c r="F633" s="296" t="s">
        <v>582</v>
      </c>
      <c r="G633" s="296" t="s">
        <v>183</v>
      </c>
      <c r="H633" s="296" t="s">
        <v>578</v>
      </c>
      <c r="I633" s="296" t="s">
        <v>5124</v>
      </c>
      <c r="J633" s="296" t="s">
        <v>5135</v>
      </c>
      <c r="K633" s="296" t="s">
        <v>580</v>
      </c>
      <c r="L633" s="296" t="s">
        <v>581</v>
      </c>
      <c r="M633" s="296" t="s">
        <v>179</v>
      </c>
      <c r="N633" s="296" t="s">
        <v>582</v>
      </c>
      <c r="O633" s="296" t="s">
        <v>583</v>
      </c>
      <c r="P633" s="296" t="s">
        <v>584</v>
      </c>
      <c r="Q633" s="296" t="s">
        <v>183</v>
      </c>
      <c r="R633" s="296" t="s">
        <v>5136</v>
      </c>
      <c r="S633" s="296" t="s">
        <v>185</v>
      </c>
      <c r="T633" s="296" t="s">
        <v>185</v>
      </c>
      <c r="U633" s="296" t="s">
        <v>186</v>
      </c>
      <c r="V633" s="296" t="s">
        <v>187</v>
      </c>
      <c r="W633" s="296" t="s">
        <v>188</v>
      </c>
      <c r="X633" s="296" t="s">
        <v>256</v>
      </c>
      <c r="Y633" s="296" t="s">
        <v>183</v>
      </c>
      <c r="Z633" s="296" t="s">
        <v>183</v>
      </c>
      <c r="AA633" s="296" t="s">
        <v>183</v>
      </c>
      <c r="AB633" s="296" t="s">
        <v>183</v>
      </c>
      <c r="AC633" s="296" t="s">
        <v>5137</v>
      </c>
      <c r="AD633" s="296" t="s">
        <v>5138</v>
      </c>
      <c r="AE633" s="296" t="s">
        <v>192</v>
      </c>
      <c r="AF633" s="296" t="s">
        <v>193</v>
      </c>
      <c r="AG633" s="296">
        <v>0</v>
      </c>
      <c r="AH633" s="298">
        <v>43418</v>
      </c>
      <c r="AJ633" s="296" t="s">
        <v>194</v>
      </c>
      <c r="AK633" s="299">
        <f>COUNTIF($A$3:A$917,A633)</f>
        <v>2</v>
      </c>
    </row>
    <row r="634" spans="1:37" x14ac:dyDescent="0.25">
      <c r="A634" s="296">
        <v>4000042152</v>
      </c>
      <c r="B634" s="296" t="s">
        <v>5139</v>
      </c>
      <c r="C634" s="296" t="s">
        <v>183</v>
      </c>
      <c r="D634" s="296" t="s">
        <v>183</v>
      </c>
      <c r="E634" s="296" t="s">
        <v>183</v>
      </c>
      <c r="F634" s="296" t="s">
        <v>5140</v>
      </c>
      <c r="G634" s="296" t="s">
        <v>5141</v>
      </c>
      <c r="H634" s="296" t="s">
        <v>5142</v>
      </c>
      <c r="I634" s="296" t="s">
        <v>5124</v>
      </c>
      <c r="J634" s="296" t="s">
        <v>5143</v>
      </c>
      <c r="K634" s="296" t="s">
        <v>1504</v>
      </c>
      <c r="L634" s="296" t="s">
        <v>1505</v>
      </c>
      <c r="M634" s="296" t="s">
        <v>179</v>
      </c>
      <c r="N634" s="296" t="s">
        <v>183</v>
      </c>
      <c r="O634" s="296" t="s">
        <v>1506</v>
      </c>
      <c r="P634" s="296" t="s">
        <v>1507</v>
      </c>
      <c r="Q634" s="296" t="s">
        <v>183</v>
      </c>
      <c r="R634" s="296" t="s">
        <v>5144</v>
      </c>
      <c r="S634" s="296" t="s">
        <v>185</v>
      </c>
      <c r="T634" s="296" t="s">
        <v>185</v>
      </c>
      <c r="U634" s="296" t="s">
        <v>186</v>
      </c>
      <c r="V634" s="296" t="s">
        <v>187</v>
      </c>
      <c r="W634" s="296" t="s">
        <v>188</v>
      </c>
      <c r="X634" s="296" t="s">
        <v>189</v>
      </c>
      <c r="Y634" s="296" t="s">
        <v>183</v>
      </c>
      <c r="Z634" s="296" t="s">
        <v>183</v>
      </c>
      <c r="AA634" s="296" t="s">
        <v>183</v>
      </c>
      <c r="AB634" s="296" t="s">
        <v>183</v>
      </c>
      <c r="AC634" s="296" t="s">
        <v>5145</v>
      </c>
      <c r="AD634" s="296" t="s">
        <v>5146</v>
      </c>
      <c r="AE634" s="296" t="s">
        <v>192</v>
      </c>
      <c r="AF634" s="296" t="s">
        <v>193</v>
      </c>
      <c r="AG634" s="296">
        <v>660073.6</v>
      </c>
      <c r="AH634" s="298">
        <v>42088</v>
      </c>
      <c r="AJ634" s="296" t="s">
        <v>194</v>
      </c>
      <c r="AK634" s="299">
        <f>COUNTIF($A$3:A$917,A634)</f>
        <v>1</v>
      </c>
    </row>
    <row r="635" spans="1:37" x14ac:dyDescent="0.25">
      <c r="A635" s="296">
        <v>3102789145</v>
      </c>
      <c r="B635" s="296" t="s">
        <v>5147</v>
      </c>
      <c r="C635" s="296" t="s">
        <v>183</v>
      </c>
      <c r="D635" s="296" t="s">
        <v>183</v>
      </c>
      <c r="E635" s="296" t="s">
        <v>183</v>
      </c>
      <c r="F635" s="296" t="s">
        <v>5148</v>
      </c>
      <c r="G635" s="296" t="s">
        <v>5148</v>
      </c>
      <c r="H635" s="296" t="s">
        <v>5149</v>
      </c>
      <c r="I635" s="296" t="s">
        <v>5150</v>
      </c>
      <c r="J635" s="296" t="s">
        <v>5151</v>
      </c>
      <c r="K635" s="296" t="s">
        <v>183</v>
      </c>
      <c r="L635" s="296" t="s">
        <v>183</v>
      </c>
      <c r="M635" s="296" t="s">
        <v>183</v>
      </c>
      <c r="N635" s="296" t="s">
        <v>5152</v>
      </c>
      <c r="O635" s="296" t="s">
        <v>183</v>
      </c>
      <c r="P635" s="296" t="s">
        <v>183</v>
      </c>
      <c r="Q635" s="296" t="s">
        <v>183</v>
      </c>
      <c r="R635" s="296" t="s">
        <v>183</v>
      </c>
      <c r="S635" s="296" t="s">
        <v>183</v>
      </c>
      <c r="T635" s="296" t="s">
        <v>183</v>
      </c>
      <c r="U635" s="296" t="s">
        <v>183</v>
      </c>
      <c r="V635" s="296" t="s">
        <v>183</v>
      </c>
      <c r="W635" s="296" t="s">
        <v>183</v>
      </c>
      <c r="X635" s="296" t="s">
        <v>183</v>
      </c>
      <c r="Y635" s="296" t="s">
        <v>183</v>
      </c>
      <c r="Z635" s="296" t="s">
        <v>183</v>
      </c>
      <c r="AA635" s="296" t="s">
        <v>183</v>
      </c>
      <c r="AB635" s="296" t="s">
        <v>183</v>
      </c>
      <c r="AC635" s="296" t="s">
        <v>183</v>
      </c>
      <c r="AD635" s="296" t="s">
        <v>5153</v>
      </c>
      <c r="AE635" s="296" t="s">
        <v>192</v>
      </c>
      <c r="AF635" s="296" t="s">
        <v>193</v>
      </c>
      <c r="AG635" s="296">
        <v>0</v>
      </c>
      <c r="AH635" s="298">
        <v>44518</v>
      </c>
      <c r="AJ635" s="296" t="s">
        <v>194</v>
      </c>
      <c r="AK635" s="299">
        <f>COUNTIF($A$3:A$917,A635)</f>
        <v>1</v>
      </c>
    </row>
    <row r="636" spans="1:37" x14ac:dyDescent="0.25">
      <c r="A636" s="296">
        <v>503150996</v>
      </c>
      <c r="B636" s="296" t="s">
        <v>5154</v>
      </c>
      <c r="C636" s="296" t="s">
        <v>183</v>
      </c>
      <c r="D636" s="296" t="s">
        <v>183</v>
      </c>
      <c r="E636" s="296" t="s">
        <v>183</v>
      </c>
      <c r="F636" s="296" t="s">
        <v>5155</v>
      </c>
      <c r="G636" s="296" t="s">
        <v>183</v>
      </c>
      <c r="H636" s="296" t="s">
        <v>5156</v>
      </c>
      <c r="I636" s="296" t="s">
        <v>5157</v>
      </c>
      <c r="J636" s="296" t="s">
        <v>5158</v>
      </c>
      <c r="K636" s="296" t="s">
        <v>5159</v>
      </c>
      <c r="L636" s="296" t="s">
        <v>5160</v>
      </c>
      <c r="M636" s="296" t="s">
        <v>179</v>
      </c>
      <c r="N636" s="296" t="s">
        <v>5161</v>
      </c>
      <c r="O636" s="296" t="s">
        <v>183</v>
      </c>
      <c r="P636" s="296" t="s">
        <v>5162</v>
      </c>
      <c r="Q636" s="296" t="s">
        <v>183</v>
      </c>
      <c r="R636" s="296" t="s">
        <v>5163</v>
      </c>
      <c r="S636" s="296" t="s">
        <v>185</v>
      </c>
      <c r="T636" s="296" t="s">
        <v>185</v>
      </c>
      <c r="U636" s="296" t="s">
        <v>186</v>
      </c>
      <c r="V636" s="296" t="s">
        <v>187</v>
      </c>
      <c r="W636" s="296" t="s">
        <v>188</v>
      </c>
      <c r="X636" s="296" t="s">
        <v>256</v>
      </c>
      <c r="Y636" s="296" t="s">
        <v>183</v>
      </c>
      <c r="Z636" s="296" t="s">
        <v>183</v>
      </c>
      <c r="AA636" s="296" t="s">
        <v>183</v>
      </c>
      <c r="AB636" s="296" t="s">
        <v>183</v>
      </c>
      <c r="AC636" s="296" t="s">
        <v>5164</v>
      </c>
      <c r="AD636" s="296" t="s">
        <v>5165</v>
      </c>
      <c r="AE636" s="296" t="s">
        <v>192</v>
      </c>
      <c r="AF636" s="296" t="s">
        <v>193</v>
      </c>
      <c r="AG636" s="296">
        <v>0</v>
      </c>
      <c r="AH636" s="298">
        <v>45958</v>
      </c>
      <c r="AJ636" s="296" t="s">
        <v>194</v>
      </c>
      <c r="AK636" s="299">
        <f>COUNTIF($A$3:A$917,A636)</f>
        <v>1</v>
      </c>
    </row>
    <row r="637" spans="1:37" x14ac:dyDescent="0.25">
      <c r="A637" s="296">
        <v>3101460479</v>
      </c>
      <c r="B637" s="296" t="s">
        <v>5166</v>
      </c>
      <c r="C637" s="296" t="s">
        <v>183</v>
      </c>
      <c r="D637" s="296" t="s">
        <v>183</v>
      </c>
      <c r="E637" s="296" t="s">
        <v>183</v>
      </c>
      <c r="F637" s="296" t="s">
        <v>5167</v>
      </c>
      <c r="G637" s="296" t="s">
        <v>278</v>
      </c>
      <c r="H637" s="296" t="s">
        <v>5168</v>
      </c>
      <c r="I637" s="296" t="s">
        <v>5169</v>
      </c>
      <c r="J637" s="296" t="s">
        <v>5170</v>
      </c>
      <c r="K637" s="296" t="s">
        <v>5171</v>
      </c>
      <c r="L637" s="296" t="s">
        <v>5172</v>
      </c>
      <c r="M637" s="296" t="s">
        <v>179</v>
      </c>
      <c r="N637" s="296" t="s">
        <v>5173</v>
      </c>
      <c r="O637" s="296" t="s">
        <v>5174</v>
      </c>
      <c r="P637" s="296" t="s">
        <v>183</v>
      </c>
      <c r="Q637" s="296" t="s">
        <v>183</v>
      </c>
      <c r="R637" s="296" t="s">
        <v>5175</v>
      </c>
      <c r="S637" s="296" t="s">
        <v>185</v>
      </c>
      <c r="T637" s="296" t="s">
        <v>185</v>
      </c>
      <c r="U637" s="296" t="s">
        <v>186</v>
      </c>
      <c r="V637" s="296" t="s">
        <v>187</v>
      </c>
      <c r="W637" s="296" t="s">
        <v>188</v>
      </c>
      <c r="X637" s="296" t="s">
        <v>573</v>
      </c>
      <c r="Y637" s="296" t="s">
        <v>183</v>
      </c>
      <c r="Z637" s="296" t="s">
        <v>183</v>
      </c>
      <c r="AA637" s="296" t="s">
        <v>183</v>
      </c>
      <c r="AB637" s="296" t="s">
        <v>183</v>
      </c>
      <c r="AC637" s="296" t="s">
        <v>5176</v>
      </c>
      <c r="AD637" s="296" t="s">
        <v>5177</v>
      </c>
      <c r="AE637" s="296" t="s">
        <v>192</v>
      </c>
      <c r="AF637" s="296" t="s">
        <v>193</v>
      </c>
      <c r="AG637" s="296">
        <v>41516</v>
      </c>
      <c r="AH637" s="298">
        <v>42338</v>
      </c>
      <c r="AJ637" s="296" t="s">
        <v>194</v>
      </c>
      <c r="AK637" s="299">
        <f>COUNTIF($A$3:A$917,A637)</f>
        <v>4</v>
      </c>
    </row>
    <row r="638" spans="1:37" x14ac:dyDescent="0.25">
      <c r="A638" s="296">
        <v>3101460479</v>
      </c>
      <c r="B638" s="296" t="s">
        <v>5166</v>
      </c>
      <c r="C638" s="296" t="s">
        <v>183</v>
      </c>
      <c r="D638" s="296" t="s">
        <v>183</v>
      </c>
      <c r="E638" s="296" t="s">
        <v>183</v>
      </c>
      <c r="F638" s="296" t="s">
        <v>5167</v>
      </c>
      <c r="G638" s="296" t="s">
        <v>278</v>
      </c>
      <c r="H638" s="296" t="s">
        <v>5168</v>
      </c>
      <c r="I638" s="296" t="s">
        <v>5169</v>
      </c>
      <c r="J638" s="296" t="s">
        <v>5178</v>
      </c>
      <c r="K638" s="296" t="s">
        <v>862</v>
      </c>
      <c r="L638" s="296" t="s">
        <v>863</v>
      </c>
      <c r="M638" s="296" t="s">
        <v>179</v>
      </c>
      <c r="N638" s="296" t="s">
        <v>465</v>
      </c>
      <c r="O638" s="296" t="s">
        <v>864</v>
      </c>
      <c r="P638" s="296" t="s">
        <v>865</v>
      </c>
      <c r="Q638" s="296" t="s">
        <v>183</v>
      </c>
      <c r="R638" s="296" t="s">
        <v>5179</v>
      </c>
      <c r="S638" s="296" t="s">
        <v>185</v>
      </c>
      <c r="T638" s="296" t="s">
        <v>185</v>
      </c>
      <c r="U638" s="296" t="s">
        <v>186</v>
      </c>
      <c r="V638" s="296" t="s">
        <v>187</v>
      </c>
      <c r="W638" s="296" t="s">
        <v>188</v>
      </c>
      <c r="X638" s="296" t="s">
        <v>404</v>
      </c>
      <c r="Y638" s="296" t="s">
        <v>183</v>
      </c>
      <c r="Z638" s="296" t="s">
        <v>183</v>
      </c>
      <c r="AA638" s="296" t="s">
        <v>183</v>
      </c>
      <c r="AB638" s="296" t="s">
        <v>183</v>
      </c>
      <c r="AC638" s="296" t="s">
        <v>5180</v>
      </c>
      <c r="AD638" s="296" t="s">
        <v>5181</v>
      </c>
      <c r="AE638" s="296" t="s">
        <v>192</v>
      </c>
      <c r="AF638" s="296" t="s">
        <v>193</v>
      </c>
      <c r="AG638" s="296">
        <v>0</v>
      </c>
      <c r="AH638" s="298">
        <v>42338</v>
      </c>
      <c r="AJ638" s="296" t="s">
        <v>194</v>
      </c>
      <c r="AK638" s="299">
        <f>COUNTIF($A$3:A$917,A638)</f>
        <v>4</v>
      </c>
    </row>
    <row r="639" spans="1:37" x14ac:dyDescent="0.25">
      <c r="A639" s="296">
        <v>3101460479</v>
      </c>
      <c r="B639" s="296" t="s">
        <v>5166</v>
      </c>
      <c r="C639" s="296" t="s">
        <v>183</v>
      </c>
      <c r="D639" s="296" t="s">
        <v>183</v>
      </c>
      <c r="E639" s="296" t="s">
        <v>183</v>
      </c>
      <c r="F639" s="296" t="s">
        <v>5167</v>
      </c>
      <c r="G639" s="296" t="s">
        <v>278</v>
      </c>
      <c r="H639" s="296" t="s">
        <v>5168</v>
      </c>
      <c r="I639" s="296" t="s">
        <v>5169</v>
      </c>
      <c r="J639" s="296" t="s">
        <v>5178</v>
      </c>
      <c r="K639" s="296" t="s">
        <v>5182</v>
      </c>
      <c r="L639" s="296" t="s">
        <v>5183</v>
      </c>
      <c r="M639" s="296" t="s">
        <v>179</v>
      </c>
      <c r="N639" s="296" t="s">
        <v>2633</v>
      </c>
      <c r="O639" s="296" t="s">
        <v>278</v>
      </c>
      <c r="P639" s="296" t="s">
        <v>2635</v>
      </c>
      <c r="Q639" s="296" t="s">
        <v>183</v>
      </c>
      <c r="R639" s="296" t="s">
        <v>5184</v>
      </c>
      <c r="S639" s="296" t="s">
        <v>185</v>
      </c>
      <c r="T639" s="296" t="s">
        <v>185</v>
      </c>
      <c r="U639" s="296" t="s">
        <v>186</v>
      </c>
      <c r="V639" s="296" t="s">
        <v>187</v>
      </c>
      <c r="W639" s="296" t="s">
        <v>188</v>
      </c>
      <c r="X639" s="296" t="s">
        <v>256</v>
      </c>
      <c r="Y639" s="296" t="s">
        <v>183</v>
      </c>
      <c r="Z639" s="296" t="s">
        <v>183</v>
      </c>
      <c r="AA639" s="296" t="s">
        <v>183</v>
      </c>
      <c r="AB639" s="296" t="s">
        <v>183</v>
      </c>
      <c r="AC639" s="296" t="s">
        <v>5185</v>
      </c>
      <c r="AD639" s="296" t="s">
        <v>5186</v>
      </c>
      <c r="AE639" s="296" t="s">
        <v>192</v>
      </c>
      <c r="AF639" s="296" t="s">
        <v>193</v>
      </c>
      <c r="AG639" s="296">
        <v>0</v>
      </c>
      <c r="AH639" s="298">
        <v>42338</v>
      </c>
      <c r="AJ639" s="296" t="s">
        <v>194</v>
      </c>
      <c r="AK639" s="299">
        <f>COUNTIF($A$3:A$917,A639)</f>
        <v>4</v>
      </c>
    </row>
    <row r="640" spans="1:37" x14ac:dyDescent="0.25">
      <c r="A640" s="296">
        <v>3101460479</v>
      </c>
      <c r="B640" s="296" t="s">
        <v>5166</v>
      </c>
      <c r="C640" s="296" t="s">
        <v>183</v>
      </c>
      <c r="D640" s="296" t="s">
        <v>183</v>
      </c>
      <c r="E640" s="296" t="s">
        <v>183</v>
      </c>
      <c r="F640" s="296" t="s">
        <v>5167</v>
      </c>
      <c r="G640" s="296" t="s">
        <v>278</v>
      </c>
      <c r="H640" s="296" t="s">
        <v>5168</v>
      </c>
      <c r="I640" s="296" t="s">
        <v>5169</v>
      </c>
      <c r="J640" s="296" t="s">
        <v>5178</v>
      </c>
      <c r="K640" s="296" t="s">
        <v>5187</v>
      </c>
      <c r="L640" s="296" t="s">
        <v>5188</v>
      </c>
      <c r="M640" s="296" t="s">
        <v>179</v>
      </c>
      <c r="N640" s="296" t="s">
        <v>278</v>
      </c>
      <c r="O640" s="296" t="s">
        <v>278</v>
      </c>
      <c r="P640" s="296" t="s">
        <v>183</v>
      </c>
      <c r="Q640" s="296" t="s">
        <v>183</v>
      </c>
      <c r="R640" s="296" t="s">
        <v>5189</v>
      </c>
      <c r="S640" s="296" t="s">
        <v>185</v>
      </c>
      <c r="T640" s="296" t="s">
        <v>185</v>
      </c>
      <c r="U640" s="296" t="s">
        <v>186</v>
      </c>
      <c r="V640" s="296" t="s">
        <v>187</v>
      </c>
      <c r="W640" s="296" t="s">
        <v>188</v>
      </c>
      <c r="X640" s="296" t="s">
        <v>189</v>
      </c>
      <c r="Y640" s="296" t="s">
        <v>183</v>
      </c>
      <c r="Z640" s="296" t="s">
        <v>183</v>
      </c>
      <c r="AA640" s="296" t="s">
        <v>183</v>
      </c>
      <c r="AB640" s="296" t="s">
        <v>183</v>
      </c>
      <c r="AC640" s="296" t="s">
        <v>5190</v>
      </c>
      <c r="AD640" s="296" t="s">
        <v>5191</v>
      </c>
      <c r="AE640" s="296" t="s">
        <v>192</v>
      </c>
      <c r="AF640" s="296" t="s">
        <v>193</v>
      </c>
      <c r="AG640" s="296">
        <v>0</v>
      </c>
      <c r="AH640" s="298">
        <v>42338</v>
      </c>
      <c r="AJ640" s="296" t="s">
        <v>194</v>
      </c>
      <c r="AK640" s="299">
        <f>COUNTIF($A$3:A$917,A640)</f>
        <v>4</v>
      </c>
    </row>
    <row r="641" spans="1:37" x14ac:dyDescent="0.25">
      <c r="A641" s="296">
        <v>3101577518</v>
      </c>
      <c r="B641" s="296" t="s">
        <v>5192</v>
      </c>
      <c r="C641" s="296" t="s">
        <v>183</v>
      </c>
      <c r="D641" s="296" t="s">
        <v>183</v>
      </c>
      <c r="E641" s="296" t="s">
        <v>183</v>
      </c>
      <c r="F641" s="296" t="s">
        <v>5193</v>
      </c>
      <c r="G641" s="296" t="s">
        <v>183</v>
      </c>
      <c r="H641" s="296" t="s">
        <v>5194</v>
      </c>
      <c r="I641" s="296" t="s">
        <v>5169</v>
      </c>
      <c r="J641" s="296" t="s">
        <v>5195</v>
      </c>
      <c r="K641" s="296" t="s">
        <v>183</v>
      </c>
      <c r="L641" s="296" t="s">
        <v>183</v>
      </c>
      <c r="M641" s="296" t="s">
        <v>183</v>
      </c>
      <c r="N641" s="296" t="s">
        <v>1643</v>
      </c>
      <c r="O641" s="296" t="s">
        <v>183</v>
      </c>
      <c r="P641" s="296" t="s">
        <v>183</v>
      </c>
      <c r="Q641" s="296" t="s">
        <v>183</v>
      </c>
      <c r="R641" s="296" t="s">
        <v>183</v>
      </c>
      <c r="S641" s="296" t="s">
        <v>183</v>
      </c>
      <c r="T641" s="296" t="s">
        <v>183</v>
      </c>
      <c r="U641" s="296" t="s">
        <v>183</v>
      </c>
      <c r="V641" s="296" t="s">
        <v>183</v>
      </c>
      <c r="W641" s="296" t="s">
        <v>183</v>
      </c>
      <c r="X641" s="296" t="s">
        <v>183</v>
      </c>
      <c r="Y641" s="296" t="s">
        <v>183</v>
      </c>
      <c r="Z641" s="296" t="s">
        <v>183</v>
      </c>
      <c r="AA641" s="296" t="s">
        <v>183</v>
      </c>
      <c r="AB641" s="296" t="s">
        <v>183</v>
      </c>
      <c r="AC641" s="296" t="s">
        <v>183</v>
      </c>
      <c r="AD641" s="296" t="s">
        <v>5196</v>
      </c>
      <c r="AE641" s="296" t="s">
        <v>192</v>
      </c>
      <c r="AF641" s="296" t="s">
        <v>193</v>
      </c>
      <c r="AG641" s="296">
        <v>0</v>
      </c>
      <c r="AH641" s="298">
        <v>44743</v>
      </c>
      <c r="AJ641" s="296" t="s">
        <v>194</v>
      </c>
      <c r="AK641" s="299">
        <f>COUNTIF($A$3:A$917,A641)</f>
        <v>1</v>
      </c>
    </row>
    <row r="642" spans="1:37" x14ac:dyDescent="0.25">
      <c r="A642" s="296">
        <v>3101303323</v>
      </c>
      <c r="B642" s="296" t="s">
        <v>5197</v>
      </c>
      <c r="C642" s="296" t="s">
        <v>183</v>
      </c>
      <c r="D642" s="296" t="s">
        <v>183</v>
      </c>
      <c r="E642" s="296" t="s">
        <v>183</v>
      </c>
      <c r="F642" s="296" t="s">
        <v>5198</v>
      </c>
      <c r="G642" s="296" t="s">
        <v>5198</v>
      </c>
      <c r="H642" s="296" t="s">
        <v>5199</v>
      </c>
      <c r="I642" s="296" t="s">
        <v>5169</v>
      </c>
      <c r="J642" s="296" t="s">
        <v>5200</v>
      </c>
      <c r="K642" s="296" t="s">
        <v>5201</v>
      </c>
      <c r="L642" s="296" t="s">
        <v>5202</v>
      </c>
      <c r="M642" s="296" t="s">
        <v>179</v>
      </c>
      <c r="N642" s="296" t="s">
        <v>5203</v>
      </c>
      <c r="O642" s="296" t="s">
        <v>1875</v>
      </c>
      <c r="P642" s="296" t="s">
        <v>5204</v>
      </c>
      <c r="Q642" s="296" t="s">
        <v>183</v>
      </c>
      <c r="R642" s="296" t="s">
        <v>5205</v>
      </c>
      <c r="S642" s="296" t="s">
        <v>185</v>
      </c>
      <c r="T642" s="296" t="s">
        <v>185</v>
      </c>
      <c r="U642" s="296" t="s">
        <v>186</v>
      </c>
      <c r="V642" s="296" t="s">
        <v>187</v>
      </c>
      <c r="W642" s="296" t="s">
        <v>188</v>
      </c>
      <c r="X642" s="296" t="s">
        <v>256</v>
      </c>
      <c r="Y642" s="296" t="s">
        <v>183</v>
      </c>
      <c r="Z642" s="296" t="s">
        <v>183</v>
      </c>
      <c r="AA642" s="296" t="s">
        <v>183</v>
      </c>
      <c r="AB642" s="296" t="s">
        <v>183</v>
      </c>
      <c r="AC642" s="296" t="s">
        <v>5206</v>
      </c>
      <c r="AD642" s="296" t="s">
        <v>5207</v>
      </c>
      <c r="AE642" s="296" t="s">
        <v>192</v>
      </c>
      <c r="AF642" s="296" t="s">
        <v>193</v>
      </c>
      <c r="AG642" s="296">
        <v>0</v>
      </c>
      <c r="AH642" s="298">
        <v>44365</v>
      </c>
      <c r="AJ642" s="296" t="s">
        <v>194</v>
      </c>
      <c r="AK642" s="299">
        <f>COUNTIF($A$3:A$917,A642)</f>
        <v>1</v>
      </c>
    </row>
    <row r="643" spans="1:37" x14ac:dyDescent="0.25">
      <c r="A643" s="296">
        <v>503550966</v>
      </c>
      <c r="B643" s="296" t="s">
        <v>5208</v>
      </c>
      <c r="C643" s="296" t="s">
        <v>183</v>
      </c>
      <c r="D643" s="296" t="s">
        <v>183</v>
      </c>
      <c r="E643" s="296" t="s">
        <v>183</v>
      </c>
      <c r="F643" s="296" t="s">
        <v>5209</v>
      </c>
      <c r="G643" s="296" t="s">
        <v>5209</v>
      </c>
      <c r="H643" s="296" t="s">
        <v>5210</v>
      </c>
      <c r="I643" s="296" t="s">
        <v>5211</v>
      </c>
      <c r="J643" s="296" t="s">
        <v>5212</v>
      </c>
      <c r="K643" s="296" t="s">
        <v>2809</v>
      </c>
      <c r="L643" s="296" t="s">
        <v>2805</v>
      </c>
      <c r="M643" s="296" t="s">
        <v>179</v>
      </c>
      <c r="N643" s="296" t="s">
        <v>2806</v>
      </c>
      <c r="O643" s="296" t="s">
        <v>183</v>
      </c>
      <c r="P643" s="296" t="s">
        <v>2807</v>
      </c>
      <c r="Q643" s="296" t="s">
        <v>183</v>
      </c>
      <c r="R643" s="296" t="s">
        <v>2810</v>
      </c>
      <c r="S643" s="296" t="s">
        <v>185</v>
      </c>
      <c r="T643" s="296" t="s">
        <v>185</v>
      </c>
      <c r="U643" s="296" t="s">
        <v>186</v>
      </c>
      <c r="V643" s="296" t="s">
        <v>187</v>
      </c>
      <c r="W643" s="296" t="s">
        <v>188</v>
      </c>
      <c r="X643" s="296" t="s">
        <v>188</v>
      </c>
      <c r="Y643" s="296" t="s">
        <v>183</v>
      </c>
      <c r="Z643" s="296" t="s">
        <v>183</v>
      </c>
      <c r="AA643" s="296" t="s">
        <v>183</v>
      </c>
      <c r="AB643" s="296" t="s">
        <v>183</v>
      </c>
      <c r="AC643" s="296" t="s">
        <v>2811</v>
      </c>
      <c r="AD643" s="296" t="s">
        <v>5213</v>
      </c>
      <c r="AE643" s="296" t="s">
        <v>192</v>
      </c>
      <c r="AF643" s="296" t="s">
        <v>193</v>
      </c>
      <c r="AG643" s="296">
        <v>19051</v>
      </c>
      <c r="AH643" s="298">
        <v>43857</v>
      </c>
      <c r="AJ643" s="296" t="s">
        <v>194</v>
      </c>
      <c r="AK643" s="299">
        <f>COUNTIF($A$3:A$917,A643)</f>
        <v>1</v>
      </c>
    </row>
    <row r="644" spans="1:37" x14ac:dyDescent="0.25">
      <c r="A644" s="296">
        <v>602990529</v>
      </c>
      <c r="B644" s="296" t="s">
        <v>5214</v>
      </c>
      <c r="C644" s="296" t="s">
        <v>183</v>
      </c>
      <c r="D644" s="296" t="s">
        <v>183</v>
      </c>
      <c r="E644" s="296" t="s">
        <v>183</v>
      </c>
      <c r="F644" s="296" t="s">
        <v>5215</v>
      </c>
      <c r="G644" s="296" t="s">
        <v>5215</v>
      </c>
      <c r="H644" s="296" t="s">
        <v>5216</v>
      </c>
      <c r="I644" s="296" t="s">
        <v>5211</v>
      </c>
      <c r="J644" s="296" t="s">
        <v>5217</v>
      </c>
      <c r="K644" s="296" t="s">
        <v>1423</v>
      </c>
      <c r="L644" s="296" t="s">
        <v>1424</v>
      </c>
      <c r="M644" s="296" t="s">
        <v>179</v>
      </c>
      <c r="N644" s="296" t="s">
        <v>1425</v>
      </c>
      <c r="O644" s="296" t="s">
        <v>1426</v>
      </c>
      <c r="P644" s="296" t="s">
        <v>1421</v>
      </c>
      <c r="Q644" s="296" t="s">
        <v>183</v>
      </c>
      <c r="R644" s="296" t="s">
        <v>5218</v>
      </c>
      <c r="S644" s="296" t="s">
        <v>185</v>
      </c>
      <c r="T644" s="296" t="s">
        <v>185</v>
      </c>
      <c r="U644" s="296" t="s">
        <v>186</v>
      </c>
      <c r="V644" s="296" t="s">
        <v>187</v>
      </c>
      <c r="W644" s="296" t="s">
        <v>188</v>
      </c>
      <c r="X644" s="296" t="s">
        <v>404</v>
      </c>
      <c r="Y644" s="296" t="s">
        <v>183</v>
      </c>
      <c r="Z644" s="296" t="s">
        <v>183</v>
      </c>
      <c r="AA644" s="296" t="s">
        <v>183</v>
      </c>
      <c r="AB644" s="296" t="s">
        <v>183</v>
      </c>
      <c r="AC644" s="296" t="s">
        <v>5219</v>
      </c>
      <c r="AD644" s="296" t="s">
        <v>5220</v>
      </c>
      <c r="AE644" s="296" t="s">
        <v>192</v>
      </c>
      <c r="AF644" s="296" t="s">
        <v>193</v>
      </c>
      <c r="AG644" s="296">
        <v>0</v>
      </c>
      <c r="AH644" s="298">
        <v>42305</v>
      </c>
      <c r="AJ644" s="296" t="s">
        <v>194</v>
      </c>
      <c r="AK644" s="299">
        <f>COUNTIF($A$3:A$917,A644)</f>
        <v>1</v>
      </c>
    </row>
    <row r="645" spans="1:37" x14ac:dyDescent="0.25">
      <c r="A645" s="296">
        <v>800990737</v>
      </c>
      <c r="B645" s="296" t="s">
        <v>1842</v>
      </c>
      <c r="C645" s="296" t="s">
        <v>183</v>
      </c>
      <c r="D645" s="296" t="s">
        <v>183</v>
      </c>
      <c r="E645" s="296" t="s">
        <v>183</v>
      </c>
      <c r="F645" s="296" t="s">
        <v>1843</v>
      </c>
      <c r="G645" s="296" t="s">
        <v>1843</v>
      </c>
      <c r="H645" s="296" t="s">
        <v>1844</v>
      </c>
      <c r="I645" s="296" t="s">
        <v>5211</v>
      </c>
      <c r="J645" s="296" t="s">
        <v>5221</v>
      </c>
      <c r="K645" s="296" t="s">
        <v>1423</v>
      </c>
      <c r="L645" s="296" t="s">
        <v>1424</v>
      </c>
      <c r="M645" s="296" t="s">
        <v>179</v>
      </c>
      <c r="N645" s="296" t="s">
        <v>1425</v>
      </c>
      <c r="O645" s="296" t="s">
        <v>1426</v>
      </c>
      <c r="P645" s="296" t="s">
        <v>1421</v>
      </c>
      <c r="Q645" s="296" t="s">
        <v>183</v>
      </c>
      <c r="R645" s="296" t="s">
        <v>1427</v>
      </c>
      <c r="S645" s="296" t="s">
        <v>185</v>
      </c>
      <c r="T645" s="296" t="s">
        <v>185</v>
      </c>
      <c r="U645" s="296" t="s">
        <v>186</v>
      </c>
      <c r="V645" s="296" t="s">
        <v>187</v>
      </c>
      <c r="W645" s="296" t="s">
        <v>188</v>
      </c>
      <c r="X645" s="296" t="s">
        <v>404</v>
      </c>
      <c r="Y645" s="296" t="s">
        <v>183</v>
      </c>
      <c r="Z645" s="296" t="s">
        <v>183</v>
      </c>
      <c r="AA645" s="296" t="s">
        <v>183</v>
      </c>
      <c r="AB645" s="296" t="s">
        <v>183</v>
      </c>
      <c r="AC645" s="296" t="s">
        <v>1428</v>
      </c>
      <c r="AD645" s="296" t="s">
        <v>5222</v>
      </c>
      <c r="AE645" s="296" t="s">
        <v>192</v>
      </c>
      <c r="AF645" s="296" t="s">
        <v>193</v>
      </c>
      <c r="AG645" s="296">
        <v>0</v>
      </c>
      <c r="AH645" s="298">
        <v>45363</v>
      </c>
      <c r="AJ645" s="296" t="s">
        <v>194</v>
      </c>
      <c r="AK645" s="299">
        <f>COUNTIF($A$3:A$917,A645)</f>
        <v>4</v>
      </c>
    </row>
    <row r="646" spans="1:37" x14ac:dyDescent="0.25">
      <c r="A646" s="296">
        <v>504180592</v>
      </c>
      <c r="B646" s="296" t="s">
        <v>3676</v>
      </c>
      <c r="C646" s="296" t="s">
        <v>183</v>
      </c>
      <c r="D646" s="296" t="s">
        <v>183</v>
      </c>
      <c r="E646" s="296" t="s">
        <v>183</v>
      </c>
      <c r="F646" s="296" t="s">
        <v>3677</v>
      </c>
      <c r="G646" s="296" t="s">
        <v>183</v>
      </c>
      <c r="H646" s="296" t="s">
        <v>3678</v>
      </c>
      <c r="I646" s="296" t="s">
        <v>5211</v>
      </c>
      <c r="J646" s="296" t="s">
        <v>3679</v>
      </c>
      <c r="K646" s="296" t="s">
        <v>355</v>
      </c>
      <c r="L646" s="296" t="s">
        <v>356</v>
      </c>
      <c r="M646" s="296" t="s">
        <v>179</v>
      </c>
      <c r="N646" s="296" t="s">
        <v>278</v>
      </c>
      <c r="O646" s="296" t="s">
        <v>278</v>
      </c>
      <c r="P646" s="296" t="s">
        <v>183</v>
      </c>
      <c r="Q646" s="296" t="s">
        <v>183</v>
      </c>
      <c r="R646" s="296" t="s">
        <v>357</v>
      </c>
      <c r="S646" s="296" t="s">
        <v>185</v>
      </c>
      <c r="T646" s="296" t="s">
        <v>185</v>
      </c>
      <c r="U646" s="296" t="s">
        <v>186</v>
      </c>
      <c r="V646" s="296" t="s">
        <v>187</v>
      </c>
      <c r="W646" s="296" t="s">
        <v>188</v>
      </c>
      <c r="X646" s="296" t="s">
        <v>189</v>
      </c>
      <c r="Y646" s="296" t="s">
        <v>183</v>
      </c>
      <c r="Z646" s="296" t="s">
        <v>183</v>
      </c>
      <c r="AA646" s="296" t="s">
        <v>183</v>
      </c>
      <c r="AB646" s="296" t="s">
        <v>183</v>
      </c>
      <c r="AC646" s="296" t="s">
        <v>358</v>
      </c>
      <c r="AD646" s="296" t="s">
        <v>5223</v>
      </c>
      <c r="AE646" s="296" t="s">
        <v>192</v>
      </c>
      <c r="AF646" s="296" t="s">
        <v>193</v>
      </c>
      <c r="AG646" s="296">
        <v>0</v>
      </c>
      <c r="AH646" s="298">
        <v>43011</v>
      </c>
      <c r="AJ646" s="296" t="s">
        <v>194</v>
      </c>
      <c r="AK646" s="299">
        <f>COUNTIF($A$3:A$917,A646)</f>
        <v>2</v>
      </c>
    </row>
    <row r="647" spans="1:37" x14ac:dyDescent="0.25">
      <c r="A647" s="296">
        <v>3002115814</v>
      </c>
      <c r="B647" s="296" t="s">
        <v>5224</v>
      </c>
      <c r="C647" s="296" t="s">
        <v>183</v>
      </c>
      <c r="D647" s="296" t="s">
        <v>183</v>
      </c>
      <c r="E647" s="296" t="s">
        <v>183</v>
      </c>
      <c r="F647" s="296" t="s">
        <v>5225</v>
      </c>
      <c r="G647" s="296" t="s">
        <v>183</v>
      </c>
      <c r="H647" s="296" t="s">
        <v>5226</v>
      </c>
      <c r="I647" s="296" t="s">
        <v>5211</v>
      </c>
      <c r="J647" s="296" t="s">
        <v>5227</v>
      </c>
      <c r="K647" s="296" t="s">
        <v>5228</v>
      </c>
      <c r="L647" s="296" t="s">
        <v>5224</v>
      </c>
      <c r="M647" s="296" t="s">
        <v>179</v>
      </c>
      <c r="N647" s="296" t="s">
        <v>5225</v>
      </c>
      <c r="O647" s="296" t="s">
        <v>183</v>
      </c>
      <c r="P647" s="296" t="s">
        <v>5226</v>
      </c>
      <c r="Q647" s="296" t="s">
        <v>183</v>
      </c>
      <c r="R647" s="296" t="s">
        <v>5229</v>
      </c>
      <c r="S647" s="296" t="s">
        <v>185</v>
      </c>
      <c r="T647" s="296" t="s">
        <v>185</v>
      </c>
      <c r="U647" s="296" t="s">
        <v>186</v>
      </c>
      <c r="V647" s="296" t="s">
        <v>187</v>
      </c>
      <c r="W647" s="296" t="s">
        <v>188</v>
      </c>
      <c r="X647" s="296" t="s">
        <v>224</v>
      </c>
      <c r="Y647" s="296" t="s">
        <v>183</v>
      </c>
      <c r="Z647" s="296" t="s">
        <v>183</v>
      </c>
      <c r="AA647" s="296" t="s">
        <v>183</v>
      </c>
      <c r="AB647" s="296" t="s">
        <v>183</v>
      </c>
      <c r="AC647" s="296" t="s">
        <v>5230</v>
      </c>
      <c r="AD647" s="296" t="s">
        <v>5231</v>
      </c>
      <c r="AE647" s="296" t="s">
        <v>192</v>
      </c>
      <c r="AF647" s="296" t="s">
        <v>193</v>
      </c>
      <c r="AG647" s="296">
        <v>0</v>
      </c>
      <c r="AH647" s="298">
        <v>45540</v>
      </c>
      <c r="AJ647" s="296" t="s">
        <v>194</v>
      </c>
      <c r="AK647" s="299">
        <f>COUNTIF($A$3:A$917,A647)</f>
        <v>1</v>
      </c>
    </row>
    <row r="648" spans="1:37" x14ac:dyDescent="0.25">
      <c r="A648" s="296">
        <v>501970750</v>
      </c>
      <c r="B648" s="296" t="s">
        <v>2697</v>
      </c>
      <c r="C648" s="296" t="s">
        <v>183</v>
      </c>
      <c r="D648" s="296" t="s">
        <v>183</v>
      </c>
      <c r="E648" s="296" t="s">
        <v>183</v>
      </c>
      <c r="F648" s="296" t="s">
        <v>2698</v>
      </c>
      <c r="G648" s="296" t="s">
        <v>2698</v>
      </c>
      <c r="H648" s="296" t="s">
        <v>2699</v>
      </c>
      <c r="I648" s="296" t="s">
        <v>5211</v>
      </c>
      <c r="J648" s="296" t="s">
        <v>5232</v>
      </c>
      <c r="K648" s="296" t="s">
        <v>2702</v>
      </c>
      <c r="L648" s="296" t="s">
        <v>2703</v>
      </c>
      <c r="M648" s="296" t="s">
        <v>179</v>
      </c>
      <c r="N648" s="296" t="s">
        <v>2704</v>
      </c>
      <c r="O648" s="296" t="s">
        <v>2705</v>
      </c>
      <c r="P648" s="296" t="s">
        <v>2706</v>
      </c>
      <c r="Q648" s="296" t="s">
        <v>183</v>
      </c>
      <c r="R648" s="296" t="s">
        <v>2707</v>
      </c>
      <c r="S648" s="296" t="s">
        <v>185</v>
      </c>
      <c r="T648" s="296" t="s">
        <v>185</v>
      </c>
      <c r="U648" s="296" t="s">
        <v>186</v>
      </c>
      <c r="V648" s="296" t="s">
        <v>187</v>
      </c>
      <c r="W648" s="296" t="s">
        <v>188</v>
      </c>
      <c r="X648" s="296" t="s">
        <v>256</v>
      </c>
      <c r="Y648" s="296" t="s">
        <v>183</v>
      </c>
      <c r="Z648" s="296" t="s">
        <v>183</v>
      </c>
      <c r="AA648" s="296" t="s">
        <v>183</v>
      </c>
      <c r="AB648" s="296" t="s">
        <v>183</v>
      </c>
      <c r="AC648" s="296" t="s">
        <v>2708</v>
      </c>
      <c r="AD648" s="296" t="s">
        <v>5233</v>
      </c>
      <c r="AE648" s="296" t="s">
        <v>192</v>
      </c>
      <c r="AF648" s="296" t="s">
        <v>193</v>
      </c>
      <c r="AG648" s="296">
        <v>0</v>
      </c>
      <c r="AH648" s="298">
        <v>42673</v>
      </c>
      <c r="AJ648" s="296" t="s">
        <v>194</v>
      </c>
      <c r="AK648" s="299">
        <f>COUNTIF($A$3:A$917,A648)</f>
        <v>2</v>
      </c>
    </row>
    <row r="649" spans="1:37" x14ac:dyDescent="0.25">
      <c r="A649" s="296">
        <v>107860961</v>
      </c>
      <c r="B649" s="296" t="s">
        <v>5234</v>
      </c>
      <c r="C649" s="296" t="s">
        <v>183</v>
      </c>
      <c r="D649" s="296" t="s">
        <v>183</v>
      </c>
      <c r="E649" s="296" t="s">
        <v>183</v>
      </c>
      <c r="F649" s="296" t="s">
        <v>5235</v>
      </c>
      <c r="G649" s="296" t="s">
        <v>5236</v>
      </c>
      <c r="H649" s="296" t="s">
        <v>5237</v>
      </c>
      <c r="I649" s="296" t="s">
        <v>5211</v>
      </c>
      <c r="J649" s="296" t="s">
        <v>5238</v>
      </c>
      <c r="K649" s="296" t="s">
        <v>5239</v>
      </c>
      <c r="L649" s="296" t="s">
        <v>5234</v>
      </c>
      <c r="M649" s="296" t="s">
        <v>179</v>
      </c>
      <c r="N649" s="296" t="s">
        <v>5235</v>
      </c>
      <c r="O649" s="296" t="s">
        <v>5236</v>
      </c>
      <c r="P649" s="296" t="s">
        <v>5237</v>
      </c>
      <c r="Q649" s="296" t="s">
        <v>183</v>
      </c>
      <c r="R649" s="296" t="s">
        <v>5240</v>
      </c>
      <c r="S649" s="296" t="s">
        <v>185</v>
      </c>
      <c r="T649" s="296" t="s">
        <v>185</v>
      </c>
      <c r="U649" s="296" t="s">
        <v>186</v>
      </c>
      <c r="V649" s="296" t="s">
        <v>187</v>
      </c>
      <c r="W649" s="296" t="s">
        <v>188</v>
      </c>
      <c r="X649" s="296" t="s">
        <v>189</v>
      </c>
      <c r="Y649" s="296" t="s">
        <v>183</v>
      </c>
      <c r="Z649" s="296" t="s">
        <v>183</v>
      </c>
      <c r="AA649" s="296" t="s">
        <v>183</v>
      </c>
      <c r="AB649" s="296" t="s">
        <v>183</v>
      </c>
      <c r="AC649" s="296" t="s">
        <v>5241</v>
      </c>
      <c r="AD649" s="296" t="s">
        <v>5242</v>
      </c>
      <c r="AE649" s="296" t="s">
        <v>192</v>
      </c>
      <c r="AF649" s="296" t="s">
        <v>193</v>
      </c>
      <c r="AG649" s="296">
        <v>18665</v>
      </c>
      <c r="AH649" s="298">
        <v>42618</v>
      </c>
      <c r="AJ649" s="296" t="s">
        <v>194</v>
      </c>
      <c r="AK649" s="299">
        <f>COUNTIF($A$3:A$917,A649)</f>
        <v>1</v>
      </c>
    </row>
    <row r="650" spans="1:37" x14ac:dyDescent="0.25">
      <c r="A650" s="296">
        <v>602540299</v>
      </c>
      <c r="B650" s="296" t="s">
        <v>5243</v>
      </c>
      <c r="C650" s="296" t="s">
        <v>183</v>
      </c>
      <c r="D650" s="296" t="s">
        <v>183</v>
      </c>
      <c r="E650" s="296" t="s">
        <v>183</v>
      </c>
      <c r="F650" s="296" t="s">
        <v>3792</v>
      </c>
      <c r="G650" s="296" t="s">
        <v>5244</v>
      </c>
      <c r="H650" s="296" t="s">
        <v>5245</v>
      </c>
      <c r="I650" s="296" t="s">
        <v>5211</v>
      </c>
      <c r="J650" s="296" t="s">
        <v>5246</v>
      </c>
      <c r="K650" s="296" t="s">
        <v>1351</v>
      </c>
      <c r="L650" s="296" t="s">
        <v>1352</v>
      </c>
      <c r="M650" s="296" t="s">
        <v>179</v>
      </c>
      <c r="N650" s="296" t="s">
        <v>1353</v>
      </c>
      <c r="O650" s="296" t="s">
        <v>1353</v>
      </c>
      <c r="P650" s="296" t="s">
        <v>1354</v>
      </c>
      <c r="Q650" s="296" t="s">
        <v>183</v>
      </c>
      <c r="R650" s="296" t="s">
        <v>1355</v>
      </c>
      <c r="S650" s="296" t="s">
        <v>185</v>
      </c>
      <c r="T650" s="296" t="s">
        <v>185</v>
      </c>
      <c r="U650" s="296" t="s">
        <v>186</v>
      </c>
      <c r="V650" s="296" t="s">
        <v>187</v>
      </c>
      <c r="W650" s="296" t="s">
        <v>188</v>
      </c>
      <c r="X650" s="296" t="s">
        <v>189</v>
      </c>
      <c r="Y650" s="296" t="s">
        <v>183</v>
      </c>
      <c r="Z650" s="296" t="s">
        <v>183</v>
      </c>
      <c r="AA650" s="296" t="s">
        <v>183</v>
      </c>
      <c r="AB650" s="296" t="s">
        <v>183</v>
      </c>
      <c r="AC650" s="296" t="s">
        <v>1356</v>
      </c>
      <c r="AD650" s="296" t="s">
        <v>5247</v>
      </c>
      <c r="AE650" s="296" t="s">
        <v>192</v>
      </c>
      <c r="AF650" s="296" t="s">
        <v>193</v>
      </c>
      <c r="AG650" s="296">
        <v>0</v>
      </c>
      <c r="AH650" s="298">
        <v>45322</v>
      </c>
      <c r="AJ650" s="296" t="s">
        <v>194</v>
      </c>
      <c r="AK650" s="299">
        <f>COUNTIF($A$3:A$917,A650)</f>
        <v>1</v>
      </c>
    </row>
    <row r="651" spans="1:37" x14ac:dyDescent="0.25">
      <c r="A651" s="296">
        <v>504000149</v>
      </c>
      <c r="B651" s="296" t="s">
        <v>5248</v>
      </c>
      <c r="C651" s="296" t="s">
        <v>183</v>
      </c>
      <c r="D651" s="296" t="s">
        <v>183</v>
      </c>
      <c r="E651" s="296" t="s">
        <v>183</v>
      </c>
      <c r="F651" s="296" t="s">
        <v>5249</v>
      </c>
      <c r="G651" s="296" t="s">
        <v>183</v>
      </c>
      <c r="H651" s="296" t="s">
        <v>5250</v>
      </c>
      <c r="I651" s="296" t="s">
        <v>5211</v>
      </c>
      <c r="J651" s="296" t="s">
        <v>5251</v>
      </c>
      <c r="K651" s="296" t="s">
        <v>355</v>
      </c>
      <c r="L651" s="296" t="s">
        <v>356</v>
      </c>
      <c r="M651" s="296" t="s">
        <v>179</v>
      </c>
      <c r="N651" s="296" t="s">
        <v>278</v>
      </c>
      <c r="O651" s="296" t="s">
        <v>278</v>
      </c>
      <c r="P651" s="296" t="s">
        <v>183</v>
      </c>
      <c r="Q651" s="296" t="s">
        <v>183</v>
      </c>
      <c r="R651" s="296" t="s">
        <v>357</v>
      </c>
      <c r="S651" s="296" t="s">
        <v>185</v>
      </c>
      <c r="T651" s="296" t="s">
        <v>185</v>
      </c>
      <c r="U651" s="296" t="s">
        <v>186</v>
      </c>
      <c r="V651" s="296" t="s">
        <v>187</v>
      </c>
      <c r="W651" s="296" t="s">
        <v>188</v>
      </c>
      <c r="X651" s="296" t="s">
        <v>189</v>
      </c>
      <c r="Y651" s="296" t="s">
        <v>183</v>
      </c>
      <c r="Z651" s="296" t="s">
        <v>183</v>
      </c>
      <c r="AA651" s="296" t="s">
        <v>183</v>
      </c>
      <c r="AB651" s="296" t="s">
        <v>183</v>
      </c>
      <c r="AC651" s="296" t="s">
        <v>358</v>
      </c>
      <c r="AD651" s="296" t="s">
        <v>5252</v>
      </c>
      <c r="AE651" s="296" t="s">
        <v>192</v>
      </c>
      <c r="AF651" s="296" t="s">
        <v>193</v>
      </c>
      <c r="AG651" s="296">
        <v>0</v>
      </c>
      <c r="AH651" s="298">
        <v>43557</v>
      </c>
      <c r="AJ651" s="296" t="s">
        <v>194</v>
      </c>
      <c r="AK651" s="299">
        <f>COUNTIF($A$3:A$917,A651)</f>
        <v>1</v>
      </c>
    </row>
    <row r="652" spans="1:37" x14ac:dyDescent="0.25">
      <c r="A652" s="296">
        <v>502090316</v>
      </c>
      <c r="B652" s="296" t="s">
        <v>3224</v>
      </c>
      <c r="C652" s="296" t="s">
        <v>183</v>
      </c>
      <c r="D652" s="296" t="s">
        <v>183</v>
      </c>
      <c r="E652" s="296" t="s">
        <v>183</v>
      </c>
      <c r="F652" s="296" t="s">
        <v>3225</v>
      </c>
      <c r="G652" s="296" t="s">
        <v>183</v>
      </c>
      <c r="H652" s="296" t="s">
        <v>3226</v>
      </c>
      <c r="I652" s="296" t="s">
        <v>5211</v>
      </c>
      <c r="J652" s="296" t="s">
        <v>5253</v>
      </c>
      <c r="K652" s="296" t="s">
        <v>3228</v>
      </c>
      <c r="L652" s="296" t="s">
        <v>3224</v>
      </c>
      <c r="M652" s="296" t="s">
        <v>179</v>
      </c>
      <c r="N652" s="296" t="s">
        <v>3225</v>
      </c>
      <c r="O652" s="296" t="s">
        <v>183</v>
      </c>
      <c r="P652" s="296" t="s">
        <v>3226</v>
      </c>
      <c r="Q652" s="296" t="s">
        <v>183</v>
      </c>
      <c r="R652" s="296" t="s">
        <v>3229</v>
      </c>
      <c r="S652" s="296" t="s">
        <v>185</v>
      </c>
      <c r="T652" s="296" t="s">
        <v>185</v>
      </c>
      <c r="U652" s="296" t="s">
        <v>186</v>
      </c>
      <c r="V652" s="296" t="s">
        <v>187</v>
      </c>
      <c r="W652" s="296" t="s">
        <v>188</v>
      </c>
      <c r="X652" s="296" t="s">
        <v>308</v>
      </c>
      <c r="Y652" s="296" t="s">
        <v>183</v>
      </c>
      <c r="Z652" s="296" t="s">
        <v>183</v>
      </c>
      <c r="AA652" s="296" t="s">
        <v>183</v>
      </c>
      <c r="AB652" s="296" t="s">
        <v>183</v>
      </c>
      <c r="AC652" s="296" t="s">
        <v>3230</v>
      </c>
      <c r="AD652" s="296" t="s">
        <v>5254</v>
      </c>
      <c r="AE652" s="296" t="s">
        <v>192</v>
      </c>
      <c r="AF652" s="296" t="s">
        <v>193</v>
      </c>
      <c r="AG652" s="296">
        <v>0</v>
      </c>
      <c r="AH652" s="298">
        <v>44076</v>
      </c>
      <c r="AJ652" s="296" t="s">
        <v>194</v>
      </c>
      <c r="AK652" s="299">
        <f>COUNTIF($A$3:A$917,A652)</f>
        <v>2</v>
      </c>
    </row>
    <row r="653" spans="1:37" x14ac:dyDescent="0.25">
      <c r="A653" s="296">
        <v>155818098232</v>
      </c>
      <c r="B653" s="296" t="s">
        <v>5255</v>
      </c>
      <c r="C653" s="296" t="s">
        <v>183</v>
      </c>
      <c r="D653" s="296" t="s">
        <v>183</v>
      </c>
      <c r="E653" s="296" t="s">
        <v>183</v>
      </c>
      <c r="F653" s="296" t="s">
        <v>5256</v>
      </c>
      <c r="G653" s="296" t="s">
        <v>183</v>
      </c>
      <c r="H653" s="296" t="s">
        <v>5257</v>
      </c>
      <c r="I653" s="296" t="s">
        <v>5211</v>
      </c>
      <c r="J653" s="296" t="s">
        <v>5258</v>
      </c>
      <c r="K653" s="296" t="s">
        <v>3393</v>
      </c>
      <c r="L653" s="296" t="s">
        <v>3394</v>
      </c>
      <c r="M653" s="296" t="s">
        <v>179</v>
      </c>
      <c r="N653" s="296" t="s">
        <v>1615</v>
      </c>
      <c r="O653" s="296" t="s">
        <v>3395</v>
      </c>
      <c r="P653" s="296" t="s">
        <v>3396</v>
      </c>
      <c r="Q653" s="296" t="s">
        <v>183</v>
      </c>
      <c r="R653" s="296" t="s">
        <v>5259</v>
      </c>
      <c r="S653" s="296" t="s">
        <v>185</v>
      </c>
      <c r="T653" s="296" t="s">
        <v>185</v>
      </c>
      <c r="U653" s="296" t="s">
        <v>186</v>
      </c>
      <c r="V653" s="296" t="s">
        <v>187</v>
      </c>
      <c r="W653" s="296" t="s">
        <v>188</v>
      </c>
      <c r="X653" s="296" t="s">
        <v>256</v>
      </c>
      <c r="Y653" s="296" t="s">
        <v>183</v>
      </c>
      <c r="Z653" s="296" t="s">
        <v>183</v>
      </c>
      <c r="AA653" s="296" t="s">
        <v>183</v>
      </c>
      <c r="AB653" s="296" t="s">
        <v>183</v>
      </c>
      <c r="AC653" s="296" t="s">
        <v>5260</v>
      </c>
      <c r="AD653" s="296" t="s">
        <v>5261</v>
      </c>
      <c r="AE653" s="296" t="s">
        <v>192</v>
      </c>
      <c r="AF653" s="296" t="s">
        <v>193</v>
      </c>
      <c r="AG653" s="296">
        <v>0</v>
      </c>
      <c r="AH653" s="298">
        <v>43427</v>
      </c>
      <c r="AJ653" s="296" t="s">
        <v>194</v>
      </c>
      <c r="AK653" s="299">
        <f>COUNTIF($A$3:A$917,A653)</f>
        <v>1</v>
      </c>
    </row>
    <row r="654" spans="1:37" x14ac:dyDescent="0.25">
      <c r="A654" s="296">
        <v>207770386</v>
      </c>
      <c r="B654" s="296" t="s">
        <v>5262</v>
      </c>
      <c r="C654" s="296" t="s">
        <v>183</v>
      </c>
      <c r="D654" s="296" t="s">
        <v>183</v>
      </c>
      <c r="E654" s="296" t="s">
        <v>183</v>
      </c>
      <c r="F654" s="296" t="s">
        <v>5263</v>
      </c>
      <c r="G654" s="296" t="s">
        <v>183</v>
      </c>
      <c r="H654" s="296" t="s">
        <v>5264</v>
      </c>
      <c r="I654" s="296" t="s">
        <v>5211</v>
      </c>
      <c r="J654" s="296" t="s">
        <v>5265</v>
      </c>
      <c r="K654" s="296" t="s">
        <v>5266</v>
      </c>
      <c r="L654" s="296" t="s">
        <v>5262</v>
      </c>
      <c r="M654" s="296" t="s">
        <v>179</v>
      </c>
      <c r="N654" s="296" t="s">
        <v>5263</v>
      </c>
      <c r="O654" s="296" t="s">
        <v>183</v>
      </c>
      <c r="P654" s="296" t="s">
        <v>5264</v>
      </c>
      <c r="Q654" s="296" t="s">
        <v>183</v>
      </c>
      <c r="R654" s="296" t="s">
        <v>3336</v>
      </c>
      <c r="S654" s="296" t="s">
        <v>185</v>
      </c>
      <c r="T654" s="296" t="s">
        <v>185</v>
      </c>
      <c r="U654" s="296" t="s">
        <v>186</v>
      </c>
      <c r="V654" s="296" t="s">
        <v>187</v>
      </c>
      <c r="W654" s="296" t="s">
        <v>188</v>
      </c>
      <c r="X654" s="296" t="s">
        <v>189</v>
      </c>
      <c r="Y654" s="296" t="s">
        <v>183</v>
      </c>
      <c r="Z654" s="296" t="s">
        <v>183</v>
      </c>
      <c r="AA654" s="296" t="s">
        <v>183</v>
      </c>
      <c r="AB654" s="296" t="s">
        <v>183</v>
      </c>
      <c r="AC654" s="296" t="s">
        <v>3337</v>
      </c>
      <c r="AD654" s="296" t="s">
        <v>5267</v>
      </c>
      <c r="AE654" s="296" t="s">
        <v>192</v>
      </c>
      <c r="AF654" s="296" t="s">
        <v>193</v>
      </c>
      <c r="AG654" s="296">
        <v>0</v>
      </c>
      <c r="AH654" s="298">
        <v>45841</v>
      </c>
      <c r="AJ654" s="296" t="s">
        <v>194</v>
      </c>
      <c r="AK654" s="299">
        <f>COUNTIF($A$3:A$917,A654)</f>
        <v>1</v>
      </c>
    </row>
    <row r="655" spans="1:37" x14ac:dyDescent="0.25">
      <c r="A655" s="296">
        <v>901420492</v>
      </c>
      <c r="B655" s="296" t="s">
        <v>5268</v>
      </c>
      <c r="C655" s="296" t="s">
        <v>183</v>
      </c>
      <c r="D655" s="296" t="s">
        <v>183</v>
      </c>
      <c r="E655" s="296" t="s">
        <v>183</v>
      </c>
      <c r="F655" s="296" t="s">
        <v>5269</v>
      </c>
      <c r="G655" s="296" t="s">
        <v>183</v>
      </c>
      <c r="H655" s="296" t="s">
        <v>5270</v>
      </c>
      <c r="I655" s="296" t="s">
        <v>5211</v>
      </c>
      <c r="J655" s="296" t="s">
        <v>5271</v>
      </c>
      <c r="K655" s="296" t="s">
        <v>5272</v>
      </c>
      <c r="L655" s="296" t="s">
        <v>5273</v>
      </c>
      <c r="M655" s="296" t="s">
        <v>179</v>
      </c>
      <c r="N655" s="296" t="s">
        <v>5274</v>
      </c>
      <c r="O655" s="296" t="s">
        <v>183</v>
      </c>
      <c r="P655" s="296" t="s">
        <v>4574</v>
      </c>
      <c r="Q655" s="296" t="s">
        <v>183</v>
      </c>
      <c r="R655" s="296" t="s">
        <v>5275</v>
      </c>
      <c r="S655" s="296" t="s">
        <v>185</v>
      </c>
      <c r="T655" s="296" t="s">
        <v>185</v>
      </c>
      <c r="U655" s="296" t="s">
        <v>186</v>
      </c>
      <c r="V655" s="296" t="s">
        <v>187</v>
      </c>
      <c r="W655" s="296" t="s">
        <v>188</v>
      </c>
      <c r="X655" s="296" t="s">
        <v>404</v>
      </c>
      <c r="Y655" s="296" t="s">
        <v>183</v>
      </c>
      <c r="Z655" s="296" t="s">
        <v>183</v>
      </c>
      <c r="AA655" s="296" t="s">
        <v>183</v>
      </c>
      <c r="AB655" s="296" t="s">
        <v>183</v>
      </c>
      <c r="AC655" s="296" t="s">
        <v>5276</v>
      </c>
      <c r="AD655" s="296" t="s">
        <v>5277</v>
      </c>
      <c r="AE655" s="296" t="s">
        <v>192</v>
      </c>
      <c r="AF655" s="296" t="s">
        <v>193</v>
      </c>
      <c r="AG655" s="296">
        <v>0</v>
      </c>
      <c r="AH655" s="298">
        <v>45932</v>
      </c>
      <c r="AJ655" s="296" t="s">
        <v>194</v>
      </c>
      <c r="AK655" s="299">
        <f>COUNTIF($A$3:A$917,A655)</f>
        <v>1</v>
      </c>
    </row>
    <row r="656" spans="1:37" x14ac:dyDescent="0.25">
      <c r="A656" s="296">
        <v>603450299</v>
      </c>
      <c r="B656" s="296" t="s">
        <v>3232</v>
      </c>
      <c r="C656" s="296" t="s">
        <v>183</v>
      </c>
      <c r="D656" s="296" t="s">
        <v>183</v>
      </c>
      <c r="E656" s="296" t="s">
        <v>183</v>
      </c>
      <c r="F656" s="296" t="s">
        <v>3233</v>
      </c>
      <c r="G656" s="296" t="s">
        <v>3234</v>
      </c>
      <c r="H656" s="296" t="s">
        <v>3235</v>
      </c>
      <c r="I656" s="296" t="s">
        <v>5211</v>
      </c>
      <c r="J656" s="296" t="s">
        <v>5278</v>
      </c>
      <c r="K656" s="296" t="s">
        <v>2197</v>
      </c>
      <c r="L656" s="296" t="s">
        <v>2198</v>
      </c>
      <c r="M656" s="296" t="s">
        <v>179</v>
      </c>
      <c r="N656" s="296" t="s">
        <v>910</v>
      </c>
      <c r="O656" s="296" t="s">
        <v>183</v>
      </c>
      <c r="P656" s="296" t="s">
        <v>2199</v>
      </c>
      <c r="Q656" s="296" t="s">
        <v>183</v>
      </c>
      <c r="R656" s="296" t="s">
        <v>5279</v>
      </c>
      <c r="S656" s="296" t="s">
        <v>185</v>
      </c>
      <c r="T656" s="296" t="s">
        <v>185</v>
      </c>
      <c r="U656" s="296" t="s">
        <v>186</v>
      </c>
      <c r="V656" s="296" t="s">
        <v>187</v>
      </c>
      <c r="W656" s="296" t="s">
        <v>188</v>
      </c>
      <c r="X656" s="296" t="s">
        <v>189</v>
      </c>
      <c r="Y656" s="296" t="s">
        <v>183</v>
      </c>
      <c r="Z656" s="296" t="s">
        <v>183</v>
      </c>
      <c r="AA656" s="296" t="s">
        <v>183</v>
      </c>
      <c r="AB656" s="296" t="s">
        <v>183</v>
      </c>
      <c r="AC656" s="296" t="s">
        <v>5280</v>
      </c>
      <c r="AD656" s="296" t="s">
        <v>5281</v>
      </c>
      <c r="AE656" s="296" t="s">
        <v>192</v>
      </c>
      <c r="AF656" s="296" t="s">
        <v>193</v>
      </c>
      <c r="AG656" s="296">
        <v>0</v>
      </c>
      <c r="AH656" s="298">
        <v>45841</v>
      </c>
      <c r="AJ656" s="296" t="s">
        <v>194</v>
      </c>
      <c r="AK656" s="299">
        <f>COUNTIF($A$3:A$917,A656)</f>
        <v>3</v>
      </c>
    </row>
    <row r="657" spans="1:37" x14ac:dyDescent="0.25">
      <c r="A657" s="296">
        <v>501830367</v>
      </c>
      <c r="B657" s="296" t="s">
        <v>5282</v>
      </c>
      <c r="C657" s="296" t="s">
        <v>183</v>
      </c>
      <c r="D657" s="296" t="s">
        <v>183</v>
      </c>
      <c r="E657" s="296" t="s">
        <v>183</v>
      </c>
      <c r="F657" s="296" t="s">
        <v>5283</v>
      </c>
      <c r="G657" s="296" t="s">
        <v>5284</v>
      </c>
      <c r="H657" s="296" t="s">
        <v>5285</v>
      </c>
      <c r="I657" s="296" t="s">
        <v>5211</v>
      </c>
      <c r="J657" s="296" t="s">
        <v>5286</v>
      </c>
      <c r="K657" s="296" t="s">
        <v>355</v>
      </c>
      <c r="L657" s="296" t="s">
        <v>356</v>
      </c>
      <c r="M657" s="296" t="s">
        <v>179</v>
      </c>
      <c r="N657" s="296" t="s">
        <v>278</v>
      </c>
      <c r="O657" s="296" t="s">
        <v>278</v>
      </c>
      <c r="P657" s="296" t="s">
        <v>183</v>
      </c>
      <c r="Q657" s="296" t="s">
        <v>183</v>
      </c>
      <c r="R657" s="296" t="s">
        <v>357</v>
      </c>
      <c r="S657" s="296" t="s">
        <v>185</v>
      </c>
      <c r="T657" s="296" t="s">
        <v>185</v>
      </c>
      <c r="U657" s="296" t="s">
        <v>186</v>
      </c>
      <c r="V657" s="296" t="s">
        <v>187</v>
      </c>
      <c r="W657" s="296" t="s">
        <v>188</v>
      </c>
      <c r="X657" s="296" t="s">
        <v>189</v>
      </c>
      <c r="Y657" s="296" t="s">
        <v>183</v>
      </c>
      <c r="Z657" s="296" t="s">
        <v>183</v>
      </c>
      <c r="AA657" s="296" t="s">
        <v>183</v>
      </c>
      <c r="AB657" s="296" t="s">
        <v>183</v>
      </c>
      <c r="AC657" s="296" t="s">
        <v>358</v>
      </c>
      <c r="AD657" s="296" t="s">
        <v>5287</v>
      </c>
      <c r="AE657" s="296" t="s">
        <v>192</v>
      </c>
      <c r="AF657" s="296" t="s">
        <v>193</v>
      </c>
      <c r="AG657" s="296">
        <v>0</v>
      </c>
      <c r="AH657" s="298">
        <v>44250</v>
      </c>
      <c r="AJ657" s="296" t="s">
        <v>194</v>
      </c>
      <c r="AK657" s="299">
        <f>COUNTIF($A$3:A$917,A657)</f>
        <v>1</v>
      </c>
    </row>
    <row r="658" spans="1:37" x14ac:dyDescent="0.25">
      <c r="A658" s="296">
        <v>3102905411</v>
      </c>
      <c r="B658" s="296" t="s">
        <v>5288</v>
      </c>
      <c r="C658" s="296" t="s">
        <v>5289</v>
      </c>
      <c r="D658" s="296" t="s">
        <v>5290</v>
      </c>
      <c r="E658" s="296" t="s">
        <v>172</v>
      </c>
      <c r="F658" s="296" t="s">
        <v>5291</v>
      </c>
      <c r="G658" s="296" t="s">
        <v>5292</v>
      </c>
      <c r="H658" s="296" t="s">
        <v>5293</v>
      </c>
      <c r="I658" s="296" t="s">
        <v>5211</v>
      </c>
      <c r="J658" s="296" t="s">
        <v>5294</v>
      </c>
      <c r="K658" s="296" t="s">
        <v>5295</v>
      </c>
      <c r="L658" s="296" t="s">
        <v>5296</v>
      </c>
      <c r="M658" s="296" t="s">
        <v>179</v>
      </c>
      <c r="N658" s="296" t="s">
        <v>5297</v>
      </c>
      <c r="O658" s="296" t="s">
        <v>5297</v>
      </c>
      <c r="P658" s="296" t="s">
        <v>5298</v>
      </c>
      <c r="Q658" s="296" t="s">
        <v>183</v>
      </c>
      <c r="R658" s="296" t="s">
        <v>5299</v>
      </c>
      <c r="S658" s="296" t="s">
        <v>185</v>
      </c>
      <c r="T658" s="296" t="s">
        <v>185</v>
      </c>
      <c r="U658" s="296" t="s">
        <v>186</v>
      </c>
      <c r="V658" s="296" t="s">
        <v>187</v>
      </c>
      <c r="W658" s="296" t="s">
        <v>188</v>
      </c>
      <c r="X658" s="296" t="s">
        <v>189</v>
      </c>
      <c r="Y658" s="296" t="s">
        <v>183</v>
      </c>
      <c r="Z658" s="296" t="s">
        <v>183</v>
      </c>
      <c r="AA658" s="296" t="s">
        <v>183</v>
      </c>
      <c r="AB658" s="296" t="s">
        <v>183</v>
      </c>
      <c r="AC658" s="296" t="s">
        <v>5300</v>
      </c>
      <c r="AD658" s="296" t="s">
        <v>5301</v>
      </c>
      <c r="AE658" s="296" t="s">
        <v>192</v>
      </c>
      <c r="AF658" s="296" t="s">
        <v>193</v>
      </c>
      <c r="AG658" s="296">
        <v>0</v>
      </c>
      <c r="AH658" s="298">
        <v>45650</v>
      </c>
      <c r="AJ658" s="296" t="s">
        <v>194</v>
      </c>
      <c r="AK658" s="299">
        <f>COUNTIF($A$3:A$917,A658)</f>
        <v>1</v>
      </c>
    </row>
    <row r="659" spans="1:37" x14ac:dyDescent="0.25">
      <c r="A659" s="296">
        <v>503620562</v>
      </c>
      <c r="B659" s="296" t="s">
        <v>5302</v>
      </c>
      <c r="C659" s="296" t="s">
        <v>183</v>
      </c>
      <c r="D659" s="296" t="s">
        <v>183</v>
      </c>
      <c r="E659" s="296" t="s">
        <v>183</v>
      </c>
      <c r="F659" s="296" t="s">
        <v>5303</v>
      </c>
      <c r="G659" s="296" t="s">
        <v>5303</v>
      </c>
      <c r="H659" s="296" t="s">
        <v>5304</v>
      </c>
      <c r="I659" s="296" t="s">
        <v>5211</v>
      </c>
      <c r="J659" s="296" t="s">
        <v>5305</v>
      </c>
      <c r="K659" s="296" t="s">
        <v>5306</v>
      </c>
      <c r="L659" s="296" t="s">
        <v>5307</v>
      </c>
      <c r="M659" s="296" t="s">
        <v>179</v>
      </c>
      <c r="N659" s="296" t="s">
        <v>1603</v>
      </c>
      <c r="O659" s="296" t="s">
        <v>183</v>
      </c>
      <c r="P659" s="296" t="s">
        <v>5308</v>
      </c>
      <c r="Q659" s="296" t="s">
        <v>183</v>
      </c>
      <c r="R659" s="296" t="s">
        <v>5309</v>
      </c>
      <c r="S659" s="296" t="s">
        <v>185</v>
      </c>
      <c r="T659" s="296" t="s">
        <v>185</v>
      </c>
      <c r="U659" s="296" t="s">
        <v>186</v>
      </c>
      <c r="V659" s="296" t="s">
        <v>187</v>
      </c>
      <c r="W659" s="296" t="s">
        <v>188</v>
      </c>
      <c r="X659" s="296" t="s">
        <v>246</v>
      </c>
      <c r="Y659" s="296" t="s">
        <v>183</v>
      </c>
      <c r="Z659" s="296" t="s">
        <v>183</v>
      </c>
      <c r="AA659" s="296" t="s">
        <v>183</v>
      </c>
      <c r="AB659" s="296" t="s">
        <v>183</v>
      </c>
      <c r="AC659" s="296" t="s">
        <v>5310</v>
      </c>
      <c r="AD659" s="296" t="s">
        <v>5311</v>
      </c>
      <c r="AE659" s="296" t="s">
        <v>192</v>
      </c>
      <c r="AF659" s="296" t="s">
        <v>193</v>
      </c>
      <c r="AG659" s="296">
        <v>0</v>
      </c>
      <c r="AH659" s="298">
        <v>45583</v>
      </c>
      <c r="AJ659" s="296" t="s">
        <v>194</v>
      </c>
      <c r="AK659" s="299">
        <f>COUNTIF($A$3:A$917,A659)</f>
        <v>1</v>
      </c>
    </row>
    <row r="660" spans="1:37" x14ac:dyDescent="0.25">
      <c r="A660" s="296">
        <v>205900221</v>
      </c>
      <c r="B660" s="296" t="s">
        <v>5312</v>
      </c>
      <c r="C660" s="296" t="s">
        <v>183</v>
      </c>
      <c r="D660" s="296" t="s">
        <v>183</v>
      </c>
      <c r="E660" s="296" t="s">
        <v>183</v>
      </c>
      <c r="F660" s="296" t="s">
        <v>5313</v>
      </c>
      <c r="G660" s="296" t="s">
        <v>183</v>
      </c>
      <c r="H660" s="296" t="s">
        <v>5314</v>
      </c>
      <c r="I660" s="296" t="s">
        <v>5211</v>
      </c>
      <c r="J660" s="296" t="s">
        <v>5315</v>
      </c>
      <c r="K660" s="296" t="s">
        <v>5316</v>
      </c>
      <c r="L660" s="296" t="s">
        <v>5317</v>
      </c>
      <c r="M660" s="296" t="s">
        <v>179</v>
      </c>
      <c r="N660" s="296" t="s">
        <v>5318</v>
      </c>
      <c r="O660" s="296" t="s">
        <v>5319</v>
      </c>
      <c r="P660" s="296" t="s">
        <v>5320</v>
      </c>
      <c r="Q660" s="296" t="s">
        <v>183</v>
      </c>
      <c r="R660" s="296" t="s">
        <v>5321</v>
      </c>
      <c r="S660" s="296" t="s">
        <v>185</v>
      </c>
      <c r="T660" s="296" t="s">
        <v>185</v>
      </c>
      <c r="U660" s="296" t="s">
        <v>186</v>
      </c>
      <c r="V660" s="296" t="s">
        <v>187</v>
      </c>
      <c r="W660" s="296" t="s">
        <v>188</v>
      </c>
      <c r="X660" s="296" t="s">
        <v>256</v>
      </c>
      <c r="Y660" s="296" t="s">
        <v>183</v>
      </c>
      <c r="Z660" s="296" t="s">
        <v>183</v>
      </c>
      <c r="AA660" s="296" t="s">
        <v>183</v>
      </c>
      <c r="AB660" s="296" t="s">
        <v>183</v>
      </c>
      <c r="AC660" s="296" t="s">
        <v>5322</v>
      </c>
      <c r="AD660" s="296" t="s">
        <v>5323</v>
      </c>
      <c r="AE660" s="296" t="s">
        <v>192</v>
      </c>
      <c r="AF660" s="296" t="s">
        <v>193</v>
      </c>
      <c r="AG660" s="296">
        <v>0</v>
      </c>
      <c r="AH660" s="298">
        <v>45257</v>
      </c>
      <c r="AJ660" s="296" t="s">
        <v>194</v>
      </c>
      <c r="AK660" s="299">
        <f>COUNTIF($A$3:A$917,A660)</f>
        <v>1</v>
      </c>
    </row>
    <row r="661" spans="1:37" x14ac:dyDescent="0.25">
      <c r="A661" s="296">
        <v>503710879</v>
      </c>
      <c r="B661" s="296" t="s">
        <v>5324</v>
      </c>
      <c r="C661" s="296" t="s">
        <v>183</v>
      </c>
      <c r="D661" s="296" t="s">
        <v>183</v>
      </c>
      <c r="E661" s="296" t="s">
        <v>183</v>
      </c>
      <c r="F661" s="296" t="s">
        <v>5325</v>
      </c>
      <c r="G661" s="296" t="s">
        <v>5326</v>
      </c>
      <c r="H661" s="296" t="s">
        <v>5327</v>
      </c>
      <c r="I661" s="296" t="s">
        <v>5211</v>
      </c>
      <c r="J661" s="296" t="s">
        <v>5328</v>
      </c>
      <c r="K661" s="296" t="s">
        <v>5329</v>
      </c>
      <c r="L661" s="296" t="s">
        <v>5330</v>
      </c>
      <c r="M661" s="296" t="s">
        <v>179</v>
      </c>
      <c r="N661" s="296" t="s">
        <v>5331</v>
      </c>
      <c r="O661" s="296" t="s">
        <v>183</v>
      </c>
      <c r="P661" s="296" t="s">
        <v>5332</v>
      </c>
      <c r="Q661" s="296" t="s">
        <v>183</v>
      </c>
      <c r="R661" s="296" t="s">
        <v>5333</v>
      </c>
      <c r="S661" s="296" t="s">
        <v>185</v>
      </c>
      <c r="T661" s="296" t="s">
        <v>185</v>
      </c>
      <c r="U661" s="296" t="s">
        <v>186</v>
      </c>
      <c r="V661" s="296" t="s">
        <v>187</v>
      </c>
      <c r="W661" s="296" t="s">
        <v>188</v>
      </c>
      <c r="X661" s="296" t="s">
        <v>189</v>
      </c>
      <c r="Y661" s="296" t="s">
        <v>183</v>
      </c>
      <c r="Z661" s="296" t="s">
        <v>183</v>
      </c>
      <c r="AA661" s="296" t="s">
        <v>183</v>
      </c>
      <c r="AB661" s="296" t="s">
        <v>183</v>
      </c>
      <c r="AC661" s="296" t="s">
        <v>5334</v>
      </c>
      <c r="AD661" s="296" t="s">
        <v>5335</v>
      </c>
      <c r="AE661" s="296" t="s">
        <v>192</v>
      </c>
      <c r="AF661" s="296" t="s">
        <v>193</v>
      </c>
      <c r="AG661" s="296">
        <v>0</v>
      </c>
      <c r="AH661" s="298">
        <v>44476</v>
      </c>
      <c r="AJ661" s="296" t="s">
        <v>194</v>
      </c>
      <c r="AK661" s="299">
        <f>COUNTIF($A$3:A$917,A661)</f>
        <v>1</v>
      </c>
    </row>
    <row r="662" spans="1:37" x14ac:dyDescent="0.25">
      <c r="A662" s="296">
        <v>604570150</v>
      </c>
      <c r="B662" s="296" t="s">
        <v>5336</v>
      </c>
      <c r="C662" s="296" t="s">
        <v>183</v>
      </c>
      <c r="D662" s="296" t="s">
        <v>183</v>
      </c>
      <c r="E662" s="296" t="s">
        <v>183</v>
      </c>
      <c r="F662" s="296" t="s">
        <v>5337</v>
      </c>
      <c r="G662" s="296" t="s">
        <v>5337</v>
      </c>
      <c r="H662" s="296" t="s">
        <v>5338</v>
      </c>
      <c r="I662" s="296" t="s">
        <v>5211</v>
      </c>
      <c r="J662" s="296" t="s">
        <v>5339</v>
      </c>
      <c r="K662" s="296" t="s">
        <v>2110</v>
      </c>
      <c r="L662" s="296" t="s">
        <v>2111</v>
      </c>
      <c r="M662" s="296" t="s">
        <v>179</v>
      </c>
      <c r="N662" s="296" t="s">
        <v>2112</v>
      </c>
      <c r="O662" s="296" t="s">
        <v>183</v>
      </c>
      <c r="P662" s="296" t="s">
        <v>2113</v>
      </c>
      <c r="Q662" s="296" t="s">
        <v>183</v>
      </c>
      <c r="R662" s="296" t="s">
        <v>2114</v>
      </c>
      <c r="S662" s="296" t="s">
        <v>185</v>
      </c>
      <c r="T662" s="296" t="s">
        <v>185</v>
      </c>
      <c r="U662" s="296" t="s">
        <v>186</v>
      </c>
      <c r="V662" s="296" t="s">
        <v>187</v>
      </c>
      <c r="W662" s="296" t="s">
        <v>188</v>
      </c>
      <c r="X662" s="296" t="s">
        <v>189</v>
      </c>
      <c r="Y662" s="296" t="s">
        <v>183</v>
      </c>
      <c r="Z662" s="296" t="s">
        <v>183</v>
      </c>
      <c r="AA662" s="296" t="s">
        <v>183</v>
      </c>
      <c r="AB662" s="296" t="s">
        <v>183</v>
      </c>
      <c r="AC662" s="296" t="s">
        <v>2115</v>
      </c>
      <c r="AD662" s="296" t="s">
        <v>5340</v>
      </c>
      <c r="AE662" s="296" t="s">
        <v>192</v>
      </c>
      <c r="AF662" s="296" t="s">
        <v>193</v>
      </c>
      <c r="AG662" s="296">
        <v>0</v>
      </c>
      <c r="AH662" s="298">
        <v>45932</v>
      </c>
      <c r="AJ662" s="296" t="s">
        <v>194</v>
      </c>
      <c r="AK662" s="299">
        <f>COUNTIF($A$3:A$917,A662)</f>
        <v>1</v>
      </c>
    </row>
    <row r="663" spans="1:37" x14ac:dyDescent="0.25">
      <c r="A663" s="296">
        <v>3101767951</v>
      </c>
      <c r="B663" s="296" t="s">
        <v>1767</v>
      </c>
      <c r="C663" s="296" t="s">
        <v>1768</v>
      </c>
      <c r="D663" s="296" t="s">
        <v>1769</v>
      </c>
      <c r="E663" s="296" t="s">
        <v>172</v>
      </c>
      <c r="F663" s="296" t="s">
        <v>1770</v>
      </c>
      <c r="G663" s="296" t="s">
        <v>1771</v>
      </c>
      <c r="H663" s="296" t="s">
        <v>1772</v>
      </c>
      <c r="I663" s="296" t="s">
        <v>5211</v>
      </c>
      <c r="J663" s="296" t="s">
        <v>5341</v>
      </c>
      <c r="K663" s="296" t="s">
        <v>1769</v>
      </c>
      <c r="L663" s="296" t="s">
        <v>1768</v>
      </c>
      <c r="M663" s="296" t="s">
        <v>179</v>
      </c>
      <c r="N663" s="296" t="s">
        <v>1770</v>
      </c>
      <c r="O663" s="296" t="s">
        <v>1771</v>
      </c>
      <c r="P663" s="296" t="s">
        <v>1772</v>
      </c>
      <c r="Q663" s="296" t="s">
        <v>183</v>
      </c>
      <c r="R663" s="296" t="s">
        <v>1774</v>
      </c>
      <c r="S663" s="296" t="s">
        <v>185</v>
      </c>
      <c r="T663" s="296" t="s">
        <v>185</v>
      </c>
      <c r="U663" s="296" t="s">
        <v>186</v>
      </c>
      <c r="V663" s="296" t="s">
        <v>187</v>
      </c>
      <c r="W663" s="296" t="s">
        <v>188</v>
      </c>
      <c r="X663" s="296" t="s">
        <v>189</v>
      </c>
      <c r="Y663" s="296" t="s">
        <v>183</v>
      </c>
      <c r="Z663" s="296" t="s">
        <v>183</v>
      </c>
      <c r="AA663" s="296" t="s">
        <v>183</v>
      </c>
      <c r="AB663" s="296" t="s">
        <v>183</v>
      </c>
      <c r="AC663" s="296" t="s">
        <v>1775</v>
      </c>
      <c r="AD663" s="296" t="s">
        <v>5342</v>
      </c>
      <c r="AE663" s="296" t="s">
        <v>192</v>
      </c>
      <c r="AF663" s="296" t="s">
        <v>193</v>
      </c>
      <c r="AG663" s="296">
        <v>24145</v>
      </c>
      <c r="AH663" s="298">
        <v>39009</v>
      </c>
      <c r="AJ663" s="296" t="s">
        <v>194</v>
      </c>
      <c r="AK663" s="299">
        <f>COUNTIF($A$3:A$917,A663)</f>
        <v>3</v>
      </c>
    </row>
    <row r="664" spans="1:37" x14ac:dyDescent="0.25">
      <c r="A664" s="296">
        <v>504510515</v>
      </c>
      <c r="B664" s="296" t="s">
        <v>5343</v>
      </c>
      <c r="C664" s="296" t="s">
        <v>183</v>
      </c>
      <c r="D664" s="296" t="s">
        <v>183</v>
      </c>
      <c r="E664" s="296" t="s">
        <v>183</v>
      </c>
      <c r="F664" s="296" t="s">
        <v>5344</v>
      </c>
      <c r="G664" s="296" t="s">
        <v>5344</v>
      </c>
      <c r="H664" s="296" t="s">
        <v>5345</v>
      </c>
      <c r="I664" s="296" t="s">
        <v>5211</v>
      </c>
      <c r="J664" s="296" t="s">
        <v>5346</v>
      </c>
      <c r="K664" s="296" t="s">
        <v>5347</v>
      </c>
      <c r="L664" s="296" t="s">
        <v>5348</v>
      </c>
      <c r="M664" s="296" t="s">
        <v>179</v>
      </c>
      <c r="N664" s="296" t="s">
        <v>5349</v>
      </c>
      <c r="O664" s="296" t="s">
        <v>5350</v>
      </c>
      <c r="P664" s="296" t="s">
        <v>5351</v>
      </c>
      <c r="Q664" s="296" t="s">
        <v>183</v>
      </c>
      <c r="R664" s="296" t="s">
        <v>5352</v>
      </c>
      <c r="S664" s="296" t="s">
        <v>185</v>
      </c>
      <c r="T664" s="296" t="s">
        <v>185</v>
      </c>
      <c r="U664" s="296" t="s">
        <v>186</v>
      </c>
      <c r="V664" s="296" t="s">
        <v>187</v>
      </c>
      <c r="W664" s="296" t="s">
        <v>188</v>
      </c>
      <c r="X664" s="296" t="s">
        <v>308</v>
      </c>
      <c r="Y664" s="296" t="s">
        <v>183</v>
      </c>
      <c r="Z664" s="296" t="s">
        <v>183</v>
      </c>
      <c r="AA664" s="296" t="s">
        <v>183</v>
      </c>
      <c r="AB664" s="296" t="s">
        <v>183</v>
      </c>
      <c r="AC664" s="296" t="s">
        <v>5353</v>
      </c>
      <c r="AD664" s="296" t="s">
        <v>5354</v>
      </c>
      <c r="AE664" s="296" t="s">
        <v>192</v>
      </c>
      <c r="AF664" s="296" t="s">
        <v>193</v>
      </c>
      <c r="AG664" s="296">
        <v>0</v>
      </c>
      <c r="AH664" s="298">
        <v>45313</v>
      </c>
      <c r="AJ664" s="296" t="s">
        <v>194</v>
      </c>
      <c r="AK664" s="299">
        <f>COUNTIF($A$3:A$917,A664)</f>
        <v>1</v>
      </c>
    </row>
    <row r="665" spans="1:37" x14ac:dyDescent="0.25">
      <c r="A665" s="296">
        <v>155803660603</v>
      </c>
      <c r="B665" s="296" t="s">
        <v>5355</v>
      </c>
      <c r="C665" s="296" t="s">
        <v>183</v>
      </c>
      <c r="D665" s="296" t="s">
        <v>183</v>
      </c>
      <c r="E665" s="296" t="s">
        <v>183</v>
      </c>
      <c r="F665" s="296" t="s">
        <v>5356</v>
      </c>
      <c r="G665" s="296" t="s">
        <v>183</v>
      </c>
      <c r="H665" s="296" t="s">
        <v>5357</v>
      </c>
      <c r="I665" s="296" t="s">
        <v>5211</v>
      </c>
      <c r="J665" s="296" t="s">
        <v>5358</v>
      </c>
      <c r="K665" s="296" t="s">
        <v>3393</v>
      </c>
      <c r="L665" s="296" t="s">
        <v>3394</v>
      </c>
      <c r="M665" s="296" t="s">
        <v>179</v>
      </c>
      <c r="N665" s="296" t="s">
        <v>1615</v>
      </c>
      <c r="O665" s="296" t="s">
        <v>3395</v>
      </c>
      <c r="P665" s="296" t="s">
        <v>3396</v>
      </c>
      <c r="Q665" s="296" t="s">
        <v>183</v>
      </c>
      <c r="R665" s="296" t="s">
        <v>5259</v>
      </c>
      <c r="S665" s="296" t="s">
        <v>185</v>
      </c>
      <c r="T665" s="296" t="s">
        <v>185</v>
      </c>
      <c r="U665" s="296" t="s">
        <v>186</v>
      </c>
      <c r="V665" s="296" t="s">
        <v>187</v>
      </c>
      <c r="W665" s="296" t="s">
        <v>188</v>
      </c>
      <c r="X665" s="296" t="s">
        <v>256</v>
      </c>
      <c r="Y665" s="296" t="s">
        <v>183</v>
      </c>
      <c r="Z665" s="296" t="s">
        <v>183</v>
      </c>
      <c r="AA665" s="296" t="s">
        <v>183</v>
      </c>
      <c r="AB665" s="296" t="s">
        <v>183</v>
      </c>
      <c r="AC665" s="296" t="s">
        <v>5260</v>
      </c>
      <c r="AD665" s="296" t="s">
        <v>5359</v>
      </c>
      <c r="AE665" s="296" t="s">
        <v>192</v>
      </c>
      <c r="AF665" s="296" t="s">
        <v>193</v>
      </c>
      <c r="AG665" s="296">
        <v>0</v>
      </c>
      <c r="AH665" s="298">
        <v>45734</v>
      </c>
      <c r="AJ665" s="296" t="s">
        <v>194</v>
      </c>
      <c r="AK665" s="299">
        <f>COUNTIF($A$3:A$917,A665)</f>
        <v>1</v>
      </c>
    </row>
    <row r="666" spans="1:37" x14ac:dyDescent="0.25">
      <c r="A666" s="296">
        <v>604510795</v>
      </c>
      <c r="B666" s="296" t="s">
        <v>5360</v>
      </c>
      <c r="C666" s="296" t="s">
        <v>183</v>
      </c>
      <c r="D666" s="296" t="s">
        <v>183</v>
      </c>
      <c r="E666" s="296" t="s">
        <v>183</v>
      </c>
      <c r="F666" s="296" t="s">
        <v>5361</v>
      </c>
      <c r="G666" s="296" t="s">
        <v>5361</v>
      </c>
      <c r="H666" s="296" t="s">
        <v>5362</v>
      </c>
      <c r="I666" s="296" t="s">
        <v>5211</v>
      </c>
      <c r="J666" s="296" t="s">
        <v>5363</v>
      </c>
      <c r="K666" s="296" t="s">
        <v>5364</v>
      </c>
      <c r="L666" s="296" t="s">
        <v>5365</v>
      </c>
      <c r="M666" s="296" t="s">
        <v>179</v>
      </c>
      <c r="N666" s="296" t="s">
        <v>5366</v>
      </c>
      <c r="O666" s="296" t="s">
        <v>5366</v>
      </c>
      <c r="P666" s="296" t="s">
        <v>5367</v>
      </c>
      <c r="Q666" s="296" t="s">
        <v>183</v>
      </c>
      <c r="R666" s="296" t="s">
        <v>5368</v>
      </c>
      <c r="S666" s="296" t="s">
        <v>185</v>
      </c>
      <c r="T666" s="296" t="s">
        <v>185</v>
      </c>
      <c r="U666" s="296" t="s">
        <v>186</v>
      </c>
      <c r="V666" s="296" t="s">
        <v>187</v>
      </c>
      <c r="W666" s="296" t="s">
        <v>188</v>
      </c>
      <c r="X666" s="296" t="s">
        <v>189</v>
      </c>
      <c r="Y666" s="296" t="s">
        <v>183</v>
      </c>
      <c r="Z666" s="296" t="s">
        <v>183</v>
      </c>
      <c r="AA666" s="296" t="s">
        <v>183</v>
      </c>
      <c r="AB666" s="296" t="s">
        <v>183</v>
      </c>
      <c r="AC666" s="296" t="s">
        <v>5369</v>
      </c>
      <c r="AD666" s="296" t="s">
        <v>5370</v>
      </c>
      <c r="AE666" s="296" t="s">
        <v>192</v>
      </c>
      <c r="AF666" s="296" t="s">
        <v>193</v>
      </c>
      <c r="AG666" s="296">
        <v>0</v>
      </c>
      <c r="AH666" s="298">
        <v>45931</v>
      </c>
      <c r="AJ666" s="296" t="s">
        <v>194</v>
      </c>
      <c r="AK666" s="299">
        <f>COUNTIF($A$3:A$917,A666)</f>
        <v>1</v>
      </c>
    </row>
    <row r="667" spans="1:37" x14ac:dyDescent="0.25">
      <c r="A667" s="296">
        <v>113360495</v>
      </c>
      <c r="B667" s="296" t="s">
        <v>5371</v>
      </c>
      <c r="C667" s="296" t="s">
        <v>183</v>
      </c>
      <c r="D667" s="296" t="s">
        <v>183</v>
      </c>
      <c r="E667" s="296" t="s">
        <v>183</v>
      </c>
      <c r="F667" s="296" t="s">
        <v>5372</v>
      </c>
      <c r="G667" s="296" t="s">
        <v>5372</v>
      </c>
      <c r="H667" s="296" t="s">
        <v>5373</v>
      </c>
      <c r="I667" s="296" t="s">
        <v>5211</v>
      </c>
      <c r="J667" s="296" t="s">
        <v>5374</v>
      </c>
      <c r="K667" s="296" t="s">
        <v>5375</v>
      </c>
      <c r="L667" s="296" t="s">
        <v>5376</v>
      </c>
      <c r="M667" s="296" t="s">
        <v>179</v>
      </c>
      <c r="N667" s="296" t="s">
        <v>5377</v>
      </c>
      <c r="O667" s="296" t="s">
        <v>5377</v>
      </c>
      <c r="P667" s="296" t="s">
        <v>5378</v>
      </c>
      <c r="Q667" s="296" t="s">
        <v>183</v>
      </c>
      <c r="R667" s="296" t="s">
        <v>5379</v>
      </c>
      <c r="S667" s="296" t="s">
        <v>185</v>
      </c>
      <c r="T667" s="296" t="s">
        <v>185</v>
      </c>
      <c r="U667" s="296" t="s">
        <v>186</v>
      </c>
      <c r="V667" s="296" t="s">
        <v>187</v>
      </c>
      <c r="W667" s="296" t="s">
        <v>188</v>
      </c>
      <c r="X667" s="296" t="s">
        <v>224</v>
      </c>
      <c r="Y667" s="296" t="s">
        <v>183</v>
      </c>
      <c r="Z667" s="296" t="s">
        <v>183</v>
      </c>
      <c r="AA667" s="296" t="s">
        <v>183</v>
      </c>
      <c r="AB667" s="296" t="s">
        <v>183</v>
      </c>
      <c r="AC667" s="296" t="s">
        <v>5380</v>
      </c>
      <c r="AD667" s="296" t="s">
        <v>5381</v>
      </c>
      <c r="AE667" s="296" t="s">
        <v>192</v>
      </c>
      <c r="AF667" s="296" t="s">
        <v>193</v>
      </c>
      <c r="AG667" s="296">
        <v>0</v>
      </c>
      <c r="AH667" s="298">
        <v>45993</v>
      </c>
      <c r="AJ667" s="296" t="s">
        <v>194</v>
      </c>
      <c r="AK667" s="299">
        <f>COUNTIF($A$3:A$917,A667)</f>
        <v>1</v>
      </c>
    </row>
    <row r="668" spans="1:37" x14ac:dyDescent="0.25">
      <c r="A668" s="296">
        <v>502280687</v>
      </c>
      <c r="B668" s="296" t="s">
        <v>5382</v>
      </c>
      <c r="C668" s="296" t="s">
        <v>183</v>
      </c>
      <c r="D668" s="296" t="s">
        <v>183</v>
      </c>
      <c r="E668" s="296" t="s">
        <v>183</v>
      </c>
      <c r="F668" s="296" t="s">
        <v>5383</v>
      </c>
      <c r="G668" s="296" t="s">
        <v>5384</v>
      </c>
      <c r="H668" s="296" t="s">
        <v>5385</v>
      </c>
      <c r="I668" s="296" t="s">
        <v>5211</v>
      </c>
      <c r="J668" s="296" t="s">
        <v>5386</v>
      </c>
      <c r="K668" s="296" t="s">
        <v>355</v>
      </c>
      <c r="L668" s="296" t="s">
        <v>356</v>
      </c>
      <c r="M668" s="296" t="s">
        <v>179</v>
      </c>
      <c r="N668" s="296" t="s">
        <v>278</v>
      </c>
      <c r="O668" s="296" t="s">
        <v>278</v>
      </c>
      <c r="P668" s="296" t="s">
        <v>183</v>
      </c>
      <c r="Q668" s="296" t="s">
        <v>183</v>
      </c>
      <c r="R668" s="296" t="s">
        <v>357</v>
      </c>
      <c r="S668" s="296" t="s">
        <v>185</v>
      </c>
      <c r="T668" s="296" t="s">
        <v>185</v>
      </c>
      <c r="U668" s="296" t="s">
        <v>186</v>
      </c>
      <c r="V668" s="296" t="s">
        <v>187</v>
      </c>
      <c r="W668" s="296" t="s">
        <v>188</v>
      </c>
      <c r="X668" s="296" t="s">
        <v>189</v>
      </c>
      <c r="Y668" s="296" t="s">
        <v>183</v>
      </c>
      <c r="Z668" s="296" t="s">
        <v>183</v>
      </c>
      <c r="AA668" s="296" t="s">
        <v>183</v>
      </c>
      <c r="AB668" s="296" t="s">
        <v>183</v>
      </c>
      <c r="AC668" s="296" t="s">
        <v>358</v>
      </c>
      <c r="AD668" s="296" t="s">
        <v>5387</v>
      </c>
      <c r="AE668" s="296" t="s">
        <v>192</v>
      </c>
      <c r="AF668" s="296" t="s">
        <v>193</v>
      </c>
      <c r="AG668" s="296">
        <v>15040.25</v>
      </c>
      <c r="AH668" s="298">
        <v>41219</v>
      </c>
      <c r="AJ668" s="296" t="s">
        <v>194</v>
      </c>
      <c r="AK668" s="299">
        <f>COUNTIF($A$3:A$917,A668)</f>
        <v>1</v>
      </c>
    </row>
    <row r="669" spans="1:37" x14ac:dyDescent="0.25">
      <c r="A669" s="296">
        <v>502420527</v>
      </c>
      <c r="B669" s="296" t="s">
        <v>5388</v>
      </c>
      <c r="C669" s="296" t="s">
        <v>183</v>
      </c>
      <c r="D669" s="296" t="s">
        <v>183</v>
      </c>
      <c r="E669" s="296" t="s">
        <v>183</v>
      </c>
      <c r="F669" s="296" t="s">
        <v>5389</v>
      </c>
      <c r="G669" s="296" t="s">
        <v>183</v>
      </c>
      <c r="H669" s="296" t="s">
        <v>5390</v>
      </c>
      <c r="I669" s="296" t="s">
        <v>5211</v>
      </c>
      <c r="J669" s="296" t="s">
        <v>5391</v>
      </c>
      <c r="K669" s="296" t="s">
        <v>5392</v>
      </c>
      <c r="L669" s="296" t="s">
        <v>5393</v>
      </c>
      <c r="M669" s="296" t="s">
        <v>179</v>
      </c>
      <c r="N669" s="296" t="s">
        <v>5394</v>
      </c>
      <c r="O669" s="296" t="s">
        <v>183</v>
      </c>
      <c r="P669" s="296" t="s">
        <v>5395</v>
      </c>
      <c r="Q669" s="296" t="s">
        <v>183</v>
      </c>
      <c r="R669" s="296" t="s">
        <v>5396</v>
      </c>
      <c r="S669" s="296" t="s">
        <v>185</v>
      </c>
      <c r="T669" s="296" t="s">
        <v>185</v>
      </c>
      <c r="U669" s="296" t="s">
        <v>186</v>
      </c>
      <c r="V669" s="296" t="s">
        <v>187</v>
      </c>
      <c r="W669" s="296" t="s">
        <v>188</v>
      </c>
      <c r="X669" s="296" t="s">
        <v>189</v>
      </c>
      <c r="Y669" s="296" t="s">
        <v>183</v>
      </c>
      <c r="Z669" s="296" t="s">
        <v>183</v>
      </c>
      <c r="AA669" s="296" t="s">
        <v>183</v>
      </c>
      <c r="AB669" s="296" t="s">
        <v>183</v>
      </c>
      <c r="AC669" s="296" t="s">
        <v>5397</v>
      </c>
      <c r="AD669" s="296" t="s">
        <v>5398</v>
      </c>
      <c r="AE669" s="296" t="s">
        <v>192</v>
      </c>
      <c r="AF669" s="296" t="s">
        <v>193</v>
      </c>
      <c r="AG669" s="296">
        <v>0</v>
      </c>
      <c r="AH669" s="298">
        <v>45128</v>
      </c>
      <c r="AJ669" s="296" t="s">
        <v>194</v>
      </c>
      <c r="AK669" s="299">
        <f>COUNTIF($A$3:A$917,A669)</f>
        <v>1</v>
      </c>
    </row>
    <row r="670" spans="1:37" x14ac:dyDescent="0.25">
      <c r="A670" s="296">
        <v>503720572</v>
      </c>
      <c r="B670" s="296" t="s">
        <v>5399</v>
      </c>
      <c r="C670" s="296" t="s">
        <v>183</v>
      </c>
      <c r="D670" s="296" t="s">
        <v>183</v>
      </c>
      <c r="E670" s="296" t="s">
        <v>183</v>
      </c>
      <c r="F670" s="296" t="s">
        <v>5400</v>
      </c>
      <c r="G670" s="296" t="s">
        <v>5400</v>
      </c>
      <c r="H670" s="296" t="s">
        <v>5401</v>
      </c>
      <c r="I670" s="296" t="s">
        <v>5211</v>
      </c>
      <c r="J670" s="296" t="s">
        <v>5402</v>
      </c>
      <c r="K670" s="296" t="s">
        <v>355</v>
      </c>
      <c r="L670" s="296" t="s">
        <v>356</v>
      </c>
      <c r="M670" s="296" t="s">
        <v>179</v>
      </c>
      <c r="N670" s="296" t="s">
        <v>278</v>
      </c>
      <c r="O670" s="296" t="s">
        <v>278</v>
      </c>
      <c r="P670" s="296" t="s">
        <v>183</v>
      </c>
      <c r="Q670" s="296" t="s">
        <v>183</v>
      </c>
      <c r="R670" s="296" t="s">
        <v>357</v>
      </c>
      <c r="S670" s="296" t="s">
        <v>185</v>
      </c>
      <c r="T670" s="296" t="s">
        <v>185</v>
      </c>
      <c r="U670" s="296" t="s">
        <v>186</v>
      </c>
      <c r="V670" s="296" t="s">
        <v>187</v>
      </c>
      <c r="W670" s="296" t="s">
        <v>188</v>
      </c>
      <c r="X670" s="296" t="s">
        <v>189</v>
      </c>
      <c r="Y670" s="296" t="s">
        <v>183</v>
      </c>
      <c r="Z670" s="296" t="s">
        <v>183</v>
      </c>
      <c r="AA670" s="296" t="s">
        <v>183</v>
      </c>
      <c r="AB670" s="296" t="s">
        <v>183</v>
      </c>
      <c r="AC670" s="296" t="s">
        <v>358</v>
      </c>
      <c r="AD670" s="296" t="s">
        <v>5403</v>
      </c>
      <c r="AE670" s="296" t="s">
        <v>192</v>
      </c>
      <c r="AF670" s="296" t="s">
        <v>193</v>
      </c>
      <c r="AG670" s="296">
        <v>0</v>
      </c>
      <c r="AH670" s="298">
        <v>44132</v>
      </c>
      <c r="AJ670" s="296" t="s">
        <v>194</v>
      </c>
      <c r="AK670" s="299">
        <f>COUNTIF($A$3:A$917,A670)</f>
        <v>1</v>
      </c>
    </row>
    <row r="671" spans="1:37" x14ac:dyDescent="0.25">
      <c r="A671" s="296">
        <v>206090001</v>
      </c>
      <c r="B671" s="296" t="s">
        <v>4372</v>
      </c>
      <c r="C671" s="296" t="s">
        <v>183</v>
      </c>
      <c r="D671" s="296" t="s">
        <v>183</v>
      </c>
      <c r="E671" s="296" t="s">
        <v>183</v>
      </c>
      <c r="F671" s="296" t="s">
        <v>4373</v>
      </c>
      <c r="G671" s="296" t="s">
        <v>183</v>
      </c>
      <c r="H671" s="296" t="s">
        <v>4374</v>
      </c>
      <c r="I671" s="296" t="s">
        <v>5211</v>
      </c>
      <c r="J671" s="296" t="s">
        <v>4375</v>
      </c>
      <c r="K671" s="296" t="s">
        <v>4376</v>
      </c>
      <c r="L671" s="296" t="s">
        <v>4377</v>
      </c>
      <c r="M671" s="296" t="s">
        <v>179</v>
      </c>
      <c r="N671" s="296" t="s">
        <v>1597</v>
      </c>
      <c r="O671" s="296" t="s">
        <v>1597</v>
      </c>
      <c r="P671" s="296" t="s">
        <v>4378</v>
      </c>
      <c r="Q671" s="296" t="s">
        <v>183</v>
      </c>
      <c r="R671" s="296" t="s">
        <v>4379</v>
      </c>
      <c r="S671" s="296" t="s">
        <v>185</v>
      </c>
      <c r="T671" s="296" t="s">
        <v>185</v>
      </c>
      <c r="U671" s="296" t="s">
        <v>186</v>
      </c>
      <c r="V671" s="296" t="s">
        <v>187</v>
      </c>
      <c r="W671" s="296" t="s">
        <v>188</v>
      </c>
      <c r="X671" s="296" t="s">
        <v>404</v>
      </c>
      <c r="Y671" s="296" t="s">
        <v>183</v>
      </c>
      <c r="Z671" s="296" t="s">
        <v>183</v>
      </c>
      <c r="AA671" s="296" t="s">
        <v>183</v>
      </c>
      <c r="AB671" s="296" t="s">
        <v>183</v>
      </c>
      <c r="AC671" s="296" t="s">
        <v>4380</v>
      </c>
      <c r="AD671" s="296" t="s">
        <v>5404</v>
      </c>
      <c r="AE671" s="296" t="s">
        <v>192</v>
      </c>
      <c r="AF671" s="296" t="s">
        <v>193</v>
      </c>
      <c r="AG671" s="296">
        <v>0</v>
      </c>
      <c r="AH671" s="298">
        <v>45945</v>
      </c>
      <c r="AJ671" s="296" t="s">
        <v>194</v>
      </c>
      <c r="AK671" s="299">
        <f>COUNTIF($A$3:A$917,A671)</f>
        <v>2</v>
      </c>
    </row>
    <row r="672" spans="1:37" x14ac:dyDescent="0.25">
      <c r="A672" s="296">
        <v>500880375</v>
      </c>
      <c r="B672" s="296" t="s">
        <v>5405</v>
      </c>
      <c r="C672" s="296" t="s">
        <v>183</v>
      </c>
      <c r="D672" s="296" t="s">
        <v>183</v>
      </c>
      <c r="E672" s="296" t="s">
        <v>183</v>
      </c>
      <c r="F672" s="296" t="s">
        <v>5406</v>
      </c>
      <c r="G672" s="296" t="s">
        <v>5407</v>
      </c>
      <c r="H672" s="296" t="s">
        <v>5408</v>
      </c>
      <c r="I672" s="296" t="s">
        <v>5211</v>
      </c>
      <c r="J672" s="296" t="s">
        <v>5409</v>
      </c>
      <c r="K672" s="296" t="s">
        <v>5410</v>
      </c>
      <c r="L672" s="296" t="s">
        <v>5405</v>
      </c>
      <c r="M672" s="296" t="s">
        <v>179</v>
      </c>
      <c r="N672" s="296" t="s">
        <v>5406</v>
      </c>
      <c r="O672" s="296" t="s">
        <v>5407</v>
      </c>
      <c r="P672" s="296" t="s">
        <v>5408</v>
      </c>
      <c r="Q672" s="296" t="s">
        <v>183</v>
      </c>
      <c r="R672" s="296" t="s">
        <v>5411</v>
      </c>
      <c r="S672" s="296" t="s">
        <v>185</v>
      </c>
      <c r="T672" s="296" t="s">
        <v>185</v>
      </c>
      <c r="U672" s="296" t="s">
        <v>186</v>
      </c>
      <c r="V672" s="296" t="s">
        <v>187</v>
      </c>
      <c r="W672" s="296" t="s">
        <v>188</v>
      </c>
      <c r="X672" s="296" t="s">
        <v>189</v>
      </c>
      <c r="Y672" s="296" t="s">
        <v>183</v>
      </c>
      <c r="Z672" s="296" t="s">
        <v>183</v>
      </c>
      <c r="AA672" s="296" t="s">
        <v>183</v>
      </c>
      <c r="AB672" s="296" t="s">
        <v>183</v>
      </c>
      <c r="AC672" s="296" t="s">
        <v>5412</v>
      </c>
      <c r="AD672" s="296" t="s">
        <v>5413</v>
      </c>
      <c r="AE672" s="296" t="s">
        <v>192</v>
      </c>
      <c r="AF672" s="296" t="s">
        <v>193</v>
      </c>
      <c r="AG672" s="296">
        <v>7821.5</v>
      </c>
      <c r="AH672" s="298">
        <v>41022</v>
      </c>
      <c r="AJ672" s="296" t="s">
        <v>194</v>
      </c>
      <c r="AK672" s="299">
        <f>COUNTIF($A$3:A$917,A672)</f>
        <v>1</v>
      </c>
    </row>
    <row r="673" spans="1:37" x14ac:dyDescent="0.25">
      <c r="A673" s="296">
        <v>503940350</v>
      </c>
      <c r="B673" s="296" t="s">
        <v>5414</v>
      </c>
      <c r="C673" s="296" t="s">
        <v>183</v>
      </c>
      <c r="D673" s="296" t="s">
        <v>183</v>
      </c>
      <c r="E673" s="296" t="s">
        <v>183</v>
      </c>
      <c r="F673" s="296" t="s">
        <v>5415</v>
      </c>
      <c r="G673" s="296" t="s">
        <v>5416</v>
      </c>
      <c r="H673" s="296" t="s">
        <v>5417</v>
      </c>
      <c r="I673" s="296" t="s">
        <v>5211</v>
      </c>
      <c r="J673" s="296" t="s">
        <v>5418</v>
      </c>
      <c r="K673" s="296" t="s">
        <v>5419</v>
      </c>
      <c r="L673" s="296" t="s">
        <v>5420</v>
      </c>
      <c r="M673" s="296" t="s">
        <v>179</v>
      </c>
      <c r="N673" s="296" t="s">
        <v>5421</v>
      </c>
      <c r="O673" s="296" t="s">
        <v>5422</v>
      </c>
      <c r="P673" s="296" t="s">
        <v>5423</v>
      </c>
      <c r="Q673" s="296" t="s">
        <v>183</v>
      </c>
      <c r="R673" s="296" t="s">
        <v>5424</v>
      </c>
      <c r="S673" s="296" t="s">
        <v>185</v>
      </c>
      <c r="T673" s="296" t="s">
        <v>185</v>
      </c>
      <c r="U673" s="296" t="s">
        <v>186</v>
      </c>
      <c r="V673" s="296" t="s">
        <v>187</v>
      </c>
      <c r="W673" s="296" t="s">
        <v>188</v>
      </c>
      <c r="X673" s="296" t="s">
        <v>189</v>
      </c>
      <c r="Y673" s="296" t="s">
        <v>183</v>
      </c>
      <c r="Z673" s="296" t="s">
        <v>183</v>
      </c>
      <c r="AA673" s="296" t="s">
        <v>183</v>
      </c>
      <c r="AB673" s="296" t="s">
        <v>183</v>
      </c>
      <c r="AC673" s="296" t="s">
        <v>5425</v>
      </c>
      <c r="AD673" s="296" t="s">
        <v>5426</v>
      </c>
      <c r="AE673" s="296" t="s">
        <v>192</v>
      </c>
      <c r="AF673" s="296" t="s">
        <v>193</v>
      </c>
      <c r="AG673" s="296">
        <v>0</v>
      </c>
      <c r="AH673" s="298">
        <v>43851</v>
      </c>
      <c r="AJ673" s="296" t="s">
        <v>194</v>
      </c>
      <c r="AK673" s="299">
        <f>COUNTIF($A$3:A$917,A673)</f>
        <v>1</v>
      </c>
    </row>
    <row r="674" spans="1:37" x14ac:dyDescent="0.25">
      <c r="A674" s="296">
        <v>502240265</v>
      </c>
      <c r="B674" s="296" t="s">
        <v>5427</v>
      </c>
      <c r="C674" s="296" t="s">
        <v>183</v>
      </c>
      <c r="D674" s="296" t="s">
        <v>183</v>
      </c>
      <c r="E674" s="296" t="s">
        <v>183</v>
      </c>
      <c r="F674" s="296" t="s">
        <v>5428</v>
      </c>
      <c r="G674" s="296" t="s">
        <v>5428</v>
      </c>
      <c r="H674" s="296" t="s">
        <v>5429</v>
      </c>
      <c r="I674" s="296" t="s">
        <v>5211</v>
      </c>
      <c r="J674" s="296" t="s">
        <v>5430</v>
      </c>
      <c r="K674" s="296" t="s">
        <v>355</v>
      </c>
      <c r="L674" s="296" t="s">
        <v>356</v>
      </c>
      <c r="M674" s="296" t="s">
        <v>179</v>
      </c>
      <c r="N674" s="296" t="s">
        <v>278</v>
      </c>
      <c r="O674" s="296" t="s">
        <v>278</v>
      </c>
      <c r="P674" s="296" t="s">
        <v>183</v>
      </c>
      <c r="Q674" s="296" t="s">
        <v>183</v>
      </c>
      <c r="R674" s="296" t="s">
        <v>357</v>
      </c>
      <c r="S674" s="296" t="s">
        <v>185</v>
      </c>
      <c r="T674" s="296" t="s">
        <v>185</v>
      </c>
      <c r="U674" s="296" t="s">
        <v>186</v>
      </c>
      <c r="V674" s="296" t="s">
        <v>187</v>
      </c>
      <c r="W674" s="296" t="s">
        <v>188</v>
      </c>
      <c r="X674" s="296" t="s">
        <v>189</v>
      </c>
      <c r="Y674" s="296" t="s">
        <v>183</v>
      </c>
      <c r="Z674" s="296" t="s">
        <v>183</v>
      </c>
      <c r="AA674" s="296" t="s">
        <v>183</v>
      </c>
      <c r="AB674" s="296" t="s">
        <v>183</v>
      </c>
      <c r="AC674" s="296" t="s">
        <v>358</v>
      </c>
      <c r="AD674" s="296" t="s">
        <v>5431</v>
      </c>
      <c r="AE674" s="296" t="s">
        <v>192</v>
      </c>
      <c r="AF674" s="296" t="s">
        <v>193</v>
      </c>
      <c r="AG674" s="296">
        <v>0</v>
      </c>
      <c r="AH674" s="298">
        <v>43067</v>
      </c>
      <c r="AJ674" s="296" t="s">
        <v>194</v>
      </c>
      <c r="AK674" s="299">
        <f>COUNTIF($A$3:A$917,A674)</f>
        <v>1</v>
      </c>
    </row>
    <row r="675" spans="1:37" x14ac:dyDescent="0.25">
      <c r="A675" s="296">
        <v>106770612</v>
      </c>
      <c r="B675" s="296" t="s">
        <v>2719</v>
      </c>
      <c r="C675" s="296" t="s">
        <v>183</v>
      </c>
      <c r="D675" s="296" t="s">
        <v>183</v>
      </c>
      <c r="E675" s="296" t="s">
        <v>183</v>
      </c>
      <c r="F675" s="296" t="s">
        <v>2720</v>
      </c>
      <c r="G675" s="296" t="s">
        <v>278</v>
      </c>
      <c r="H675" s="296" t="s">
        <v>2721</v>
      </c>
      <c r="I675" s="296" t="s">
        <v>5211</v>
      </c>
      <c r="J675" s="296" t="s">
        <v>2722</v>
      </c>
      <c r="K675" s="296" t="s">
        <v>355</v>
      </c>
      <c r="L675" s="296" t="s">
        <v>356</v>
      </c>
      <c r="M675" s="296" t="s">
        <v>179</v>
      </c>
      <c r="N675" s="296" t="s">
        <v>278</v>
      </c>
      <c r="O675" s="296" t="s">
        <v>278</v>
      </c>
      <c r="P675" s="296" t="s">
        <v>183</v>
      </c>
      <c r="Q675" s="296" t="s">
        <v>183</v>
      </c>
      <c r="R675" s="296" t="s">
        <v>357</v>
      </c>
      <c r="S675" s="296" t="s">
        <v>185</v>
      </c>
      <c r="T675" s="296" t="s">
        <v>185</v>
      </c>
      <c r="U675" s="296" t="s">
        <v>186</v>
      </c>
      <c r="V675" s="296" t="s">
        <v>187</v>
      </c>
      <c r="W675" s="296" t="s">
        <v>188</v>
      </c>
      <c r="X675" s="296" t="s">
        <v>189</v>
      </c>
      <c r="Y675" s="296" t="s">
        <v>183</v>
      </c>
      <c r="Z675" s="296" t="s">
        <v>183</v>
      </c>
      <c r="AA675" s="296" t="s">
        <v>183</v>
      </c>
      <c r="AB675" s="296" t="s">
        <v>183</v>
      </c>
      <c r="AC675" s="296" t="s">
        <v>358</v>
      </c>
      <c r="AD675" s="296" t="s">
        <v>5432</v>
      </c>
      <c r="AE675" s="296" t="s">
        <v>192</v>
      </c>
      <c r="AF675" s="296" t="s">
        <v>193</v>
      </c>
      <c r="AG675" s="296">
        <v>8352</v>
      </c>
      <c r="AH675" s="298">
        <v>40910</v>
      </c>
      <c r="AJ675" s="296" t="s">
        <v>194</v>
      </c>
      <c r="AK675" s="299">
        <f>COUNTIF($A$3:A$917,A675)</f>
        <v>2</v>
      </c>
    </row>
    <row r="676" spans="1:37" x14ac:dyDescent="0.25">
      <c r="A676" s="296">
        <v>503710660</v>
      </c>
      <c r="B676" s="296" t="s">
        <v>5433</v>
      </c>
      <c r="C676" s="296" t="s">
        <v>183</v>
      </c>
      <c r="D676" s="296" t="s">
        <v>183</v>
      </c>
      <c r="E676" s="296" t="s">
        <v>183</v>
      </c>
      <c r="F676" s="296" t="s">
        <v>5434</v>
      </c>
      <c r="G676" s="296" t="s">
        <v>278</v>
      </c>
      <c r="H676" s="296" t="s">
        <v>5435</v>
      </c>
      <c r="I676" s="296" t="s">
        <v>5211</v>
      </c>
      <c r="J676" s="296" t="s">
        <v>5436</v>
      </c>
      <c r="K676" s="296" t="s">
        <v>5437</v>
      </c>
      <c r="L676" s="296" t="s">
        <v>5438</v>
      </c>
      <c r="M676" s="296" t="s">
        <v>179</v>
      </c>
      <c r="N676" s="296" t="s">
        <v>5439</v>
      </c>
      <c r="O676" s="296" t="s">
        <v>5440</v>
      </c>
      <c r="P676" s="296" t="s">
        <v>2183</v>
      </c>
      <c r="Q676" s="296" t="s">
        <v>183</v>
      </c>
      <c r="R676" s="296" t="s">
        <v>5441</v>
      </c>
      <c r="S676" s="296" t="s">
        <v>185</v>
      </c>
      <c r="T676" s="296" t="s">
        <v>185</v>
      </c>
      <c r="U676" s="296" t="s">
        <v>186</v>
      </c>
      <c r="V676" s="296" t="s">
        <v>187</v>
      </c>
      <c r="W676" s="296" t="s">
        <v>188</v>
      </c>
      <c r="X676" s="296" t="s">
        <v>189</v>
      </c>
      <c r="Y676" s="296" t="s">
        <v>183</v>
      </c>
      <c r="Z676" s="296" t="s">
        <v>183</v>
      </c>
      <c r="AA676" s="296" t="s">
        <v>183</v>
      </c>
      <c r="AB676" s="296" t="s">
        <v>183</v>
      </c>
      <c r="AC676" s="296" t="s">
        <v>5442</v>
      </c>
      <c r="AD676" s="296" t="s">
        <v>5443</v>
      </c>
      <c r="AE676" s="296" t="s">
        <v>192</v>
      </c>
      <c r="AF676" s="296" t="s">
        <v>193</v>
      </c>
      <c r="AG676" s="296">
        <v>21020.5</v>
      </c>
      <c r="AH676" s="298">
        <v>44174</v>
      </c>
      <c r="AJ676" s="296" t="s">
        <v>194</v>
      </c>
      <c r="AK676" s="299">
        <f>COUNTIF($A$3:A$917,A676)</f>
        <v>1</v>
      </c>
    </row>
    <row r="677" spans="1:37" x14ac:dyDescent="0.25">
      <c r="A677" s="296">
        <v>502330836</v>
      </c>
      <c r="B677" s="296" t="s">
        <v>5444</v>
      </c>
      <c r="C677" s="296" t="s">
        <v>183</v>
      </c>
      <c r="D677" s="296" t="s">
        <v>183</v>
      </c>
      <c r="E677" s="296" t="s">
        <v>183</v>
      </c>
      <c r="F677" s="296" t="s">
        <v>5445</v>
      </c>
      <c r="G677" s="296" t="s">
        <v>5445</v>
      </c>
      <c r="H677" s="296" t="s">
        <v>5446</v>
      </c>
      <c r="I677" s="296" t="s">
        <v>5211</v>
      </c>
      <c r="J677" s="296" t="s">
        <v>5447</v>
      </c>
      <c r="K677" s="296" t="s">
        <v>355</v>
      </c>
      <c r="L677" s="296" t="s">
        <v>356</v>
      </c>
      <c r="M677" s="296" t="s">
        <v>179</v>
      </c>
      <c r="N677" s="296" t="s">
        <v>278</v>
      </c>
      <c r="O677" s="296" t="s">
        <v>278</v>
      </c>
      <c r="P677" s="296" t="s">
        <v>183</v>
      </c>
      <c r="Q677" s="296" t="s">
        <v>183</v>
      </c>
      <c r="R677" s="296" t="s">
        <v>357</v>
      </c>
      <c r="S677" s="296" t="s">
        <v>185</v>
      </c>
      <c r="T677" s="296" t="s">
        <v>185</v>
      </c>
      <c r="U677" s="296" t="s">
        <v>186</v>
      </c>
      <c r="V677" s="296" t="s">
        <v>187</v>
      </c>
      <c r="W677" s="296" t="s">
        <v>188</v>
      </c>
      <c r="X677" s="296" t="s">
        <v>189</v>
      </c>
      <c r="Y677" s="296" t="s">
        <v>183</v>
      </c>
      <c r="Z677" s="296" t="s">
        <v>183</v>
      </c>
      <c r="AA677" s="296" t="s">
        <v>183</v>
      </c>
      <c r="AB677" s="296" t="s">
        <v>183</v>
      </c>
      <c r="AC677" s="296" t="s">
        <v>358</v>
      </c>
      <c r="AD677" s="296" t="s">
        <v>5448</v>
      </c>
      <c r="AE677" s="296" t="s">
        <v>192</v>
      </c>
      <c r="AF677" s="296" t="s">
        <v>193</v>
      </c>
      <c r="AG677" s="296">
        <v>0</v>
      </c>
      <c r="AH677" s="298">
        <v>45567</v>
      </c>
      <c r="AJ677" s="296" t="s">
        <v>194</v>
      </c>
      <c r="AK677" s="299">
        <f>COUNTIF($A$3:A$917,A677)</f>
        <v>1</v>
      </c>
    </row>
    <row r="678" spans="1:37" x14ac:dyDescent="0.25">
      <c r="A678" s="296">
        <v>502630449</v>
      </c>
      <c r="B678" s="296" t="s">
        <v>3791</v>
      </c>
      <c r="C678" s="296" t="s">
        <v>183</v>
      </c>
      <c r="D678" s="296" t="s">
        <v>183</v>
      </c>
      <c r="E678" s="296" t="s">
        <v>183</v>
      </c>
      <c r="F678" s="296" t="s">
        <v>3792</v>
      </c>
      <c r="G678" s="296" t="s">
        <v>3792</v>
      </c>
      <c r="H678" s="296" t="s">
        <v>3793</v>
      </c>
      <c r="I678" s="296" t="s">
        <v>5211</v>
      </c>
      <c r="J678" s="296" t="s">
        <v>5449</v>
      </c>
      <c r="K678" s="296" t="s">
        <v>3790</v>
      </c>
      <c r="L678" s="296" t="s">
        <v>3791</v>
      </c>
      <c r="M678" s="296" t="s">
        <v>179</v>
      </c>
      <c r="N678" s="296" t="s">
        <v>3792</v>
      </c>
      <c r="O678" s="296" t="s">
        <v>3792</v>
      </c>
      <c r="P678" s="296" t="s">
        <v>3793</v>
      </c>
      <c r="Q678" s="296" t="s">
        <v>183</v>
      </c>
      <c r="R678" s="296" t="s">
        <v>3794</v>
      </c>
      <c r="S678" s="296" t="s">
        <v>185</v>
      </c>
      <c r="T678" s="296" t="s">
        <v>185</v>
      </c>
      <c r="U678" s="296" t="s">
        <v>186</v>
      </c>
      <c r="V678" s="296" t="s">
        <v>187</v>
      </c>
      <c r="W678" s="296" t="s">
        <v>188</v>
      </c>
      <c r="X678" s="296" t="s">
        <v>189</v>
      </c>
      <c r="Y678" s="296" t="s">
        <v>183</v>
      </c>
      <c r="Z678" s="296" t="s">
        <v>183</v>
      </c>
      <c r="AA678" s="296" t="s">
        <v>183</v>
      </c>
      <c r="AB678" s="296" t="s">
        <v>183</v>
      </c>
      <c r="AC678" s="296" t="s">
        <v>3795</v>
      </c>
      <c r="AD678" s="296" t="s">
        <v>5450</v>
      </c>
      <c r="AE678" s="296" t="s">
        <v>192</v>
      </c>
      <c r="AF678" s="296" t="s">
        <v>193</v>
      </c>
      <c r="AG678" s="296">
        <v>0</v>
      </c>
      <c r="AH678" s="298">
        <v>42153</v>
      </c>
      <c r="AJ678" s="296" t="s">
        <v>194</v>
      </c>
      <c r="AK678" s="299">
        <f>COUNTIF($A$3:A$917,A678)</f>
        <v>1</v>
      </c>
    </row>
    <row r="679" spans="1:37" x14ac:dyDescent="0.25">
      <c r="A679" s="296">
        <v>116910717</v>
      </c>
      <c r="B679" s="296" t="s">
        <v>5451</v>
      </c>
      <c r="C679" s="296" t="s">
        <v>183</v>
      </c>
      <c r="D679" s="296" t="s">
        <v>183</v>
      </c>
      <c r="E679" s="296" t="s">
        <v>183</v>
      </c>
      <c r="F679" s="296" t="s">
        <v>5452</v>
      </c>
      <c r="G679" s="296" t="s">
        <v>5453</v>
      </c>
      <c r="H679" s="296" t="s">
        <v>5454</v>
      </c>
      <c r="I679" s="296" t="s">
        <v>5211</v>
      </c>
      <c r="J679" s="296" t="s">
        <v>5455</v>
      </c>
      <c r="K679" s="296" t="s">
        <v>5456</v>
      </c>
      <c r="L679" s="296" t="s">
        <v>5457</v>
      </c>
      <c r="M679" s="296" t="s">
        <v>179</v>
      </c>
      <c r="N679" s="296" t="s">
        <v>1529</v>
      </c>
      <c r="O679" s="296" t="s">
        <v>1529</v>
      </c>
      <c r="P679" s="296" t="s">
        <v>5454</v>
      </c>
      <c r="Q679" s="296" t="s">
        <v>183</v>
      </c>
      <c r="R679" s="296" t="s">
        <v>5458</v>
      </c>
      <c r="S679" s="296" t="s">
        <v>185</v>
      </c>
      <c r="T679" s="296" t="s">
        <v>185</v>
      </c>
      <c r="U679" s="296" t="s">
        <v>186</v>
      </c>
      <c r="V679" s="296" t="s">
        <v>187</v>
      </c>
      <c r="W679" s="296" t="s">
        <v>188</v>
      </c>
      <c r="X679" s="296" t="s">
        <v>256</v>
      </c>
      <c r="Y679" s="296" t="s">
        <v>183</v>
      </c>
      <c r="Z679" s="296" t="s">
        <v>183</v>
      </c>
      <c r="AA679" s="296" t="s">
        <v>183</v>
      </c>
      <c r="AB679" s="296" t="s">
        <v>183</v>
      </c>
      <c r="AC679" s="296" t="s">
        <v>5459</v>
      </c>
      <c r="AD679" s="296" t="s">
        <v>5460</v>
      </c>
      <c r="AE679" s="296" t="s">
        <v>192</v>
      </c>
      <c r="AF679" s="296" t="s">
        <v>193</v>
      </c>
      <c r="AG679" s="296">
        <v>0</v>
      </c>
      <c r="AH679" s="298">
        <v>45777</v>
      </c>
      <c r="AJ679" s="296" t="s">
        <v>194</v>
      </c>
      <c r="AK679" s="299">
        <f>COUNTIF($A$3:A$917,A679)</f>
        <v>1</v>
      </c>
    </row>
    <row r="680" spans="1:37" x14ac:dyDescent="0.25">
      <c r="A680" s="296">
        <v>503310316</v>
      </c>
      <c r="B680" s="296" t="s">
        <v>5461</v>
      </c>
      <c r="C680" s="296" t="s">
        <v>183</v>
      </c>
      <c r="D680" s="296" t="s">
        <v>183</v>
      </c>
      <c r="E680" s="296" t="s">
        <v>183</v>
      </c>
      <c r="F680" s="296" t="s">
        <v>5462</v>
      </c>
      <c r="G680" s="296" t="s">
        <v>183</v>
      </c>
      <c r="H680" s="296" t="s">
        <v>5463</v>
      </c>
      <c r="I680" s="296" t="s">
        <v>5211</v>
      </c>
      <c r="J680" s="296" t="s">
        <v>5464</v>
      </c>
      <c r="K680" s="296" t="s">
        <v>5465</v>
      </c>
      <c r="L680" s="296" t="s">
        <v>5466</v>
      </c>
      <c r="M680" s="296" t="s">
        <v>179</v>
      </c>
      <c r="N680" s="296" t="s">
        <v>5467</v>
      </c>
      <c r="O680" s="296" t="s">
        <v>5468</v>
      </c>
      <c r="P680" s="296" t="s">
        <v>5469</v>
      </c>
      <c r="Q680" s="296" t="s">
        <v>183</v>
      </c>
      <c r="R680" s="296" t="s">
        <v>5470</v>
      </c>
      <c r="S680" s="296" t="s">
        <v>185</v>
      </c>
      <c r="T680" s="296" t="s">
        <v>185</v>
      </c>
      <c r="U680" s="296" t="s">
        <v>186</v>
      </c>
      <c r="V680" s="296" t="s">
        <v>187</v>
      </c>
      <c r="W680" s="296" t="s">
        <v>188</v>
      </c>
      <c r="X680" s="296" t="s">
        <v>189</v>
      </c>
      <c r="Y680" s="296" t="s">
        <v>183</v>
      </c>
      <c r="Z680" s="296" t="s">
        <v>183</v>
      </c>
      <c r="AA680" s="296" t="s">
        <v>183</v>
      </c>
      <c r="AB680" s="296" t="s">
        <v>183</v>
      </c>
      <c r="AC680" s="296" t="s">
        <v>5471</v>
      </c>
      <c r="AD680" s="296" t="s">
        <v>5472</v>
      </c>
      <c r="AE680" s="296" t="s">
        <v>192</v>
      </c>
      <c r="AF680" s="296" t="s">
        <v>193</v>
      </c>
      <c r="AG680" s="296">
        <v>0</v>
      </c>
      <c r="AH680" s="298">
        <v>44964</v>
      </c>
      <c r="AJ680" s="296" t="s">
        <v>194</v>
      </c>
      <c r="AK680" s="299">
        <f>COUNTIF($A$3:A$917,A680)</f>
        <v>1</v>
      </c>
    </row>
    <row r="681" spans="1:37" x14ac:dyDescent="0.25">
      <c r="A681" s="296">
        <v>3101247326</v>
      </c>
      <c r="B681" s="296" t="s">
        <v>4121</v>
      </c>
      <c r="C681" s="296" t="s">
        <v>183</v>
      </c>
      <c r="D681" s="296" t="s">
        <v>183</v>
      </c>
      <c r="E681" s="296" t="s">
        <v>183</v>
      </c>
      <c r="F681" s="296" t="s">
        <v>4122</v>
      </c>
      <c r="G681" s="296" t="s">
        <v>4123</v>
      </c>
      <c r="H681" s="296" t="s">
        <v>4124</v>
      </c>
      <c r="I681" s="296" t="s">
        <v>5211</v>
      </c>
      <c r="J681" s="296" t="s">
        <v>5473</v>
      </c>
      <c r="K681" s="296" t="s">
        <v>4126</v>
      </c>
      <c r="L681" s="296" t="s">
        <v>4127</v>
      </c>
      <c r="M681" s="296" t="s">
        <v>503</v>
      </c>
      <c r="N681" s="296" t="s">
        <v>4128</v>
      </c>
      <c r="O681" s="296" t="s">
        <v>183</v>
      </c>
      <c r="P681" s="296" t="s">
        <v>4129</v>
      </c>
      <c r="Q681" s="296" t="s">
        <v>183</v>
      </c>
      <c r="R681" s="296" t="s">
        <v>4130</v>
      </c>
      <c r="S681" s="296" t="s">
        <v>185</v>
      </c>
      <c r="T681" s="296" t="s">
        <v>185</v>
      </c>
      <c r="U681" s="296" t="s">
        <v>186</v>
      </c>
      <c r="V681" s="296" t="s">
        <v>187</v>
      </c>
      <c r="W681" s="296" t="s">
        <v>188</v>
      </c>
      <c r="X681" s="296" t="s">
        <v>256</v>
      </c>
      <c r="Y681" s="296" t="s">
        <v>183</v>
      </c>
      <c r="Z681" s="296" t="s">
        <v>183</v>
      </c>
      <c r="AA681" s="296" t="s">
        <v>183</v>
      </c>
      <c r="AB681" s="296" t="s">
        <v>183</v>
      </c>
      <c r="AC681" s="296" t="s">
        <v>4131</v>
      </c>
      <c r="AD681" s="296" t="s">
        <v>5474</v>
      </c>
      <c r="AE681" s="296" t="s">
        <v>192</v>
      </c>
      <c r="AF681" s="296" t="s">
        <v>193</v>
      </c>
      <c r="AG681" s="296">
        <v>0</v>
      </c>
      <c r="AH681" s="298">
        <v>36923</v>
      </c>
      <c r="AJ681" s="296" t="s">
        <v>194</v>
      </c>
      <c r="AK681" s="299">
        <f>COUNTIF($A$3:A$917,A681)</f>
        <v>2</v>
      </c>
    </row>
    <row r="682" spans="1:37" x14ac:dyDescent="0.25">
      <c r="A682" s="296">
        <v>3101864696</v>
      </c>
      <c r="B682" s="296" t="s">
        <v>3601</v>
      </c>
      <c r="C682" s="296" t="s">
        <v>3602</v>
      </c>
      <c r="D682" s="296" t="s">
        <v>3603</v>
      </c>
      <c r="E682" s="296" t="s">
        <v>172</v>
      </c>
      <c r="F682" s="296" t="s">
        <v>3604</v>
      </c>
      <c r="G682" s="296" t="s">
        <v>183</v>
      </c>
      <c r="H682" s="296" t="s">
        <v>3605</v>
      </c>
      <c r="I682" s="296" t="s">
        <v>5211</v>
      </c>
      <c r="J682" s="296" t="s">
        <v>3606</v>
      </c>
      <c r="K682" s="296" t="s">
        <v>887</v>
      </c>
      <c r="L682" s="296" t="s">
        <v>888</v>
      </c>
      <c r="M682" s="296" t="s">
        <v>179</v>
      </c>
      <c r="N682" s="296" t="s">
        <v>604</v>
      </c>
      <c r="O682" s="296" t="s">
        <v>604</v>
      </c>
      <c r="P682" s="296" t="s">
        <v>889</v>
      </c>
      <c r="Q682" s="296" t="s">
        <v>183</v>
      </c>
      <c r="R682" s="296" t="s">
        <v>3607</v>
      </c>
      <c r="S682" s="296" t="s">
        <v>185</v>
      </c>
      <c r="T682" s="296" t="s">
        <v>185</v>
      </c>
      <c r="U682" s="296" t="s">
        <v>186</v>
      </c>
      <c r="V682" s="296" t="s">
        <v>187</v>
      </c>
      <c r="W682" s="296" t="s">
        <v>188</v>
      </c>
      <c r="X682" s="296" t="s">
        <v>189</v>
      </c>
      <c r="Y682" s="296" t="s">
        <v>183</v>
      </c>
      <c r="Z682" s="296" t="s">
        <v>183</v>
      </c>
      <c r="AA682" s="296" t="s">
        <v>183</v>
      </c>
      <c r="AB682" s="296" t="s">
        <v>183</v>
      </c>
      <c r="AC682" s="296" t="s">
        <v>3608</v>
      </c>
      <c r="AD682" s="296" t="s">
        <v>5475</v>
      </c>
      <c r="AE682" s="296" t="s">
        <v>192</v>
      </c>
      <c r="AF682" s="296" t="s">
        <v>193</v>
      </c>
      <c r="AG682" s="296">
        <v>0</v>
      </c>
      <c r="AH682" s="298">
        <v>44991</v>
      </c>
      <c r="AJ682" s="296" t="s">
        <v>194</v>
      </c>
      <c r="AK682" s="299">
        <f>COUNTIF($A$3:A$917,A682)</f>
        <v>2</v>
      </c>
    </row>
    <row r="683" spans="1:37" x14ac:dyDescent="0.25">
      <c r="A683" s="296">
        <v>502110764</v>
      </c>
      <c r="B683" s="296" t="s">
        <v>5476</v>
      </c>
      <c r="C683" s="296" t="s">
        <v>183</v>
      </c>
      <c r="D683" s="296" t="s">
        <v>183</v>
      </c>
      <c r="E683" s="296" t="s">
        <v>183</v>
      </c>
      <c r="F683" s="296" t="s">
        <v>5477</v>
      </c>
      <c r="G683" s="296" t="s">
        <v>5477</v>
      </c>
      <c r="H683" s="296" t="s">
        <v>5478</v>
      </c>
      <c r="I683" s="296" t="s">
        <v>5211</v>
      </c>
      <c r="J683" s="296" t="s">
        <v>5479</v>
      </c>
      <c r="K683" s="296" t="s">
        <v>5480</v>
      </c>
      <c r="L683" s="296" t="s">
        <v>5481</v>
      </c>
      <c r="M683" s="296" t="s">
        <v>179</v>
      </c>
      <c r="N683" s="296" t="s">
        <v>5152</v>
      </c>
      <c r="O683" s="296" t="s">
        <v>5482</v>
      </c>
      <c r="P683" s="296" t="s">
        <v>5483</v>
      </c>
      <c r="Q683" s="296" t="s">
        <v>183</v>
      </c>
      <c r="R683" s="296" t="s">
        <v>5484</v>
      </c>
      <c r="S683" s="296" t="s">
        <v>185</v>
      </c>
      <c r="T683" s="296" t="s">
        <v>185</v>
      </c>
      <c r="U683" s="296" t="s">
        <v>186</v>
      </c>
      <c r="V683" s="296" t="s">
        <v>187</v>
      </c>
      <c r="W683" s="296" t="s">
        <v>188</v>
      </c>
      <c r="X683" s="296" t="s">
        <v>573</v>
      </c>
      <c r="Y683" s="296" t="s">
        <v>183</v>
      </c>
      <c r="Z683" s="296" t="s">
        <v>183</v>
      </c>
      <c r="AA683" s="296" t="s">
        <v>183</v>
      </c>
      <c r="AB683" s="296" t="s">
        <v>183</v>
      </c>
      <c r="AC683" s="296" t="s">
        <v>5485</v>
      </c>
      <c r="AD683" s="296" t="s">
        <v>5486</v>
      </c>
      <c r="AE683" s="296" t="s">
        <v>192</v>
      </c>
      <c r="AF683" s="296" t="s">
        <v>193</v>
      </c>
      <c r="AG683" s="296">
        <v>0</v>
      </c>
      <c r="AH683" s="298">
        <v>44518</v>
      </c>
      <c r="AJ683" s="296" t="s">
        <v>194</v>
      </c>
      <c r="AK683" s="299">
        <f>COUNTIF($A$3:A$917,A683)</f>
        <v>1</v>
      </c>
    </row>
    <row r="684" spans="1:37" x14ac:dyDescent="0.25">
      <c r="A684" s="296">
        <v>801350545</v>
      </c>
      <c r="B684" s="296" t="s">
        <v>5487</v>
      </c>
      <c r="C684" s="296" t="s">
        <v>183</v>
      </c>
      <c r="D684" s="296" t="s">
        <v>183</v>
      </c>
      <c r="E684" s="296" t="s">
        <v>183</v>
      </c>
      <c r="F684" s="296" t="s">
        <v>5488</v>
      </c>
      <c r="G684" s="296" t="s">
        <v>183</v>
      </c>
      <c r="H684" s="296" t="s">
        <v>5489</v>
      </c>
      <c r="I684" s="296" t="s">
        <v>5211</v>
      </c>
      <c r="J684" s="296" t="s">
        <v>5490</v>
      </c>
      <c r="K684" s="296" t="s">
        <v>2072</v>
      </c>
      <c r="L684" s="296" t="s">
        <v>2073</v>
      </c>
      <c r="M684" s="296" t="s">
        <v>179</v>
      </c>
      <c r="N684" s="296" t="s">
        <v>2074</v>
      </c>
      <c r="O684" s="296" t="s">
        <v>2074</v>
      </c>
      <c r="P684" s="296" t="s">
        <v>2075</v>
      </c>
      <c r="Q684" s="296" t="s">
        <v>183</v>
      </c>
      <c r="R684" s="296" t="s">
        <v>2076</v>
      </c>
      <c r="S684" s="296" t="s">
        <v>185</v>
      </c>
      <c r="T684" s="296" t="s">
        <v>185</v>
      </c>
      <c r="U684" s="296" t="s">
        <v>186</v>
      </c>
      <c r="V684" s="296" t="s">
        <v>187</v>
      </c>
      <c r="W684" s="296" t="s">
        <v>188</v>
      </c>
      <c r="X684" s="296" t="s">
        <v>189</v>
      </c>
      <c r="Y684" s="296" t="s">
        <v>183</v>
      </c>
      <c r="Z684" s="296" t="s">
        <v>183</v>
      </c>
      <c r="AA684" s="296" t="s">
        <v>183</v>
      </c>
      <c r="AB684" s="296" t="s">
        <v>183</v>
      </c>
      <c r="AC684" s="296" t="s">
        <v>2077</v>
      </c>
      <c r="AD684" s="296" t="s">
        <v>5491</v>
      </c>
      <c r="AE684" s="296" t="s">
        <v>192</v>
      </c>
      <c r="AF684" s="296" t="s">
        <v>193</v>
      </c>
      <c r="AG684" s="296">
        <v>0</v>
      </c>
      <c r="AH684" s="298">
        <v>45462</v>
      </c>
      <c r="AJ684" s="296" t="s">
        <v>194</v>
      </c>
      <c r="AK684" s="299">
        <f>COUNTIF($A$3:A$917,A684)</f>
        <v>1</v>
      </c>
    </row>
    <row r="685" spans="1:37" x14ac:dyDescent="0.25">
      <c r="A685" s="296">
        <v>502860975</v>
      </c>
      <c r="B685" s="296" t="s">
        <v>5492</v>
      </c>
      <c r="C685" s="296" t="s">
        <v>183</v>
      </c>
      <c r="D685" s="296" t="s">
        <v>183</v>
      </c>
      <c r="E685" s="296" t="s">
        <v>183</v>
      </c>
      <c r="F685" s="296" t="s">
        <v>5493</v>
      </c>
      <c r="G685" s="296" t="s">
        <v>183</v>
      </c>
      <c r="H685" s="296" t="s">
        <v>5494</v>
      </c>
      <c r="I685" s="296" t="s">
        <v>5211</v>
      </c>
      <c r="J685" s="296" t="s">
        <v>5495</v>
      </c>
      <c r="K685" s="296" t="s">
        <v>5364</v>
      </c>
      <c r="L685" s="296" t="s">
        <v>5365</v>
      </c>
      <c r="M685" s="296" t="s">
        <v>179</v>
      </c>
      <c r="N685" s="296" t="s">
        <v>5366</v>
      </c>
      <c r="O685" s="296" t="s">
        <v>5366</v>
      </c>
      <c r="P685" s="296" t="s">
        <v>5367</v>
      </c>
      <c r="Q685" s="296" t="s">
        <v>183</v>
      </c>
      <c r="R685" s="296" t="s">
        <v>5368</v>
      </c>
      <c r="S685" s="296" t="s">
        <v>185</v>
      </c>
      <c r="T685" s="296" t="s">
        <v>185</v>
      </c>
      <c r="U685" s="296" t="s">
        <v>186</v>
      </c>
      <c r="V685" s="296" t="s">
        <v>187</v>
      </c>
      <c r="W685" s="296" t="s">
        <v>188</v>
      </c>
      <c r="X685" s="296" t="s">
        <v>189</v>
      </c>
      <c r="Y685" s="296" t="s">
        <v>183</v>
      </c>
      <c r="Z685" s="296" t="s">
        <v>183</v>
      </c>
      <c r="AA685" s="296" t="s">
        <v>183</v>
      </c>
      <c r="AB685" s="296" t="s">
        <v>183</v>
      </c>
      <c r="AC685" s="296" t="s">
        <v>5369</v>
      </c>
      <c r="AD685" s="296" t="s">
        <v>5496</v>
      </c>
      <c r="AE685" s="296" t="s">
        <v>192</v>
      </c>
      <c r="AF685" s="296" t="s">
        <v>193</v>
      </c>
      <c r="AG685" s="296">
        <v>0</v>
      </c>
      <c r="AH685" s="298">
        <v>45939</v>
      </c>
      <c r="AJ685" s="296" t="s">
        <v>194</v>
      </c>
      <c r="AK685" s="299">
        <f>COUNTIF($A$3:A$917,A685)</f>
        <v>1</v>
      </c>
    </row>
    <row r="686" spans="1:37" x14ac:dyDescent="0.25">
      <c r="A686" s="296">
        <v>204930634</v>
      </c>
      <c r="B686" s="296" t="s">
        <v>5497</v>
      </c>
      <c r="C686" s="296" t="s">
        <v>183</v>
      </c>
      <c r="D686" s="296" t="s">
        <v>183</v>
      </c>
      <c r="E686" s="296" t="s">
        <v>183</v>
      </c>
      <c r="F686" s="296" t="s">
        <v>5498</v>
      </c>
      <c r="G686" s="296" t="s">
        <v>5498</v>
      </c>
      <c r="H686" s="296" t="s">
        <v>5499</v>
      </c>
      <c r="I686" s="296" t="s">
        <v>5211</v>
      </c>
      <c r="J686" s="296" t="s">
        <v>5500</v>
      </c>
      <c r="K686" s="296" t="s">
        <v>5501</v>
      </c>
      <c r="L686" s="296" t="s">
        <v>5502</v>
      </c>
      <c r="M686" s="296" t="s">
        <v>179</v>
      </c>
      <c r="N686" s="296" t="s">
        <v>5503</v>
      </c>
      <c r="O686" s="296" t="s">
        <v>183</v>
      </c>
      <c r="P686" s="296" t="s">
        <v>5504</v>
      </c>
      <c r="Q686" s="296" t="s">
        <v>183</v>
      </c>
      <c r="R686" s="296" t="s">
        <v>5505</v>
      </c>
      <c r="S686" s="296" t="s">
        <v>185</v>
      </c>
      <c r="T686" s="296" t="s">
        <v>185</v>
      </c>
      <c r="U686" s="296" t="s">
        <v>186</v>
      </c>
      <c r="V686" s="296" t="s">
        <v>187</v>
      </c>
      <c r="W686" s="296" t="s">
        <v>188</v>
      </c>
      <c r="X686" s="296" t="s">
        <v>256</v>
      </c>
      <c r="Y686" s="296" t="s">
        <v>183</v>
      </c>
      <c r="Z686" s="296" t="s">
        <v>183</v>
      </c>
      <c r="AA686" s="296" t="s">
        <v>183</v>
      </c>
      <c r="AB686" s="296" t="s">
        <v>183</v>
      </c>
      <c r="AC686" s="296" t="s">
        <v>5506</v>
      </c>
      <c r="AD686" s="296" t="s">
        <v>5507</v>
      </c>
      <c r="AE686" s="296" t="s">
        <v>192</v>
      </c>
      <c r="AF686" s="296" t="s">
        <v>193</v>
      </c>
      <c r="AG686" s="296">
        <v>0</v>
      </c>
      <c r="AH686" s="298">
        <v>45097</v>
      </c>
      <c r="AJ686" s="296" t="s">
        <v>194</v>
      </c>
      <c r="AK686" s="299">
        <f>COUNTIF($A$3:A$917,A686)</f>
        <v>2</v>
      </c>
    </row>
    <row r="687" spans="1:37" x14ac:dyDescent="0.25">
      <c r="A687" s="296">
        <v>206720726</v>
      </c>
      <c r="B687" s="296" t="s">
        <v>5508</v>
      </c>
      <c r="C687" s="296" t="s">
        <v>183</v>
      </c>
      <c r="D687" s="296" t="s">
        <v>183</v>
      </c>
      <c r="E687" s="296" t="s">
        <v>183</v>
      </c>
      <c r="F687" s="296" t="s">
        <v>5509</v>
      </c>
      <c r="G687" s="296" t="s">
        <v>5509</v>
      </c>
      <c r="H687" s="296" t="s">
        <v>5510</v>
      </c>
      <c r="I687" s="296" t="s">
        <v>5211</v>
      </c>
      <c r="J687" s="296" t="s">
        <v>5511</v>
      </c>
      <c r="K687" s="296" t="s">
        <v>177</v>
      </c>
      <c r="L687" s="296" t="s">
        <v>178</v>
      </c>
      <c r="M687" s="296" t="s">
        <v>179</v>
      </c>
      <c r="N687" s="296" t="s">
        <v>180</v>
      </c>
      <c r="O687" s="296" t="s">
        <v>181</v>
      </c>
      <c r="P687" s="296" t="s">
        <v>182</v>
      </c>
      <c r="Q687" s="296" t="s">
        <v>183</v>
      </c>
      <c r="R687" s="296" t="s">
        <v>5512</v>
      </c>
      <c r="S687" s="296" t="s">
        <v>185</v>
      </c>
      <c r="T687" s="296" t="s">
        <v>185</v>
      </c>
      <c r="U687" s="296" t="s">
        <v>186</v>
      </c>
      <c r="V687" s="296" t="s">
        <v>187</v>
      </c>
      <c r="W687" s="296" t="s">
        <v>188</v>
      </c>
      <c r="X687" s="296" t="s">
        <v>189</v>
      </c>
      <c r="Y687" s="296" t="s">
        <v>183</v>
      </c>
      <c r="Z687" s="296" t="s">
        <v>183</v>
      </c>
      <c r="AA687" s="296" t="s">
        <v>183</v>
      </c>
      <c r="AB687" s="296" t="s">
        <v>183</v>
      </c>
      <c r="AC687" s="296" t="s">
        <v>1398</v>
      </c>
      <c r="AD687" s="296" t="s">
        <v>5513</v>
      </c>
      <c r="AE687" s="296" t="s">
        <v>192</v>
      </c>
      <c r="AF687" s="296" t="s">
        <v>193</v>
      </c>
      <c r="AG687" s="296">
        <v>0</v>
      </c>
      <c r="AH687" s="298">
        <v>44651</v>
      </c>
      <c r="AJ687" s="296" t="s">
        <v>194</v>
      </c>
      <c r="AK687" s="299">
        <f>COUNTIF($A$3:A$917,A687)</f>
        <v>1</v>
      </c>
    </row>
    <row r="688" spans="1:37" x14ac:dyDescent="0.25">
      <c r="A688" s="296">
        <v>206670954</v>
      </c>
      <c r="B688" s="296" t="s">
        <v>5514</v>
      </c>
      <c r="C688" s="296" t="s">
        <v>183</v>
      </c>
      <c r="D688" s="296" t="s">
        <v>183</v>
      </c>
      <c r="E688" s="296" t="s">
        <v>183</v>
      </c>
      <c r="F688" s="296" t="s">
        <v>5515</v>
      </c>
      <c r="G688" s="296" t="s">
        <v>183</v>
      </c>
      <c r="H688" s="296" t="s">
        <v>5516</v>
      </c>
      <c r="I688" s="296" t="s">
        <v>5211</v>
      </c>
      <c r="J688" s="296" t="s">
        <v>5517</v>
      </c>
      <c r="K688" s="296" t="s">
        <v>5518</v>
      </c>
      <c r="L688" s="296" t="s">
        <v>2406</v>
      </c>
      <c r="M688" s="296" t="s">
        <v>179</v>
      </c>
      <c r="N688" s="296" t="s">
        <v>2407</v>
      </c>
      <c r="O688" s="296" t="s">
        <v>2407</v>
      </c>
      <c r="P688" s="296" t="s">
        <v>2408</v>
      </c>
      <c r="Q688" s="296" t="s">
        <v>183</v>
      </c>
      <c r="R688" s="296" t="s">
        <v>5519</v>
      </c>
      <c r="S688" s="296" t="s">
        <v>185</v>
      </c>
      <c r="T688" s="296" t="s">
        <v>185</v>
      </c>
      <c r="U688" s="296" t="s">
        <v>186</v>
      </c>
      <c r="V688" s="296" t="s">
        <v>187</v>
      </c>
      <c r="W688" s="296" t="s">
        <v>188</v>
      </c>
      <c r="X688" s="296" t="s">
        <v>189</v>
      </c>
      <c r="Y688" s="296" t="s">
        <v>183</v>
      </c>
      <c r="Z688" s="296" t="s">
        <v>183</v>
      </c>
      <c r="AA688" s="296" t="s">
        <v>183</v>
      </c>
      <c r="AB688" s="296" t="s">
        <v>183</v>
      </c>
      <c r="AC688" s="296" t="s">
        <v>5520</v>
      </c>
      <c r="AD688" s="296" t="s">
        <v>5521</v>
      </c>
      <c r="AE688" s="296" t="s">
        <v>192</v>
      </c>
      <c r="AF688" s="296" t="s">
        <v>193</v>
      </c>
      <c r="AG688" s="296">
        <v>0</v>
      </c>
      <c r="AH688" s="298">
        <v>45705</v>
      </c>
      <c r="AJ688" s="296" t="s">
        <v>194</v>
      </c>
      <c r="AK688" s="299">
        <f>COUNTIF($A$3:A$917,A688)</f>
        <v>1</v>
      </c>
    </row>
    <row r="689" spans="1:37" x14ac:dyDescent="0.25">
      <c r="A689" s="296">
        <v>115600338803</v>
      </c>
      <c r="B689" s="296" t="s">
        <v>5522</v>
      </c>
      <c r="C689" s="296" t="s">
        <v>183</v>
      </c>
      <c r="D689" s="296" t="s">
        <v>183</v>
      </c>
      <c r="E689" s="296" t="s">
        <v>183</v>
      </c>
      <c r="F689" s="296" t="s">
        <v>5523</v>
      </c>
      <c r="G689" s="296" t="s">
        <v>183</v>
      </c>
      <c r="H689" s="296" t="s">
        <v>5524</v>
      </c>
      <c r="I689" s="296" t="s">
        <v>5211</v>
      </c>
      <c r="J689" s="296" t="s">
        <v>5525</v>
      </c>
      <c r="K689" s="296" t="s">
        <v>1912</v>
      </c>
      <c r="L689" s="296" t="s">
        <v>1913</v>
      </c>
      <c r="M689" s="296" t="s">
        <v>179</v>
      </c>
      <c r="N689" s="296" t="s">
        <v>1914</v>
      </c>
      <c r="O689" s="296" t="s">
        <v>1914</v>
      </c>
      <c r="P689" s="296" t="s">
        <v>1915</v>
      </c>
      <c r="Q689" s="296" t="s">
        <v>183</v>
      </c>
      <c r="R689" s="296" t="s">
        <v>1916</v>
      </c>
      <c r="S689" s="296" t="s">
        <v>185</v>
      </c>
      <c r="T689" s="296" t="s">
        <v>185</v>
      </c>
      <c r="U689" s="296" t="s">
        <v>186</v>
      </c>
      <c r="V689" s="296" t="s">
        <v>187</v>
      </c>
      <c r="W689" s="296" t="s">
        <v>188</v>
      </c>
      <c r="X689" s="296" t="s">
        <v>189</v>
      </c>
      <c r="Y689" s="296" t="s">
        <v>183</v>
      </c>
      <c r="Z689" s="296" t="s">
        <v>183</v>
      </c>
      <c r="AA689" s="296" t="s">
        <v>183</v>
      </c>
      <c r="AB689" s="296" t="s">
        <v>183</v>
      </c>
      <c r="AC689" s="296" t="s">
        <v>1917</v>
      </c>
      <c r="AD689" s="296" t="s">
        <v>5526</v>
      </c>
      <c r="AE689" s="296" t="s">
        <v>192</v>
      </c>
      <c r="AF689" s="296" t="s">
        <v>193</v>
      </c>
      <c r="AG689" s="296">
        <v>0</v>
      </c>
      <c r="AH689" s="298">
        <v>45755</v>
      </c>
      <c r="AJ689" s="296" t="s">
        <v>194</v>
      </c>
      <c r="AK689" s="299">
        <f>COUNTIF($A$3:A$917,A689)</f>
        <v>1</v>
      </c>
    </row>
    <row r="690" spans="1:37" x14ac:dyDescent="0.25">
      <c r="A690" s="296">
        <v>155800045026</v>
      </c>
      <c r="B690" s="296" t="s">
        <v>5527</v>
      </c>
      <c r="C690" s="296" t="s">
        <v>183</v>
      </c>
      <c r="D690" s="296" t="s">
        <v>183</v>
      </c>
      <c r="E690" s="296" t="s">
        <v>183</v>
      </c>
      <c r="F690" s="296" t="s">
        <v>5528</v>
      </c>
      <c r="G690" s="296" t="s">
        <v>5528</v>
      </c>
      <c r="H690" s="296" t="s">
        <v>5529</v>
      </c>
      <c r="I690" s="296" t="s">
        <v>5211</v>
      </c>
      <c r="J690" s="296" t="s">
        <v>5530</v>
      </c>
      <c r="K690" s="296" t="s">
        <v>5531</v>
      </c>
      <c r="L690" s="296" t="s">
        <v>5527</v>
      </c>
      <c r="M690" s="296" t="s">
        <v>503</v>
      </c>
      <c r="N690" s="296" t="s">
        <v>5528</v>
      </c>
      <c r="O690" s="296" t="s">
        <v>5528</v>
      </c>
      <c r="P690" s="296" t="s">
        <v>5529</v>
      </c>
      <c r="Q690" s="296" t="s">
        <v>183</v>
      </c>
      <c r="R690" s="296" t="s">
        <v>5532</v>
      </c>
      <c r="S690" s="296" t="s">
        <v>185</v>
      </c>
      <c r="T690" s="296" t="s">
        <v>185</v>
      </c>
      <c r="U690" s="296" t="s">
        <v>186</v>
      </c>
      <c r="V690" s="296" t="s">
        <v>187</v>
      </c>
      <c r="W690" s="296" t="s">
        <v>188</v>
      </c>
      <c r="X690" s="296" t="s">
        <v>189</v>
      </c>
      <c r="Y690" s="296" t="s">
        <v>183</v>
      </c>
      <c r="Z690" s="296" t="s">
        <v>183</v>
      </c>
      <c r="AA690" s="296" t="s">
        <v>183</v>
      </c>
      <c r="AB690" s="296" t="s">
        <v>183</v>
      </c>
      <c r="AC690" s="296" t="s">
        <v>5533</v>
      </c>
      <c r="AD690" s="296" t="s">
        <v>5534</v>
      </c>
      <c r="AE690" s="296" t="s">
        <v>192</v>
      </c>
      <c r="AF690" s="296" t="s">
        <v>193</v>
      </c>
      <c r="AG690" s="296">
        <v>0</v>
      </c>
      <c r="AH690" s="298">
        <v>41711</v>
      </c>
      <c r="AJ690" s="296" t="s">
        <v>194</v>
      </c>
      <c r="AK690" s="299">
        <f>COUNTIF($A$3:A$917,A690)</f>
        <v>1</v>
      </c>
    </row>
    <row r="691" spans="1:37" x14ac:dyDescent="0.25">
      <c r="A691" s="296">
        <v>204140967</v>
      </c>
      <c r="B691" s="296" t="s">
        <v>5535</v>
      </c>
      <c r="C691" s="296" t="s">
        <v>183</v>
      </c>
      <c r="D691" s="296" t="s">
        <v>183</v>
      </c>
      <c r="E691" s="296" t="s">
        <v>183</v>
      </c>
      <c r="F691" s="296" t="s">
        <v>5536</v>
      </c>
      <c r="G691" s="296" t="s">
        <v>183</v>
      </c>
      <c r="H691" s="296" t="s">
        <v>5537</v>
      </c>
      <c r="I691" s="296" t="s">
        <v>5211</v>
      </c>
      <c r="J691" s="296" t="s">
        <v>5538</v>
      </c>
      <c r="K691" s="296" t="s">
        <v>3393</v>
      </c>
      <c r="L691" s="296" t="s">
        <v>3394</v>
      </c>
      <c r="M691" s="296" t="s">
        <v>179</v>
      </c>
      <c r="N691" s="296" t="s">
        <v>1615</v>
      </c>
      <c r="O691" s="296" t="s">
        <v>3395</v>
      </c>
      <c r="P691" s="296" t="s">
        <v>3396</v>
      </c>
      <c r="Q691" s="296" t="s">
        <v>183</v>
      </c>
      <c r="R691" s="296" t="s">
        <v>5539</v>
      </c>
      <c r="S691" s="296" t="s">
        <v>185</v>
      </c>
      <c r="T691" s="296" t="s">
        <v>185</v>
      </c>
      <c r="U691" s="296" t="s">
        <v>186</v>
      </c>
      <c r="V691" s="296" t="s">
        <v>187</v>
      </c>
      <c r="W691" s="296" t="s">
        <v>188</v>
      </c>
      <c r="X691" s="296" t="s">
        <v>256</v>
      </c>
      <c r="Y691" s="296" t="s">
        <v>183</v>
      </c>
      <c r="Z691" s="296" t="s">
        <v>183</v>
      </c>
      <c r="AA691" s="296" t="s">
        <v>183</v>
      </c>
      <c r="AB691" s="296" t="s">
        <v>183</v>
      </c>
      <c r="AC691" s="296" t="s">
        <v>5540</v>
      </c>
      <c r="AD691" s="296" t="s">
        <v>5541</v>
      </c>
      <c r="AE691" s="296" t="s">
        <v>192</v>
      </c>
      <c r="AF691" s="296" t="s">
        <v>193</v>
      </c>
      <c r="AG691" s="296">
        <v>0</v>
      </c>
      <c r="AH691" s="298">
        <v>44321</v>
      </c>
      <c r="AJ691" s="296" t="s">
        <v>194</v>
      </c>
      <c r="AK691" s="299">
        <f>COUNTIF($A$3:A$917,A691)</f>
        <v>1</v>
      </c>
    </row>
    <row r="692" spans="1:37" x14ac:dyDescent="0.25">
      <c r="A692" s="296">
        <v>504680043</v>
      </c>
      <c r="B692" s="296" t="s">
        <v>5542</v>
      </c>
      <c r="C692" s="296" t="s">
        <v>183</v>
      </c>
      <c r="D692" s="296" t="s">
        <v>183</v>
      </c>
      <c r="E692" s="296" t="s">
        <v>183</v>
      </c>
      <c r="F692" s="296" t="s">
        <v>5543</v>
      </c>
      <c r="G692" s="296" t="s">
        <v>5544</v>
      </c>
      <c r="H692" s="296" t="s">
        <v>5545</v>
      </c>
      <c r="I692" s="296" t="s">
        <v>5211</v>
      </c>
      <c r="J692" s="296" t="s">
        <v>5546</v>
      </c>
      <c r="K692" s="296" t="s">
        <v>5547</v>
      </c>
      <c r="L692" s="296" t="s">
        <v>5548</v>
      </c>
      <c r="M692" s="296" t="s">
        <v>179</v>
      </c>
      <c r="N692" s="296" t="s">
        <v>5549</v>
      </c>
      <c r="O692" s="296" t="s">
        <v>183</v>
      </c>
      <c r="P692" s="296" t="s">
        <v>5550</v>
      </c>
      <c r="Q692" s="296" t="s">
        <v>183</v>
      </c>
      <c r="R692" s="296" t="s">
        <v>5551</v>
      </c>
      <c r="S692" s="296" t="s">
        <v>185</v>
      </c>
      <c r="T692" s="296" t="s">
        <v>185</v>
      </c>
      <c r="U692" s="296" t="s">
        <v>186</v>
      </c>
      <c r="V692" s="296" t="s">
        <v>187</v>
      </c>
      <c r="W692" s="296" t="s">
        <v>188</v>
      </c>
      <c r="X692" s="296" t="s">
        <v>189</v>
      </c>
      <c r="Y692" s="296" t="s">
        <v>183</v>
      </c>
      <c r="Z692" s="296" t="s">
        <v>183</v>
      </c>
      <c r="AA692" s="296" t="s">
        <v>183</v>
      </c>
      <c r="AB692" s="296" t="s">
        <v>183</v>
      </c>
      <c r="AC692" s="296" t="s">
        <v>5552</v>
      </c>
      <c r="AD692" s="296" t="s">
        <v>5553</v>
      </c>
      <c r="AE692" s="296" t="s">
        <v>192</v>
      </c>
      <c r="AF692" s="296" t="s">
        <v>193</v>
      </c>
      <c r="AG692" s="296">
        <v>0</v>
      </c>
      <c r="AH692" s="298">
        <v>45734</v>
      </c>
      <c r="AJ692" s="296" t="s">
        <v>194</v>
      </c>
      <c r="AK692" s="299">
        <f>COUNTIF($A$3:A$917,A692)</f>
        <v>1</v>
      </c>
    </row>
    <row r="693" spans="1:37" x14ac:dyDescent="0.25">
      <c r="A693" s="296">
        <v>108930498</v>
      </c>
      <c r="B693" s="296" t="s">
        <v>5554</v>
      </c>
      <c r="C693" s="296" t="s">
        <v>183</v>
      </c>
      <c r="D693" s="296" t="s">
        <v>183</v>
      </c>
      <c r="E693" s="296" t="s">
        <v>183</v>
      </c>
      <c r="F693" s="296" t="s">
        <v>5555</v>
      </c>
      <c r="G693" s="296" t="s">
        <v>5555</v>
      </c>
      <c r="H693" s="296" t="s">
        <v>5556</v>
      </c>
      <c r="I693" s="296" t="s">
        <v>5211</v>
      </c>
      <c r="J693" s="296" t="s">
        <v>5557</v>
      </c>
      <c r="K693" s="296" t="s">
        <v>355</v>
      </c>
      <c r="L693" s="296" t="s">
        <v>356</v>
      </c>
      <c r="M693" s="296" t="s">
        <v>179</v>
      </c>
      <c r="N693" s="296" t="s">
        <v>278</v>
      </c>
      <c r="O693" s="296" t="s">
        <v>278</v>
      </c>
      <c r="P693" s="296" t="s">
        <v>183</v>
      </c>
      <c r="Q693" s="296" t="s">
        <v>183</v>
      </c>
      <c r="R693" s="296" t="s">
        <v>357</v>
      </c>
      <c r="S693" s="296" t="s">
        <v>185</v>
      </c>
      <c r="T693" s="296" t="s">
        <v>185</v>
      </c>
      <c r="U693" s="296" t="s">
        <v>186</v>
      </c>
      <c r="V693" s="296" t="s">
        <v>187</v>
      </c>
      <c r="W693" s="296" t="s">
        <v>188</v>
      </c>
      <c r="X693" s="296" t="s">
        <v>189</v>
      </c>
      <c r="Y693" s="296" t="s">
        <v>183</v>
      </c>
      <c r="Z693" s="296" t="s">
        <v>183</v>
      </c>
      <c r="AA693" s="296" t="s">
        <v>183</v>
      </c>
      <c r="AB693" s="296" t="s">
        <v>183</v>
      </c>
      <c r="AC693" s="296" t="s">
        <v>358</v>
      </c>
      <c r="AD693" s="296" t="s">
        <v>5558</v>
      </c>
      <c r="AE693" s="296" t="s">
        <v>192</v>
      </c>
      <c r="AF693" s="296" t="s">
        <v>193</v>
      </c>
      <c r="AG693" s="296">
        <v>0</v>
      </c>
      <c r="AH693" s="298">
        <v>43885</v>
      </c>
      <c r="AJ693" s="296" t="s">
        <v>194</v>
      </c>
      <c r="AK693" s="299">
        <f>COUNTIF($A$3:A$917,A693)</f>
        <v>1</v>
      </c>
    </row>
    <row r="694" spans="1:37" x14ac:dyDescent="0.25">
      <c r="A694" s="296">
        <v>603250893</v>
      </c>
      <c r="B694" s="296" t="s">
        <v>5559</v>
      </c>
      <c r="C694" s="296" t="s">
        <v>183</v>
      </c>
      <c r="D694" s="296" t="s">
        <v>183</v>
      </c>
      <c r="E694" s="296" t="s">
        <v>183</v>
      </c>
      <c r="F694" s="296" t="s">
        <v>5560</v>
      </c>
      <c r="G694" s="296" t="s">
        <v>183</v>
      </c>
      <c r="H694" s="296" t="s">
        <v>5561</v>
      </c>
      <c r="I694" s="296" t="s">
        <v>5211</v>
      </c>
      <c r="J694" s="296" t="s">
        <v>5562</v>
      </c>
      <c r="K694" s="296" t="s">
        <v>4152</v>
      </c>
      <c r="L694" s="296" t="s">
        <v>4153</v>
      </c>
      <c r="M694" s="296" t="s">
        <v>179</v>
      </c>
      <c r="N694" s="296" t="s">
        <v>4154</v>
      </c>
      <c r="O694" s="296" t="s">
        <v>183</v>
      </c>
      <c r="P694" s="296" t="s">
        <v>4155</v>
      </c>
      <c r="Q694" s="296" t="s">
        <v>183</v>
      </c>
      <c r="R694" s="296" t="s">
        <v>4156</v>
      </c>
      <c r="S694" s="296" t="s">
        <v>185</v>
      </c>
      <c r="T694" s="296" t="s">
        <v>185</v>
      </c>
      <c r="U694" s="296" t="s">
        <v>186</v>
      </c>
      <c r="V694" s="296" t="s">
        <v>187</v>
      </c>
      <c r="W694" s="296" t="s">
        <v>188</v>
      </c>
      <c r="X694" s="296" t="s">
        <v>189</v>
      </c>
      <c r="Y694" s="296" t="s">
        <v>183</v>
      </c>
      <c r="Z694" s="296" t="s">
        <v>183</v>
      </c>
      <c r="AA694" s="296" t="s">
        <v>183</v>
      </c>
      <c r="AB694" s="296" t="s">
        <v>183</v>
      </c>
      <c r="AC694" s="296" t="s">
        <v>4157</v>
      </c>
      <c r="AD694" s="296" t="s">
        <v>5563</v>
      </c>
      <c r="AE694" s="296" t="s">
        <v>192</v>
      </c>
      <c r="AF694" s="296" t="s">
        <v>193</v>
      </c>
      <c r="AG694" s="296">
        <v>0</v>
      </c>
      <c r="AH694" s="298">
        <v>45860</v>
      </c>
      <c r="AJ694" s="296" t="s">
        <v>194</v>
      </c>
      <c r="AK694" s="299">
        <f>COUNTIF($A$3:A$917,A694)</f>
        <v>1</v>
      </c>
    </row>
    <row r="695" spans="1:37" x14ac:dyDescent="0.25">
      <c r="A695" s="296">
        <v>3008071089</v>
      </c>
      <c r="B695" s="296" t="s">
        <v>496</v>
      </c>
      <c r="C695" s="296" t="s">
        <v>183</v>
      </c>
      <c r="D695" s="296" t="s">
        <v>183</v>
      </c>
      <c r="E695" s="296" t="s">
        <v>183</v>
      </c>
      <c r="F695" s="296" t="s">
        <v>497</v>
      </c>
      <c r="G695" s="296" t="s">
        <v>498</v>
      </c>
      <c r="H695" s="296" t="s">
        <v>499</v>
      </c>
      <c r="I695" s="296" t="s">
        <v>5564</v>
      </c>
      <c r="J695" s="296" t="s">
        <v>500</v>
      </c>
      <c r="K695" s="296" t="s">
        <v>501</v>
      </c>
      <c r="L695" s="296" t="s">
        <v>502</v>
      </c>
      <c r="M695" s="296" t="s">
        <v>503</v>
      </c>
      <c r="N695" s="296" t="s">
        <v>504</v>
      </c>
      <c r="O695" s="296" t="s">
        <v>505</v>
      </c>
      <c r="P695" s="296" t="s">
        <v>183</v>
      </c>
      <c r="Q695" s="296" t="s">
        <v>183</v>
      </c>
      <c r="R695" s="296" t="s">
        <v>506</v>
      </c>
      <c r="S695" s="296" t="s">
        <v>185</v>
      </c>
      <c r="T695" s="296" t="s">
        <v>185</v>
      </c>
      <c r="U695" s="296" t="s">
        <v>186</v>
      </c>
      <c r="V695" s="296" t="s">
        <v>187</v>
      </c>
      <c r="W695" s="296" t="s">
        <v>188</v>
      </c>
      <c r="X695" s="296" t="s">
        <v>404</v>
      </c>
      <c r="Y695" s="296" t="s">
        <v>183</v>
      </c>
      <c r="Z695" s="296" t="s">
        <v>183</v>
      </c>
      <c r="AA695" s="296" t="s">
        <v>183</v>
      </c>
      <c r="AB695" s="296" t="s">
        <v>183</v>
      </c>
      <c r="AC695" s="296" t="s">
        <v>507</v>
      </c>
      <c r="AD695" s="296" t="s">
        <v>5565</v>
      </c>
      <c r="AE695" s="296" t="s">
        <v>192</v>
      </c>
      <c r="AF695" s="296" t="s">
        <v>193</v>
      </c>
      <c r="AG695" s="296">
        <v>43183</v>
      </c>
      <c r="AH695" s="298">
        <v>38464</v>
      </c>
      <c r="AJ695" s="296" t="s">
        <v>194</v>
      </c>
      <c r="AK695" s="299">
        <f>COUNTIF($A$3:A$917,A695)</f>
        <v>3</v>
      </c>
    </row>
    <row r="696" spans="1:37" x14ac:dyDescent="0.25">
      <c r="A696" s="296">
        <v>801430251</v>
      </c>
      <c r="B696" s="296" t="s">
        <v>5566</v>
      </c>
      <c r="C696" s="296" t="s">
        <v>183</v>
      </c>
      <c r="D696" s="296" t="s">
        <v>183</v>
      </c>
      <c r="E696" s="296" t="s">
        <v>183</v>
      </c>
      <c r="F696" s="296" t="s">
        <v>5567</v>
      </c>
      <c r="G696" s="296" t="s">
        <v>5567</v>
      </c>
      <c r="H696" s="296" t="s">
        <v>5568</v>
      </c>
      <c r="I696" s="296" t="s">
        <v>5564</v>
      </c>
      <c r="J696" s="296" t="s">
        <v>5569</v>
      </c>
      <c r="K696" s="296" t="s">
        <v>5570</v>
      </c>
      <c r="L696" s="296" t="s">
        <v>5571</v>
      </c>
      <c r="M696" s="296" t="s">
        <v>179</v>
      </c>
      <c r="N696" s="296" t="s">
        <v>5572</v>
      </c>
      <c r="O696" s="296" t="s">
        <v>5572</v>
      </c>
      <c r="P696" s="296" t="s">
        <v>5573</v>
      </c>
      <c r="Q696" s="296" t="s">
        <v>183</v>
      </c>
      <c r="R696" s="296" t="s">
        <v>5574</v>
      </c>
      <c r="S696" s="296" t="s">
        <v>185</v>
      </c>
      <c r="T696" s="296" t="s">
        <v>185</v>
      </c>
      <c r="U696" s="296" t="s">
        <v>186</v>
      </c>
      <c r="V696" s="296" t="s">
        <v>187</v>
      </c>
      <c r="W696" s="296" t="s">
        <v>188</v>
      </c>
      <c r="X696" s="296" t="s">
        <v>256</v>
      </c>
      <c r="Y696" s="296" t="s">
        <v>183</v>
      </c>
      <c r="Z696" s="296" t="s">
        <v>183</v>
      </c>
      <c r="AA696" s="296" t="s">
        <v>183</v>
      </c>
      <c r="AB696" s="296" t="s">
        <v>183</v>
      </c>
      <c r="AC696" s="296" t="s">
        <v>5575</v>
      </c>
      <c r="AD696" s="296" t="s">
        <v>5576</v>
      </c>
      <c r="AE696" s="296" t="s">
        <v>192</v>
      </c>
      <c r="AF696" s="296" t="s">
        <v>193</v>
      </c>
      <c r="AG696" s="296">
        <v>0</v>
      </c>
      <c r="AH696" s="298">
        <v>45373</v>
      </c>
      <c r="AJ696" s="296" t="s">
        <v>194</v>
      </c>
      <c r="AK696" s="299">
        <f>COUNTIF($A$3:A$917,A696)</f>
        <v>1</v>
      </c>
    </row>
    <row r="697" spans="1:37" x14ac:dyDescent="0.25">
      <c r="A697" s="296">
        <v>502620717</v>
      </c>
      <c r="B697" s="296" t="s">
        <v>5577</v>
      </c>
      <c r="C697" s="296" t="s">
        <v>183</v>
      </c>
      <c r="D697" s="296" t="s">
        <v>183</v>
      </c>
      <c r="E697" s="296" t="s">
        <v>183</v>
      </c>
      <c r="F697" s="296" t="s">
        <v>5578</v>
      </c>
      <c r="G697" s="296" t="s">
        <v>5578</v>
      </c>
      <c r="H697" s="296" t="s">
        <v>5579</v>
      </c>
      <c r="I697" s="296" t="s">
        <v>5564</v>
      </c>
      <c r="J697" s="296" t="s">
        <v>5580</v>
      </c>
      <c r="K697" s="296" t="s">
        <v>5581</v>
      </c>
      <c r="L697" s="296" t="s">
        <v>5582</v>
      </c>
      <c r="M697" s="296" t="s">
        <v>179</v>
      </c>
      <c r="N697" s="296" t="s">
        <v>2334</v>
      </c>
      <c r="O697" s="296" t="s">
        <v>278</v>
      </c>
      <c r="P697" s="296" t="s">
        <v>5583</v>
      </c>
      <c r="Q697" s="296" t="s">
        <v>183</v>
      </c>
      <c r="R697" s="296" t="s">
        <v>5584</v>
      </c>
      <c r="S697" s="296" t="s">
        <v>185</v>
      </c>
      <c r="T697" s="296" t="s">
        <v>185</v>
      </c>
      <c r="U697" s="296" t="s">
        <v>186</v>
      </c>
      <c r="V697" s="296" t="s">
        <v>187</v>
      </c>
      <c r="W697" s="296" t="s">
        <v>188</v>
      </c>
      <c r="X697" s="296" t="s">
        <v>188</v>
      </c>
      <c r="Y697" s="296" t="s">
        <v>183</v>
      </c>
      <c r="Z697" s="296" t="s">
        <v>183</v>
      </c>
      <c r="AA697" s="296" t="s">
        <v>183</v>
      </c>
      <c r="AB697" s="296" t="s">
        <v>183</v>
      </c>
      <c r="AC697" s="296" t="s">
        <v>5585</v>
      </c>
      <c r="AD697" s="296" t="s">
        <v>5586</v>
      </c>
      <c r="AE697" s="296" t="s">
        <v>192</v>
      </c>
      <c r="AF697" s="296" t="s">
        <v>193</v>
      </c>
      <c r="AG697" s="296">
        <v>0</v>
      </c>
      <c r="AH697" s="298">
        <v>45455</v>
      </c>
      <c r="AJ697" s="296" t="s">
        <v>194</v>
      </c>
      <c r="AK697" s="299">
        <f>COUNTIF($A$3:A$917,A697)</f>
        <v>1</v>
      </c>
    </row>
    <row r="698" spans="1:37" x14ac:dyDescent="0.25">
      <c r="A698" s="296">
        <v>206850018</v>
      </c>
      <c r="B698" s="296" t="s">
        <v>5587</v>
      </c>
      <c r="C698" s="296" t="s">
        <v>183</v>
      </c>
      <c r="D698" s="296" t="s">
        <v>183</v>
      </c>
      <c r="E698" s="296" t="s">
        <v>183</v>
      </c>
      <c r="F698" s="296" t="s">
        <v>5588</v>
      </c>
      <c r="G698" s="296" t="s">
        <v>183</v>
      </c>
      <c r="H698" s="296" t="s">
        <v>5589</v>
      </c>
      <c r="I698" s="296" t="s">
        <v>5564</v>
      </c>
      <c r="J698" s="296" t="s">
        <v>5590</v>
      </c>
      <c r="K698" s="296" t="s">
        <v>5591</v>
      </c>
      <c r="L698" s="296" t="s">
        <v>5592</v>
      </c>
      <c r="M698" s="296" t="s">
        <v>179</v>
      </c>
      <c r="N698" s="296" t="s">
        <v>5593</v>
      </c>
      <c r="O698" s="296" t="s">
        <v>5593</v>
      </c>
      <c r="P698" s="296" t="s">
        <v>5594</v>
      </c>
      <c r="Q698" s="296" t="s">
        <v>183</v>
      </c>
      <c r="R698" s="296" t="s">
        <v>5595</v>
      </c>
      <c r="S698" s="296" t="s">
        <v>185</v>
      </c>
      <c r="T698" s="296" t="s">
        <v>185</v>
      </c>
      <c r="U698" s="296" t="s">
        <v>186</v>
      </c>
      <c r="V698" s="296" t="s">
        <v>187</v>
      </c>
      <c r="W698" s="296" t="s">
        <v>188</v>
      </c>
      <c r="X698" s="296" t="s">
        <v>256</v>
      </c>
      <c r="Y698" s="296" t="s">
        <v>183</v>
      </c>
      <c r="Z698" s="296" t="s">
        <v>183</v>
      </c>
      <c r="AA698" s="296" t="s">
        <v>183</v>
      </c>
      <c r="AB698" s="296" t="s">
        <v>183</v>
      </c>
      <c r="AC698" s="296" t="s">
        <v>5596</v>
      </c>
      <c r="AD698" s="296" t="s">
        <v>5597</v>
      </c>
      <c r="AE698" s="296" t="s">
        <v>192</v>
      </c>
      <c r="AF698" s="296" t="s">
        <v>193</v>
      </c>
      <c r="AG698" s="296">
        <v>0</v>
      </c>
      <c r="AH698" s="298">
        <v>45107</v>
      </c>
      <c r="AJ698" s="296" t="s">
        <v>194</v>
      </c>
      <c r="AK698" s="299">
        <f>COUNTIF($A$3:A$917,A698)</f>
        <v>1</v>
      </c>
    </row>
    <row r="699" spans="1:37" x14ac:dyDescent="0.25">
      <c r="A699" s="296">
        <v>3102699102</v>
      </c>
      <c r="B699" s="296" t="s">
        <v>1799</v>
      </c>
      <c r="C699" s="296" t="s">
        <v>1800</v>
      </c>
      <c r="D699" s="296" t="s">
        <v>1801</v>
      </c>
      <c r="E699" s="296" t="s">
        <v>1057</v>
      </c>
      <c r="F699" s="296" t="s">
        <v>1802</v>
      </c>
      <c r="G699" s="296" t="s">
        <v>1803</v>
      </c>
      <c r="H699" s="296" t="s">
        <v>1804</v>
      </c>
      <c r="I699" s="296" t="s">
        <v>5564</v>
      </c>
      <c r="J699" s="296" t="s">
        <v>5598</v>
      </c>
      <c r="K699" s="296" t="s">
        <v>1806</v>
      </c>
      <c r="L699" s="296" t="s">
        <v>1799</v>
      </c>
      <c r="M699" s="296" t="s">
        <v>179</v>
      </c>
      <c r="N699" s="296" t="s">
        <v>1802</v>
      </c>
      <c r="O699" s="296" t="s">
        <v>1803</v>
      </c>
      <c r="P699" s="296" t="s">
        <v>1804</v>
      </c>
      <c r="Q699" s="296" t="s">
        <v>183</v>
      </c>
      <c r="R699" s="296" t="s">
        <v>4779</v>
      </c>
      <c r="S699" s="296" t="s">
        <v>185</v>
      </c>
      <c r="T699" s="296" t="s">
        <v>185</v>
      </c>
      <c r="U699" s="296" t="s">
        <v>186</v>
      </c>
      <c r="V699" s="296" t="s">
        <v>187</v>
      </c>
      <c r="W699" s="296" t="s">
        <v>188</v>
      </c>
      <c r="X699" s="296" t="s">
        <v>256</v>
      </c>
      <c r="Y699" s="296" t="s">
        <v>183</v>
      </c>
      <c r="Z699" s="296" t="s">
        <v>183</v>
      </c>
      <c r="AA699" s="296" t="s">
        <v>183</v>
      </c>
      <c r="AB699" s="296" t="s">
        <v>183</v>
      </c>
      <c r="AC699" s="296" t="s">
        <v>1808</v>
      </c>
      <c r="AD699" s="296" t="s">
        <v>5599</v>
      </c>
      <c r="AE699" s="296" t="s">
        <v>192</v>
      </c>
      <c r="AF699" s="296" t="s">
        <v>193</v>
      </c>
      <c r="AG699" s="296">
        <v>0</v>
      </c>
      <c r="AH699" s="298">
        <v>45162</v>
      </c>
      <c r="AJ699" s="296" t="s">
        <v>194</v>
      </c>
      <c r="AK699" s="299">
        <f>COUNTIF($A$3:A$917,A699)</f>
        <v>3</v>
      </c>
    </row>
    <row r="700" spans="1:37" x14ac:dyDescent="0.25">
      <c r="A700" s="296">
        <v>501940638</v>
      </c>
      <c r="B700" s="296" t="s">
        <v>4781</v>
      </c>
      <c r="C700" s="296" t="s">
        <v>183</v>
      </c>
      <c r="D700" s="296" t="s">
        <v>183</v>
      </c>
      <c r="E700" s="296" t="s">
        <v>183</v>
      </c>
      <c r="F700" s="296" t="s">
        <v>4782</v>
      </c>
      <c r="G700" s="296" t="s">
        <v>4782</v>
      </c>
      <c r="H700" s="296" t="s">
        <v>4783</v>
      </c>
      <c r="I700" s="296" t="s">
        <v>5564</v>
      </c>
      <c r="J700" s="296" t="s">
        <v>4784</v>
      </c>
      <c r="K700" s="296" t="s">
        <v>4785</v>
      </c>
      <c r="L700" s="296" t="s">
        <v>4786</v>
      </c>
      <c r="M700" s="296" t="s">
        <v>179</v>
      </c>
      <c r="N700" s="296" t="s">
        <v>4787</v>
      </c>
      <c r="O700" s="296" t="s">
        <v>183</v>
      </c>
      <c r="P700" s="296" t="s">
        <v>4788</v>
      </c>
      <c r="Q700" s="296" t="s">
        <v>183</v>
      </c>
      <c r="R700" s="296" t="s">
        <v>4789</v>
      </c>
      <c r="S700" s="296" t="s">
        <v>185</v>
      </c>
      <c r="T700" s="296" t="s">
        <v>185</v>
      </c>
      <c r="U700" s="296" t="s">
        <v>186</v>
      </c>
      <c r="V700" s="296" t="s">
        <v>187</v>
      </c>
      <c r="W700" s="296" t="s">
        <v>188</v>
      </c>
      <c r="X700" s="296" t="s">
        <v>256</v>
      </c>
      <c r="Y700" s="296" t="s">
        <v>183</v>
      </c>
      <c r="Z700" s="296" t="s">
        <v>183</v>
      </c>
      <c r="AA700" s="296" t="s">
        <v>183</v>
      </c>
      <c r="AB700" s="296" t="s">
        <v>183</v>
      </c>
      <c r="AC700" s="296" t="s">
        <v>4790</v>
      </c>
      <c r="AD700" s="296" t="s">
        <v>5600</v>
      </c>
      <c r="AE700" s="296" t="s">
        <v>192</v>
      </c>
      <c r="AF700" s="296" t="s">
        <v>193</v>
      </c>
      <c r="AG700" s="296">
        <v>0</v>
      </c>
      <c r="AH700" s="298">
        <v>45373</v>
      </c>
      <c r="AJ700" s="296" t="s">
        <v>194</v>
      </c>
      <c r="AK700" s="299">
        <f>COUNTIF($A$3:A$917,A700)</f>
        <v>2</v>
      </c>
    </row>
    <row r="701" spans="1:37" x14ac:dyDescent="0.25">
      <c r="A701" s="296">
        <v>3102768312</v>
      </c>
      <c r="B701" s="296" t="s">
        <v>551</v>
      </c>
      <c r="C701" s="296" t="s">
        <v>552</v>
      </c>
      <c r="D701" s="296" t="s">
        <v>553</v>
      </c>
      <c r="E701" s="296" t="s">
        <v>172</v>
      </c>
      <c r="F701" s="296" t="s">
        <v>554</v>
      </c>
      <c r="G701" s="296" t="s">
        <v>183</v>
      </c>
      <c r="H701" s="296" t="s">
        <v>555</v>
      </c>
      <c r="I701" s="296" t="s">
        <v>5564</v>
      </c>
      <c r="J701" s="296" t="s">
        <v>5601</v>
      </c>
      <c r="K701" s="296" t="s">
        <v>557</v>
      </c>
      <c r="L701" s="296" t="s">
        <v>558</v>
      </c>
      <c r="M701" s="296" t="s">
        <v>179</v>
      </c>
      <c r="N701" s="296" t="s">
        <v>559</v>
      </c>
      <c r="O701" s="296" t="s">
        <v>560</v>
      </c>
      <c r="P701" s="296" t="s">
        <v>561</v>
      </c>
      <c r="Q701" s="296" t="s">
        <v>183</v>
      </c>
      <c r="R701" s="296" t="s">
        <v>562</v>
      </c>
      <c r="S701" s="296" t="s">
        <v>185</v>
      </c>
      <c r="T701" s="296" t="s">
        <v>185</v>
      </c>
      <c r="U701" s="296" t="s">
        <v>186</v>
      </c>
      <c r="V701" s="296" t="s">
        <v>187</v>
      </c>
      <c r="W701" s="296" t="s">
        <v>188</v>
      </c>
      <c r="X701" s="296" t="s">
        <v>188</v>
      </c>
      <c r="Y701" s="296" t="s">
        <v>183</v>
      </c>
      <c r="Z701" s="296" t="s">
        <v>183</v>
      </c>
      <c r="AA701" s="296" t="s">
        <v>183</v>
      </c>
      <c r="AB701" s="296" t="s">
        <v>183</v>
      </c>
      <c r="AC701" s="296" t="s">
        <v>563</v>
      </c>
      <c r="AD701" s="296" t="s">
        <v>5602</v>
      </c>
      <c r="AE701" s="296" t="s">
        <v>192</v>
      </c>
      <c r="AF701" s="296" t="s">
        <v>193</v>
      </c>
      <c r="AG701" s="296">
        <v>0</v>
      </c>
      <c r="AH701" s="298">
        <v>45056</v>
      </c>
      <c r="AJ701" s="296" t="s">
        <v>194</v>
      </c>
      <c r="AK701" s="299">
        <f>COUNTIF($A$3:A$917,A701)</f>
        <v>3</v>
      </c>
    </row>
    <row r="702" spans="1:37" x14ac:dyDescent="0.25">
      <c r="A702" s="296">
        <v>204930634</v>
      </c>
      <c r="B702" s="296" t="s">
        <v>5497</v>
      </c>
      <c r="C702" s="296" t="s">
        <v>183</v>
      </c>
      <c r="D702" s="296" t="s">
        <v>183</v>
      </c>
      <c r="E702" s="296" t="s">
        <v>183</v>
      </c>
      <c r="F702" s="296" t="s">
        <v>5498</v>
      </c>
      <c r="G702" s="296" t="s">
        <v>5498</v>
      </c>
      <c r="H702" s="296" t="s">
        <v>5499</v>
      </c>
      <c r="I702" s="296" t="s">
        <v>5564</v>
      </c>
      <c r="J702" s="296" t="s">
        <v>5500</v>
      </c>
      <c r="K702" s="296" t="s">
        <v>5501</v>
      </c>
      <c r="L702" s="296" t="s">
        <v>5502</v>
      </c>
      <c r="M702" s="296" t="s">
        <v>179</v>
      </c>
      <c r="N702" s="296" t="s">
        <v>5503</v>
      </c>
      <c r="O702" s="296" t="s">
        <v>183</v>
      </c>
      <c r="P702" s="296" t="s">
        <v>5504</v>
      </c>
      <c r="Q702" s="296" t="s">
        <v>183</v>
      </c>
      <c r="R702" s="296" t="s">
        <v>5505</v>
      </c>
      <c r="S702" s="296" t="s">
        <v>185</v>
      </c>
      <c r="T702" s="296" t="s">
        <v>185</v>
      </c>
      <c r="U702" s="296" t="s">
        <v>186</v>
      </c>
      <c r="V702" s="296" t="s">
        <v>187</v>
      </c>
      <c r="W702" s="296" t="s">
        <v>188</v>
      </c>
      <c r="X702" s="296" t="s">
        <v>256</v>
      </c>
      <c r="Y702" s="296" t="s">
        <v>183</v>
      </c>
      <c r="Z702" s="296" t="s">
        <v>183</v>
      </c>
      <c r="AA702" s="296" t="s">
        <v>183</v>
      </c>
      <c r="AB702" s="296" t="s">
        <v>183</v>
      </c>
      <c r="AC702" s="296" t="s">
        <v>5506</v>
      </c>
      <c r="AD702" s="296" t="s">
        <v>5603</v>
      </c>
      <c r="AE702" s="296" t="s">
        <v>192</v>
      </c>
      <c r="AF702" s="296" t="s">
        <v>193</v>
      </c>
      <c r="AG702" s="296">
        <v>0</v>
      </c>
      <c r="AH702" s="298">
        <v>45097</v>
      </c>
      <c r="AJ702" s="296" t="s">
        <v>194</v>
      </c>
      <c r="AK702" s="299">
        <f>COUNTIF($A$3:A$917,A702)</f>
        <v>2</v>
      </c>
    </row>
    <row r="703" spans="1:37" x14ac:dyDescent="0.25">
      <c r="A703" s="296">
        <v>503480878</v>
      </c>
      <c r="B703" s="296" t="s">
        <v>5604</v>
      </c>
      <c r="C703" s="296" t="s">
        <v>183</v>
      </c>
      <c r="D703" s="296" t="s">
        <v>183</v>
      </c>
      <c r="E703" s="296" t="s">
        <v>183</v>
      </c>
      <c r="F703" s="296" t="s">
        <v>4509</v>
      </c>
      <c r="G703" s="296" t="s">
        <v>4509</v>
      </c>
      <c r="H703" s="296" t="s">
        <v>4510</v>
      </c>
      <c r="I703" s="296" t="s">
        <v>5564</v>
      </c>
      <c r="J703" s="296" t="s">
        <v>5605</v>
      </c>
      <c r="K703" s="296" t="s">
        <v>1109</v>
      </c>
      <c r="L703" s="296" t="s">
        <v>1110</v>
      </c>
      <c r="M703" s="296" t="s">
        <v>179</v>
      </c>
      <c r="N703" s="296" t="s">
        <v>1111</v>
      </c>
      <c r="O703" s="296" t="s">
        <v>278</v>
      </c>
      <c r="P703" s="296" t="s">
        <v>1112</v>
      </c>
      <c r="Q703" s="296" t="s">
        <v>183</v>
      </c>
      <c r="R703" s="296" t="s">
        <v>4512</v>
      </c>
      <c r="S703" s="296" t="s">
        <v>185</v>
      </c>
      <c r="T703" s="296" t="s">
        <v>185</v>
      </c>
      <c r="U703" s="296" t="s">
        <v>186</v>
      </c>
      <c r="V703" s="296" t="s">
        <v>187</v>
      </c>
      <c r="W703" s="296" t="s">
        <v>188</v>
      </c>
      <c r="X703" s="296" t="s">
        <v>308</v>
      </c>
      <c r="Y703" s="296" t="s">
        <v>183</v>
      </c>
      <c r="Z703" s="296" t="s">
        <v>183</v>
      </c>
      <c r="AA703" s="296" t="s">
        <v>183</v>
      </c>
      <c r="AB703" s="296" t="s">
        <v>183</v>
      </c>
      <c r="AC703" s="296" t="s">
        <v>4513</v>
      </c>
      <c r="AD703" s="296" t="s">
        <v>5606</v>
      </c>
      <c r="AE703" s="296" t="s">
        <v>192</v>
      </c>
      <c r="AF703" s="296" t="s">
        <v>193</v>
      </c>
      <c r="AG703" s="296">
        <v>0</v>
      </c>
      <c r="AH703" s="298">
        <v>44245</v>
      </c>
      <c r="AJ703" s="296" t="s">
        <v>194</v>
      </c>
      <c r="AK703" s="299">
        <f>COUNTIF($A$3:A$917,A703)</f>
        <v>1</v>
      </c>
    </row>
    <row r="704" spans="1:37" x14ac:dyDescent="0.25">
      <c r="A704" s="296">
        <v>3002056564</v>
      </c>
      <c r="B704" s="296" t="s">
        <v>1003</v>
      </c>
      <c r="C704" s="296" t="s">
        <v>1004</v>
      </c>
      <c r="D704" s="296" t="s">
        <v>1005</v>
      </c>
      <c r="E704" s="296" t="s">
        <v>172</v>
      </c>
      <c r="F704" s="296" t="s">
        <v>1006</v>
      </c>
      <c r="G704" s="296" t="s">
        <v>278</v>
      </c>
      <c r="H704" s="296" t="s">
        <v>1007</v>
      </c>
      <c r="I704" s="296" t="s">
        <v>5607</v>
      </c>
      <c r="J704" s="296" t="s">
        <v>5608</v>
      </c>
      <c r="K704" s="296" t="s">
        <v>1009</v>
      </c>
      <c r="L704" s="296" t="s">
        <v>1003</v>
      </c>
      <c r="M704" s="296" t="s">
        <v>179</v>
      </c>
      <c r="N704" s="296" t="s">
        <v>1006</v>
      </c>
      <c r="O704" s="296" t="s">
        <v>1010</v>
      </c>
      <c r="P704" s="296" t="s">
        <v>1011</v>
      </c>
      <c r="Q704" s="296" t="s">
        <v>183</v>
      </c>
      <c r="R704" s="296" t="s">
        <v>1012</v>
      </c>
      <c r="S704" s="296" t="s">
        <v>185</v>
      </c>
      <c r="T704" s="296" t="s">
        <v>185</v>
      </c>
      <c r="U704" s="296" t="s">
        <v>186</v>
      </c>
      <c r="V704" s="296" t="s">
        <v>187</v>
      </c>
      <c r="W704" s="296" t="s">
        <v>188</v>
      </c>
      <c r="X704" s="296" t="s">
        <v>189</v>
      </c>
      <c r="Y704" s="296" t="s">
        <v>183</v>
      </c>
      <c r="Z704" s="296" t="s">
        <v>183</v>
      </c>
      <c r="AA704" s="296" t="s">
        <v>183</v>
      </c>
      <c r="AB704" s="296" t="s">
        <v>183</v>
      </c>
      <c r="AC704" s="296" t="s">
        <v>1013</v>
      </c>
      <c r="AD704" s="296" t="s">
        <v>5609</v>
      </c>
      <c r="AE704" s="296" t="s">
        <v>192</v>
      </c>
      <c r="AF704" s="296" t="s">
        <v>193</v>
      </c>
      <c r="AG704" s="296">
        <v>80782</v>
      </c>
      <c r="AH704" s="298">
        <v>44347</v>
      </c>
      <c r="AJ704" s="296" t="s">
        <v>194</v>
      </c>
      <c r="AK704" s="299">
        <f>COUNTIF($A$3:A$917,A704)</f>
        <v>4</v>
      </c>
    </row>
    <row r="705" spans="1:37" x14ac:dyDescent="0.25">
      <c r="A705" s="296">
        <v>3101712608</v>
      </c>
      <c r="B705" s="296" t="s">
        <v>5610</v>
      </c>
      <c r="C705" s="296" t="s">
        <v>183</v>
      </c>
      <c r="D705" s="296" t="s">
        <v>183</v>
      </c>
      <c r="E705" s="296" t="s">
        <v>183</v>
      </c>
      <c r="F705" s="296" t="s">
        <v>5611</v>
      </c>
      <c r="G705" s="296" t="s">
        <v>5612</v>
      </c>
      <c r="H705" s="296" t="s">
        <v>5613</v>
      </c>
      <c r="I705" s="296" t="s">
        <v>5614</v>
      </c>
      <c r="J705" s="296" t="s">
        <v>5615</v>
      </c>
      <c r="K705" s="296" t="s">
        <v>2663</v>
      </c>
      <c r="L705" s="296" t="s">
        <v>2659</v>
      </c>
      <c r="M705" s="296" t="s">
        <v>179</v>
      </c>
      <c r="N705" s="296" t="s">
        <v>2660</v>
      </c>
      <c r="O705" s="296" t="s">
        <v>2660</v>
      </c>
      <c r="P705" s="296" t="s">
        <v>2661</v>
      </c>
      <c r="Q705" s="296" t="s">
        <v>183</v>
      </c>
      <c r="R705" s="296" t="s">
        <v>2664</v>
      </c>
      <c r="S705" s="296" t="s">
        <v>185</v>
      </c>
      <c r="T705" s="296" t="s">
        <v>185</v>
      </c>
      <c r="U705" s="296" t="s">
        <v>186</v>
      </c>
      <c r="V705" s="296" t="s">
        <v>187</v>
      </c>
      <c r="W705" s="296" t="s">
        <v>188</v>
      </c>
      <c r="X705" s="296" t="s">
        <v>246</v>
      </c>
      <c r="Y705" s="296" t="s">
        <v>183</v>
      </c>
      <c r="Z705" s="296" t="s">
        <v>183</v>
      </c>
      <c r="AA705" s="296" t="s">
        <v>183</v>
      </c>
      <c r="AB705" s="296" t="s">
        <v>183</v>
      </c>
      <c r="AC705" s="296" t="s">
        <v>2665</v>
      </c>
      <c r="AD705" s="296" t="s">
        <v>5616</v>
      </c>
      <c r="AE705" s="296" t="s">
        <v>192</v>
      </c>
      <c r="AF705" s="296" t="s">
        <v>193</v>
      </c>
      <c r="AG705" s="296">
        <v>112914</v>
      </c>
      <c r="AH705" s="298">
        <v>43865</v>
      </c>
      <c r="AJ705" s="296" t="s">
        <v>194</v>
      </c>
      <c r="AK705" s="299">
        <f>COUNTIF($A$3:A$917,A705)</f>
        <v>1</v>
      </c>
    </row>
    <row r="706" spans="1:37" x14ac:dyDescent="0.25">
      <c r="A706" s="296">
        <v>3102007223</v>
      </c>
      <c r="B706" s="296" t="s">
        <v>5617</v>
      </c>
      <c r="C706" s="296" t="s">
        <v>183</v>
      </c>
      <c r="D706" s="296" t="s">
        <v>183</v>
      </c>
      <c r="E706" s="296" t="s">
        <v>183</v>
      </c>
      <c r="F706" s="296" t="s">
        <v>2311</v>
      </c>
      <c r="G706" s="296" t="s">
        <v>2311</v>
      </c>
      <c r="H706" s="296" t="s">
        <v>5618</v>
      </c>
      <c r="I706" s="296" t="s">
        <v>5614</v>
      </c>
      <c r="J706" s="296" t="s">
        <v>5619</v>
      </c>
      <c r="K706" s="296" t="s">
        <v>5620</v>
      </c>
      <c r="L706" s="296" t="s">
        <v>5617</v>
      </c>
      <c r="M706" s="296" t="s">
        <v>179</v>
      </c>
      <c r="N706" s="296" t="s">
        <v>2311</v>
      </c>
      <c r="O706" s="296" t="s">
        <v>2311</v>
      </c>
      <c r="P706" s="296" t="s">
        <v>5618</v>
      </c>
      <c r="Q706" s="296" t="s">
        <v>183</v>
      </c>
      <c r="R706" s="296" t="s">
        <v>5621</v>
      </c>
      <c r="S706" s="296" t="s">
        <v>185</v>
      </c>
      <c r="T706" s="296" t="s">
        <v>185</v>
      </c>
      <c r="U706" s="296" t="s">
        <v>186</v>
      </c>
      <c r="V706" s="296" t="s">
        <v>187</v>
      </c>
      <c r="W706" s="296" t="s">
        <v>188</v>
      </c>
      <c r="X706" s="296" t="s">
        <v>189</v>
      </c>
      <c r="Y706" s="296" t="s">
        <v>183</v>
      </c>
      <c r="Z706" s="296" t="s">
        <v>183</v>
      </c>
      <c r="AA706" s="296" t="s">
        <v>183</v>
      </c>
      <c r="AB706" s="296" t="s">
        <v>183</v>
      </c>
      <c r="AC706" s="296" t="s">
        <v>5622</v>
      </c>
      <c r="AD706" s="296" t="s">
        <v>5623</v>
      </c>
      <c r="AE706" s="296" t="s">
        <v>192</v>
      </c>
      <c r="AF706" s="296" t="s">
        <v>193</v>
      </c>
      <c r="AG706" s="296">
        <v>3107982.5</v>
      </c>
      <c r="AH706" s="298">
        <v>42824</v>
      </c>
      <c r="AJ706" s="296" t="s">
        <v>194</v>
      </c>
      <c r="AK706" s="299">
        <f>COUNTIF($A$3:A$917,A706)</f>
        <v>1</v>
      </c>
    </row>
    <row r="707" spans="1:37" x14ac:dyDescent="0.25">
      <c r="A707" s="296">
        <v>3101052164</v>
      </c>
      <c r="B707" s="296" t="s">
        <v>5624</v>
      </c>
      <c r="C707" s="296" t="s">
        <v>183</v>
      </c>
      <c r="D707" s="296" t="s">
        <v>183</v>
      </c>
      <c r="E707" s="296" t="s">
        <v>183</v>
      </c>
      <c r="F707" s="296" t="s">
        <v>5625</v>
      </c>
      <c r="G707" s="296" t="s">
        <v>5626</v>
      </c>
      <c r="H707" s="296" t="s">
        <v>5627</v>
      </c>
      <c r="I707" s="296" t="s">
        <v>5614</v>
      </c>
      <c r="J707" s="296" t="s">
        <v>5628</v>
      </c>
      <c r="K707" s="296" t="s">
        <v>4944</v>
      </c>
      <c r="L707" s="296" t="s">
        <v>4945</v>
      </c>
      <c r="M707" s="296" t="s">
        <v>179</v>
      </c>
      <c r="N707" s="296" t="s">
        <v>4946</v>
      </c>
      <c r="O707" s="296" t="s">
        <v>4946</v>
      </c>
      <c r="P707" s="296" t="s">
        <v>4947</v>
      </c>
      <c r="Q707" s="296" t="s">
        <v>183</v>
      </c>
      <c r="R707" s="296" t="s">
        <v>5629</v>
      </c>
      <c r="S707" s="296" t="s">
        <v>185</v>
      </c>
      <c r="T707" s="296" t="s">
        <v>185</v>
      </c>
      <c r="U707" s="296" t="s">
        <v>186</v>
      </c>
      <c r="V707" s="296" t="s">
        <v>187</v>
      </c>
      <c r="W707" s="296" t="s">
        <v>188</v>
      </c>
      <c r="X707" s="296" t="s">
        <v>189</v>
      </c>
      <c r="Y707" s="296" t="s">
        <v>183</v>
      </c>
      <c r="Z707" s="296" t="s">
        <v>183</v>
      </c>
      <c r="AA707" s="296" t="s">
        <v>183</v>
      </c>
      <c r="AB707" s="296" t="s">
        <v>183</v>
      </c>
      <c r="AC707" s="296" t="s">
        <v>5630</v>
      </c>
      <c r="AD707" s="296" t="s">
        <v>5631</v>
      </c>
      <c r="AE707" s="296" t="s">
        <v>192</v>
      </c>
      <c r="AF707" s="296" t="s">
        <v>193</v>
      </c>
      <c r="AG707" s="296">
        <v>1025969</v>
      </c>
      <c r="AH707" s="298">
        <v>39378</v>
      </c>
      <c r="AJ707" s="296" t="s">
        <v>194</v>
      </c>
      <c r="AK707" s="299">
        <f>COUNTIF($A$3:A$917,A707)</f>
        <v>1</v>
      </c>
    </row>
    <row r="708" spans="1:37" x14ac:dyDescent="0.25">
      <c r="A708" s="296">
        <v>3102297812</v>
      </c>
      <c r="B708" s="296" t="s">
        <v>5632</v>
      </c>
      <c r="C708" s="296" t="s">
        <v>5633</v>
      </c>
      <c r="D708" s="296" t="s">
        <v>5634</v>
      </c>
      <c r="E708" s="296" t="s">
        <v>172</v>
      </c>
      <c r="F708" s="296" t="s">
        <v>5635</v>
      </c>
      <c r="G708" s="296" t="s">
        <v>278</v>
      </c>
      <c r="H708" s="296" t="s">
        <v>5636</v>
      </c>
      <c r="I708" s="296" t="s">
        <v>5614</v>
      </c>
      <c r="J708" s="296" t="s">
        <v>5637</v>
      </c>
      <c r="K708" s="296" t="s">
        <v>862</v>
      </c>
      <c r="L708" s="296" t="s">
        <v>863</v>
      </c>
      <c r="M708" s="296" t="s">
        <v>179</v>
      </c>
      <c r="N708" s="296" t="s">
        <v>465</v>
      </c>
      <c r="O708" s="296" t="s">
        <v>864</v>
      </c>
      <c r="P708" s="296" t="s">
        <v>865</v>
      </c>
      <c r="Q708" s="296" t="s">
        <v>183</v>
      </c>
      <c r="R708" s="296" t="s">
        <v>4367</v>
      </c>
      <c r="S708" s="296" t="s">
        <v>185</v>
      </c>
      <c r="T708" s="296" t="s">
        <v>185</v>
      </c>
      <c r="U708" s="296" t="s">
        <v>186</v>
      </c>
      <c r="V708" s="296" t="s">
        <v>187</v>
      </c>
      <c r="W708" s="296" t="s">
        <v>188</v>
      </c>
      <c r="X708" s="296" t="s">
        <v>189</v>
      </c>
      <c r="Y708" s="296" t="s">
        <v>183</v>
      </c>
      <c r="Z708" s="296" t="s">
        <v>183</v>
      </c>
      <c r="AA708" s="296" t="s">
        <v>183</v>
      </c>
      <c r="AB708" s="296" t="s">
        <v>183</v>
      </c>
      <c r="AC708" s="296" t="s">
        <v>4368</v>
      </c>
      <c r="AD708" s="296" t="s">
        <v>5638</v>
      </c>
      <c r="AE708" s="296" t="s">
        <v>192</v>
      </c>
      <c r="AF708" s="296" t="s">
        <v>193</v>
      </c>
      <c r="AG708" s="296">
        <v>0</v>
      </c>
      <c r="AH708" s="298">
        <v>38898</v>
      </c>
      <c r="AJ708" s="296" t="s">
        <v>194</v>
      </c>
      <c r="AK708" s="299">
        <f>COUNTIF($A$3:A$917,A708)</f>
        <v>2</v>
      </c>
    </row>
    <row r="709" spans="1:37" x14ac:dyDescent="0.25">
      <c r="A709" s="296">
        <v>3102297812</v>
      </c>
      <c r="B709" s="296" t="s">
        <v>5632</v>
      </c>
      <c r="C709" s="296" t="s">
        <v>5633</v>
      </c>
      <c r="D709" s="296" t="s">
        <v>5634</v>
      </c>
      <c r="E709" s="296" t="s">
        <v>172</v>
      </c>
      <c r="F709" s="296" t="s">
        <v>5635</v>
      </c>
      <c r="G709" s="296" t="s">
        <v>278</v>
      </c>
      <c r="H709" s="296" t="s">
        <v>5636</v>
      </c>
      <c r="I709" s="296" t="s">
        <v>5614</v>
      </c>
      <c r="J709" s="296" t="s">
        <v>5639</v>
      </c>
      <c r="K709" s="296" t="s">
        <v>2528</v>
      </c>
      <c r="L709" s="296" t="s">
        <v>2529</v>
      </c>
      <c r="M709" s="296" t="s">
        <v>179</v>
      </c>
      <c r="N709" s="296" t="s">
        <v>2530</v>
      </c>
      <c r="O709" s="296" t="s">
        <v>2531</v>
      </c>
      <c r="P709" s="296" t="s">
        <v>2532</v>
      </c>
      <c r="Q709" s="296" t="s">
        <v>183</v>
      </c>
      <c r="R709" s="296" t="s">
        <v>5640</v>
      </c>
      <c r="S709" s="296" t="s">
        <v>185</v>
      </c>
      <c r="T709" s="296" t="s">
        <v>185</v>
      </c>
      <c r="U709" s="296" t="s">
        <v>186</v>
      </c>
      <c r="V709" s="296" t="s">
        <v>187</v>
      </c>
      <c r="W709" s="296" t="s">
        <v>188</v>
      </c>
      <c r="X709" s="296" t="s">
        <v>256</v>
      </c>
      <c r="Y709" s="296" t="s">
        <v>183</v>
      </c>
      <c r="Z709" s="296" t="s">
        <v>183</v>
      </c>
      <c r="AA709" s="296" t="s">
        <v>183</v>
      </c>
      <c r="AB709" s="296" t="s">
        <v>183</v>
      </c>
      <c r="AC709" s="296" t="s">
        <v>5641</v>
      </c>
      <c r="AD709" s="296" t="s">
        <v>5642</v>
      </c>
      <c r="AE709" s="296" t="s">
        <v>192</v>
      </c>
      <c r="AF709" s="296" t="s">
        <v>193</v>
      </c>
      <c r="AG709" s="296">
        <v>0</v>
      </c>
      <c r="AH709" s="298">
        <v>38898</v>
      </c>
      <c r="AJ709" s="296" t="s">
        <v>194</v>
      </c>
      <c r="AK709" s="299">
        <f>COUNTIF($A$3:A$917,A709)</f>
        <v>2</v>
      </c>
    </row>
    <row r="710" spans="1:37" x14ac:dyDescent="0.25">
      <c r="A710" s="296">
        <v>109770243</v>
      </c>
      <c r="B710" s="296" t="s">
        <v>5643</v>
      </c>
      <c r="C710" s="296" t="s">
        <v>183</v>
      </c>
      <c r="D710" s="296" t="s">
        <v>183</v>
      </c>
      <c r="E710" s="296" t="s">
        <v>183</v>
      </c>
      <c r="F710" s="296" t="s">
        <v>5644</v>
      </c>
      <c r="G710" s="296" t="s">
        <v>5644</v>
      </c>
      <c r="H710" s="296" t="s">
        <v>5645</v>
      </c>
      <c r="I710" s="296" t="s">
        <v>5614</v>
      </c>
      <c r="J710" s="296" t="s">
        <v>5646</v>
      </c>
      <c r="K710" s="296" t="s">
        <v>1213</v>
      </c>
      <c r="L710" s="296" t="s">
        <v>1214</v>
      </c>
      <c r="M710" s="296" t="s">
        <v>179</v>
      </c>
      <c r="N710" s="296" t="s">
        <v>1210</v>
      </c>
      <c r="O710" s="296" t="s">
        <v>183</v>
      </c>
      <c r="P710" s="296" t="s">
        <v>1215</v>
      </c>
      <c r="Q710" s="296" t="s">
        <v>183</v>
      </c>
      <c r="R710" s="296" t="s">
        <v>1216</v>
      </c>
      <c r="S710" s="296" t="s">
        <v>185</v>
      </c>
      <c r="T710" s="296" t="s">
        <v>185</v>
      </c>
      <c r="U710" s="296" t="s">
        <v>186</v>
      </c>
      <c r="V710" s="296" t="s">
        <v>187</v>
      </c>
      <c r="W710" s="296" t="s">
        <v>188</v>
      </c>
      <c r="X710" s="296" t="s">
        <v>256</v>
      </c>
      <c r="Y710" s="296" t="s">
        <v>183</v>
      </c>
      <c r="Z710" s="296" t="s">
        <v>183</v>
      </c>
      <c r="AA710" s="296" t="s">
        <v>183</v>
      </c>
      <c r="AB710" s="296" t="s">
        <v>183</v>
      </c>
      <c r="AC710" s="296" t="s">
        <v>1217</v>
      </c>
      <c r="AD710" s="296" t="s">
        <v>5647</v>
      </c>
      <c r="AE710" s="296" t="s">
        <v>192</v>
      </c>
      <c r="AF710" s="296" t="s">
        <v>193</v>
      </c>
      <c r="AG710" s="296">
        <v>0</v>
      </c>
      <c r="AH710" s="298">
        <v>45699</v>
      </c>
      <c r="AJ710" s="296" t="s">
        <v>194</v>
      </c>
      <c r="AK710" s="299">
        <f>COUNTIF($A$3:A$917,A710)</f>
        <v>2</v>
      </c>
    </row>
    <row r="711" spans="1:37" x14ac:dyDescent="0.25">
      <c r="A711" s="296">
        <v>109770243</v>
      </c>
      <c r="B711" s="296" t="s">
        <v>5643</v>
      </c>
      <c r="C711" s="296" t="s">
        <v>183</v>
      </c>
      <c r="D711" s="296" t="s">
        <v>183</v>
      </c>
      <c r="E711" s="296" t="s">
        <v>183</v>
      </c>
      <c r="F711" s="296" t="s">
        <v>5644</v>
      </c>
      <c r="G711" s="296" t="s">
        <v>5644</v>
      </c>
      <c r="H711" s="296" t="s">
        <v>5645</v>
      </c>
      <c r="I711" s="296" t="s">
        <v>5614</v>
      </c>
      <c r="J711" s="296" t="s">
        <v>5648</v>
      </c>
      <c r="K711" s="296" t="s">
        <v>5649</v>
      </c>
      <c r="L711" s="296" t="s">
        <v>5643</v>
      </c>
      <c r="M711" s="296" t="s">
        <v>179</v>
      </c>
      <c r="N711" s="296" t="s">
        <v>5644</v>
      </c>
      <c r="O711" s="296" t="s">
        <v>5644</v>
      </c>
      <c r="P711" s="296" t="s">
        <v>5645</v>
      </c>
      <c r="Q711" s="296" t="s">
        <v>183</v>
      </c>
      <c r="R711" s="296" t="s">
        <v>5650</v>
      </c>
      <c r="S711" s="296" t="s">
        <v>185</v>
      </c>
      <c r="T711" s="296" t="s">
        <v>185</v>
      </c>
      <c r="U711" s="296" t="s">
        <v>186</v>
      </c>
      <c r="V711" s="296" t="s">
        <v>187</v>
      </c>
      <c r="W711" s="296" t="s">
        <v>188</v>
      </c>
      <c r="X711" s="296" t="s">
        <v>308</v>
      </c>
      <c r="Y711" s="296" t="s">
        <v>183</v>
      </c>
      <c r="Z711" s="296" t="s">
        <v>183</v>
      </c>
      <c r="AA711" s="296" t="s">
        <v>183</v>
      </c>
      <c r="AB711" s="296" t="s">
        <v>183</v>
      </c>
      <c r="AC711" s="296" t="s">
        <v>5651</v>
      </c>
      <c r="AD711" s="296" t="s">
        <v>5652</v>
      </c>
      <c r="AE711" s="296" t="s">
        <v>192</v>
      </c>
      <c r="AF711" s="296" t="s">
        <v>193</v>
      </c>
      <c r="AG711" s="296">
        <v>0</v>
      </c>
      <c r="AH711" s="298">
        <v>45735</v>
      </c>
      <c r="AJ711" s="296" t="s">
        <v>194</v>
      </c>
      <c r="AK711" s="299">
        <f>COUNTIF($A$3:A$917,A711)</f>
        <v>2</v>
      </c>
    </row>
    <row r="712" spans="1:37" x14ac:dyDescent="0.25">
      <c r="A712" s="296">
        <v>206580656</v>
      </c>
      <c r="B712" s="296" t="s">
        <v>5653</v>
      </c>
      <c r="C712" s="296" t="s">
        <v>183</v>
      </c>
      <c r="D712" s="296" t="s">
        <v>183</v>
      </c>
      <c r="E712" s="296" t="s">
        <v>183</v>
      </c>
      <c r="F712" s="296" t="s">
        <v>5654</v>
      </c>
      <c r="G712" s="296" t="s">
        <v>5654</v>
      </c>
      <c r="H712" s="296" t="s">
        <v>5655</v>
      </c>
      <c r="I712" s="296" t="s">
        <v>5614</v>
      </c>
      <c r="J712" s="296" t="s">
        <v>5656</v>
      </c>
      <c r="K712" s="296" t="s">
        <v>3858</v>
      </c>
      <c r="L712" s="296" t="s">
        <v>3859</v>
      </c>
      <c r="M712" s="296" t="s">
        <v>179</v>
      </c>
      <c r="N712" s="296" t="s">
        <v>3860</v>
      </c>
      <c r="O712" s="296" t="s">
        <v>183</v>
      </c>
      <c r="P712" s="296" t="s">
        <v>3861</v>
      </c>
      <c r="Q712" s="296" t="s">
        <v>183</v>
      </c>
      <c r="R712" s="296" t="s">
        <v>3862</v>
      </c>
      <c r="S712" s="296" t="s">
        <v>185</v>
      </c>
      <c r="T712" s="296" t="s">
        <v>185</v>
      </c>
      <c r="U712" s="296" t="s">
        <v>186</v>
      </c>
      <c r="V712" s="296" t="s">
        <v>187</v>
      </c>
      <c r="W712" s="296" t="s">
        <v>188</v>
      </c>
      <c r="X712" s="296" t="s">
        <v>256</v>
      </c>
      <c r="Y712" s="296" t="s">
        <v>183</v>
      </c>
      <c r="Z712" s="296" t="s">
        <v>183</v>
      </c>
      <c r="AA712" s="296" t="s">
        <v>183</v>
      </c>
      <c r="AB712" s="296" t="s">
        <v>183</v>
      </c>
      <c r="AC712" s="296" t="s">
        <v>3863</v>
      </c>
      <c r="AD712" s="296" t="s">
        <v>5657</v>
      </c>
      <c r="AE712" s="296" t="s">
        <v>192</v>
      </c>
      <c r="AF712" s="296" t="s">
        <v>193</v>
      </c>
      <c r="AG712" s="296">
        <v>17541.75</v>
      </c>
      <c r="AH712" s="298">
        <v>43955</v>
      </c>
      <c r="AJ712" s="296" t="s">
        <v>194</v>
      </c>
      <c r="AK712" s="299">
        <f>COUNTIF($A$3:A$917,A712)</f>
        <v>1</v>
      </c>
    </row>
    <row r="713" spans="1:37" x14ac:dyDescent="0.25">
      <c r="A713" s="296">
        <v>207200093</v>
      </c>
      <c r="B713" s="296" t="s">
        <v>5658</v>
      </c>
      <c r="C713" s="296" t="s">
        <v>183</v>
      </c>
      <c r="D713" s="296" t="s">
        <v>183</v>
      </c>
      <c r="E713" s="296" t="s">
        <v>183</v>
      </c>
      <c r="F713" s="296" t="s">
        <v>5659</v>
      </c>
      <c r="G713" s="296" t="s">
        <v>183</v>
      </c>
      <c r="H713" s="296" t="s">
        <v>5660</v>
      </c>
      <c r="I713" s="296" t="s">
        <v>5614</v>
      </c>
      <c r="J713" s="296" t="s">
        <v>5661</v>
      </c>
      <c r="K713" s="296" t="s">
        <v>768</v>
      </c>
      <c r="L713" s="296" t="s">
        <v>769</v>
      </c>
      <c r="M713" s="296" t="s">
        <v>179</v>
      </c>
      <c r="N713" s="296" t="s">
        <v>770</v>
      </c>
      <c r="O713" s="296" t="s">
        <v>770</v>
      </c>
      <c r="P713" s="296" t="s">
        <v>771</v>
      </c>
      <c r="Q713" s="296" t="s">
        <v>183</v>
      </c>
      <c r="R713" s="296" t="s">
        <v>772</v>
      </c>
      <c r="S713" s="296" t="s">
        <v>185</v>
      </c>
      <c r="T713" s="296" t="s">
        <v>185</v>
      </c>
      <c r="U713" s="296" t="s">
        <v>186</v>
      </c>
      <c r="V713" s="296" t="s">
        <v>187</v>
      </c>
      <c r="W713" s="296" t="s">
        <v>188</v>
      </c>
      <c r="X713" s="296" t="s">
        <v>256</v>
      </c>
      <c r="Y713" s="296" t="s">
        <v>183</v>
      </c>
      <c r="Z713" s="296" t="s">
        <v>183</v>
      </c>
      <c r="AA713" s="296" t="s">
        <v>183</v>
      </c>
      <c r="AB713" s="296" t="s">
        <v>183</v>
      </c>
      <c r="AC713" s="296" t="s">
        <v>773</v>
      </c>
      <c r="AD713" s="296" t="s">
        <v>5662</v>
      </c>
      <c r="AE713" s="296" t="s">
        <v>192</v>
      </c>
      <c r="AF713" s="296" t="s">
        <v>193</v>
      </c>
      <c r="AG713" s="296">
        <v>0</v>
      </c>
      <c r="AH713" s="298">
        <v>42496</v>
      </c>
      <c r="AJ713" s="296" t="s">
        <v>194</v>
      </c>
      <c r="AK713" s="299">
        <f>COUNTIF($A$3:A$917,A713)</f>
        <v>1</v>
      </c>
    </row>
    <row r="714" spans="1:37" x14ac:dyDescent="0.25">
      <c r="A714" s="296">
        <v>503950651</v>
      </c>
      <c r="B714" s="296" t="s">
        <v>5663</v>
      </c>
      <c r="C714" s="296" t="s">
        <v>183</v>
      </c>
      <c r="D714" s="296" t="s">
        <v>183</v>
      </c>
      <c r="E714" s="296" t="s">
        <v>183</v>
      </c>
      <c r="F714" s="296" t="s">
        <v>5664</v>
      </c>
      <c r="G714" s="296" t="s">
        <v>183</v>
      </c>
      <c r="H714" s="296" t="s">
        <v>5665</v>
      </c>
      <c r="I714" s="296" t="s">
        <v>5614</v>
      </c>
      <c r="J714" s="296" t="s">
        <v>5666</v>
      </c>
      <c r="K714" s="296" t="s">
        <v>1965</v>
      </c>
      <c r="L714" s="296" t="s">
        <v>1961</v>
      </c>
      <c r="M714" s="296" t="s">
        <v>179</v>
      </c>
      <c r="N714" s="296" t="s">
        <v>1962</v>
      </c>
      <c r="O714" s="296" t="s">
        <v>1962</v>
      </c>
      <c r="P714" s="296" t="s">
        <v>1963</v>
      </c>
      <c r="Q714" s="296" t="s">
        <v>183</v>
      </c>
      <c r="R714" s="296" t="s">
        <v>3132</v>
      </c>
      <c r="S714" s="296" t="s">
        <v>185</v>
      </c>
      <c r="T714" s="296" t="s">
        <v>185</v>
      </c>
      <c r="U714" s="296" t="s">
        <v>186</v>
      </c>
      <c r="V714" s="296" t="s">
        <v>187</v>
      </c>
      <c r="W714" s="296" t="s">
        <v>188</v>
      </c>
      <c r="X714" s="296" t="s">
        <v>224</v>
      </c>
      <c r="Y714" s="296" t="s">
        <v>183</v>
      </c>
      <c r="Z714" s="296" t="s">
        <v>183</v>
      </c>
      <c r="AA714" s="296" t="s">
        <v>183</v>
      </c>
      <c r="AB714" s="296" t="s">
        <v>183</v>
      </c>
      <c r="AC714" s="296" t="s">
        <v>3133</v>
      </c>
      <c r="AD714" s="296" t="s">
        <v>5667</v>
      </c>
      <c r="AE714" s="296" t="s">
        <v>192</v>
      </c>
      <c r="AF714" s="296" t="s">
        <v>193</v>
      </c>
      <c r="AG714" s="296">
        <v>0</v>
      </c>
      <c r="AH714" s="298">
        <v>43129</v>
      </c>
      <c r="AJ714" s="296" t="s">
        <v>194</v>
      </c>
      <c r="AK714" s="299">
        <f>COUNTIF($A$3:A$917,A714)</f>
        <v>1</v>
      </c>
    </row>
    <row r="715" spans="1:37" x14ac:dyDescent="0.25">
      <c r="A715" s="296">
        <v>3102921388</v>
      </c>
      <c r="B715" s="296" t="s">
        <v>5668</v>
      </c>
      <c r="C715" s="296" t="s">
        <v>5669</v>
      </c>
      <c r="D715" s="296" t="s">
        <v>5670</v>
      </c>
      <c r="E715" s="296" t="s">
        <v>1057</v>
      </c>
      <c r="F715" s="296" t="s">
        <v>5671</v>
      </c>
      <c r="G715" s="296" t="s">
        <v>278</v>
      </c>
      <c r="H715" s="296" t="s">
        <v>5672</v>
      </c>
      <c r="I715" s="296" t="s">
        <v>5614</v>
      </c>
      <c r="J715" s="296" t="s">
        <v>5673</v>
      </c>
      <c r="K715" s="296" t="s">
        <v>5674</v>
      </c>
      <c r="L715" s="296" t="s">
        <v>5675</v>
      </c>
      <c r="M715" s="296" t="s">
        <v>179</v>
      </c>
      <c r="N715" s="296" t="s">
        <v>5671</v>
      </c>
      <c r="O715" s="296" t="s">
        <v>183</v>
      </c>
      <c r="P715" s="296" t="s">
        <v>5672</v>
      </c>
      <c r="Q715" s="296" t="s">
        <v>183</v>
      </c>
      <c r="R715" s="296" t="s">
        <v>5676</v>
      </c>
      <c r="S715" s="296" t="s">
        <v>185</v>
      </c>
      <c r="T715" s="296" t="s">
        <v>185</v>
      </c>
      <c r="U715" s="296" t="s">
        <v>186</v>
      </c>
      <c r="V715" s="296" t="s">
        <v>187</v>
      </c>
      <c r="W715" s="296" t="s">
        <v>188</v>
      </c>
      <c r="X715" s="296" t="s">
        <v>189</v>
      </c>
      <c r="Y715" s="296" t="s">
        <v>183</v>
      </c>
      <c r="Z715" s="296" t="s">
        <v>183</v>
      </c>
      <c r="AA715" s="296" t="s">
        <v>183</v>
      </c>
      <c r="AB715" s="296" t="s">
        <v>183</v>
      </c>
      <c r="AC715" s="296" t="s">
        <v>5677</v>
      </c>
      <c r="AD715" s="296" t="s">
        <v>5678</v>
      </c>
      <c r="AE715" s="296" t="s">
        <v>192</v>
      </c>
      <c r="AF715" s="296" t="s">
        <v>193</v>
      </c>
      <c r="AG715" s="296">
        <v>0</v>
      </c>
      <c r="AH715" s="298">
        <v>45833</v>
      </c>
      <c r="AJ715" s="296" t="s">
        <v>194</v>
      </c>
      <c r="AK715" s="299">
        <f>COUNTIF($A$3:A$917,A715)</f>
        <v>1</v>
      </c>
    </row>
    <row r="716" spans="1:37" x14ac:dyDescent="0.25">
      <c r="A716" s="296">
        <v>501810788</v>
      </c>
      <c r="B716" s="296" t="s">
        <v>4104</v>
      </c>
      <c r="C716" s="296" t="s">
        <v>183</v>
      </c>
      <c r="D716" s="296" t="s">
        <v>183</v>
      </c>
      <c r="E716" s="296" t="s">
        <v>183</v>
      </c>
      <c r="F716" s="296" t="s">
        <v>4105</v>
      </c>
      <c r="G716" s="296" t="s">
        <v>4106</v>
      </c>
      <c r="H716" s="296" t="s">
        <v>4107</v>
      </c>
      <c r="I716" s="296" t="s">
        <v>5614</v>
      </c>
      <c r="J716" s="296" t="s">
        <v>5679</v>
      </c>
      <c r="K716" s="296" t="s">
        <v>4109</v>
      </c>
      <c r="L716" s="296" t="s">
        <v>4104</v>
      </c>
      <c r="M716" s="296" t="s">
        <v>179</v>
      </c>
      <c r="N716" s="296" t="s">
        <v>4105</v>
      </c>
      <c r="O716" s="296" t="s">
        <v>4106</v>
      </c>
      <c r="P716" s="296" t="s">
        <v>4107</v>
      </c>
      <c r="Q716" s="296" t="s">
        <v>183</v>
      </c>
      <c r="R716" s="296" t="s">
        <v>4110</v>
      </c>
      <c r="S716" s="296" t="s">
        <v>185</v>
      </c>
      <c r="T716" s="296" t="s">
        <v>185</v>
      </c>
      <c r="U716" s="296" t="s">
        <v>186</v>
      </c>
      <c r="V716" s="296" t="s">
        <v>187</v>
      </c>
      <c r="W716" s="296" t="s">
        <v>188</v>
      </c>
      <c r="X716" s="296" t="s">
        <v>404</v>
      </c>
      <c r="Y716" s="296" t="s">
        <v>183</v>
      </c>
      <c r="Z716" s="296" t="s">
        <v>183</v>
      </c>
      <c r="AA716" s="296" t="s">
        <v>183</v>
      </c>
      <c r="AB716" s="296" t="s">
        <v>183</v>
      </c>
      <c r="AC716" s="296" t="s">
        <v>4111</v>
      </c>
      <c r="AD716" s="296" t="s">
        <v>5680</v>
      </c>
      <c r="AE716" s="296" t="s">
        <v>192</v>
      </c>
      <c r="AF716" s="296" t="s">
        <v>193</v>
      </c>
      <c r="AG716" s="296">
        <v>17043.75</v>
      </c>
      <c r="AH716" s="298">
        <v>42766</v>
      </c>
      <c r="AJ716" s="296" t="s">
        <v>194</v>
      </c>
      <c r="AK716" s="299">
        <f>COUNTIF($A$3:A$917,A716)</f>
        <v>2</v>
      </c>
    </row>
    <row r="717" spans="1:37" x14ac:dyDescent="0.25">
      <c r="A717" s="296">
        <v>502360981</v>
      </c>
      <c r="B717" s="296" t="s">
        <v>4707</v>
      </c>
      <c r="C717" s="296" t="s">
        <v>183</v>
      </c>
      <c r="D717" s="296" t="s">
        <v>183</v>
      </c>
      <c r="E717" s="296" t="s">
        <v>183</v>
      </c>
      <c r="F717" s="296" t="s">
        <v>4708</v>
      </c>
      <c r="G717" s="296" t="s">
        <v>4709</v>
      </c>
      <c r="H717" s="296" t="s">
        <v>4710</v>
      </c>
      <c r="I717" s="296" t="s">
        <v>5614</v>
      </c>
      <c r="J717" s="296" t="s">
        <v>5681</v>
      </c>
      <c r="K717" s="296" t="s">
        <v>4706</v>
      </c>
      <c r="L717" s="296" t="s">
        <v>4707</v>
      </c>
      <c r="M717" s="296" t="s">
        <v>179</v>
      </c>
      <c r="N717" s="296" t="s">
        <v>4708</v>
      </c>
      <c r="O717" s="296" t="s">
        <v>4709</v>
      </c>
      <c r="P717" s="296" t="s">
        <v>4710</v>
      </c>
      <c r="Q717" s="296" t="s">
        <v>183</v>
      </c>
      <c r="R717" s="296" t="s">
        <v>5682</v>
      </c>
      <c r="S717" s="296" t="s">
        <v>185</v>
      </c>
      <c r="T717" s="296" t="s">
        <v>185</v>
      </c>
      <c r="U717" s="296" t="s">
        <v>186</v>
      </c>
      <c r="V717" s="296" t="s">
        <v>187</v>
      </c>
      <c r="W717" s="296" t="s">
        <v>188</v>
      </c>
      <c r="X717" s="296" t="s">
        <v>189</v>
      </c>
      <c r="Y717" s="296" t="s">
        <v>183</v>
      </c>
      <c r="Z717" s="296" t="s">
        <v>183</v>
      </c>
      <c r="AA717" s="296" t="s">
        <v>183</v>
      </c>
      <c r="AB717" s="296" t="s">
        <v>183</v>
      </c>
      <c r="AC717" s="296" t="s">
        <v>5683</v>
      </c>
      <c r="AD717" s="296" t="s">
        <v>5684</v>
      </c>
      <c r="AE717" s="296" t="s">
        <v>192</v>
      </c>
      <c r="AF717" s="296" t="s">
        <v>193</v>
      </c>
      <c r="AG717" s="296">
        <v>0</v>
      </c>
      <c r="AH717" s="298">
        <v>42774</v>
      </c>
      <c r="AJ717" s="296" t="s">
        <v>194</v>
      </c>
      <c r="AK717" s="299">
        <f>COUNTIF($A$3:A$917,A717)</f>
        <v>1</v>
      </c>
    </row>
    <row r="718" spans="1:37" x14ac:dyDescent="0.25">
      <c r="A718" s="296">
        <v>3101588899</v>
      </c>
      <c r="B718" s="296" t="s">
        <v>5685</v>
      </c>
      <c r="C718" s="296" t="s">
        <v>183</v>
      </c>
      <c r="D718" s="296" t="s">
        <v>183</v>
      </c>
      <c r="E718" s="296" t="s">
        <v>183</v>
      </c>
      <c r="F718" s="296" t="s">
        <v>5686</v>
      </c>
      <c r="G718" s="296" t="s">
        <v>5686</v>
      </c>
      <c r="H718" s="296" t="s">
        <v>5687</v>
      </c>
      <c r="I718" s="296" t="s">
        <v>5614</v>
      </c>
      <c r="J718" s="296" t="s">
        <v>5688</v>
      </c>
      <c r="K718" s="296" t="s">
        <v>492</v>
      </c>
      <c r="L718" s="296" t="s">
        <v>487</v>
      </c>
      <c r="M718" s="296" t="s">
        <v>179</v>
      </c>
      <c r="N718" s="296" t="s">
        <v>488</v>
      </c>
      <c r="O718" s="296" t="s">
        <v>489</v>
      </c>
      <c r="P718" s="296" t="s">
        <v>490</v>
      </c>
      <c r="Q718" s="296" t="s">
        <v>183</v>
      </c>
      <c r="R718" s="296" t="s">
        <v>493</v>
      </c>
      <c r="S718" s="296" t="s">
        <v>185</v>
      </c>
      <c r="T718" s="296" t="s">
        <v>185</v>
      </c>
      <c r="U718" s="296" t="s">
        <v>186</v>
      </c>
      <c r="V718" s="296" t="s">
        <v>187</v>
      </c>
      <c r="W718" s="296" t="s">
        <v>188</v>
      </c>
      <c r="X718" s="296" t="s">
        <v>188</v>
      </c>
      <c r="Y718" s="296" t="s">
        <v>183</v>
      </c>
      <c r="Z718" s="296" t="s">
        <v>183</v>
      </c>
      <c r="AA718" s="296" t="s">
        <v>183</v>
      </c>
      <c r="AB718" s="296" t="s">
        <v>183</v>
      </c>
      <c r="AC718" s="296" t="s">
        <v>494</v>
      </c>
      <c r="AD718" s="296" t="s">
        <v>5689</v>
      </c>
      <c r="AE718" s="296" t="s">
        <v>192</v>
      </c>
      <c r="AF718" s="296" t="s">
        <v>193</v>
      </c>
      <c r="AG718" s="296">
        <v>0</v>
      </c>
      <c r="AH718" s="298">
        <v>43885</v>
      </c>
      <c r="AJ718" s="296" t="s">
        <v>194</v>
      </c>
      <c r="AK718" s="299">
        <f>COUNTIF($A$3:A$917,A718)</f>
        <v>1</v>
      </c>
    </row>
    <row r="719" spans="1:37" x14ac:dyDescent="0.25">
      <c r="A719" s="296">
        <v>502740120</v>
      </c>
      <c r="B719" s="296" t="s">
        <v>5690</v>
      </c>
      <c r="C719" s="296" t="s">
        <v>183</v>
      </c>
      <c r="D719" s="296" t="s">
        <v>183</v>
      </c>
      <c r="E719" s="296" t="s">
        <v>183</v>
      </c>
      <c r="F719" s="296" t="s">
        <v>5691</v>
      </c>
      <c r="G719" s="296" t="s">
        <v>5691</v>
      </c>
      <c r="H719" s="296" t="s">
        <v>5692</v>
      </c>
      <c r="I719" s="296" t="s">
        <v>5614</v>
      </c>
      <c r="J719" s="296" t="s">
        <v>5693</v>
      </c>
      <c r="K719" s="296" t="s">
        <v>5694</v>
      </c>
      <c r="L719" s="296" t="s">
        <v>5695</v>
      </c>
      <c r="M719" s="296" t="s">
        <v>179</v>
      </c>
      <c r="N719" s="296" t="s">
        <v>5696</v>
      </c>
      <c r="O719" s="296" t="s">
        <v>183</v>
      </c>
      <c r="P719" s="296" t="s">
        <v>5692</v>
      </c>
      <c r="Q719" s="296" t="s">
        <v>183</v>
      </c>
      <c r="R719" s="296" t="s">
        <v>5697</v>
      </c>
      <c r="S719" s="296" t="s">
        <v>185</v>
      </c>
      <c r="T719" s="296" t="s">
        <v>185</v>
      </c>
      <c r="U719" s="296" t="s">
        <v>186</v>
      </c>
      <c r="V719" s="296" t="s">
        <v>187</v>
      </c>
      <c r="W719" s="296" t="s">
        <v>188</v>
      </c>
      <c r="X719" s="296" t="s">
        <v>308</v>
      </c>
      <c r="Y719" s="296" t="s">
        <v>183</v>
      </c>
      <c r="Z719" s="296" t="s">
        <v>183</v>
      </c>
      <c r="AA719" s="296" t="s">
        <v>183</v>
      </c>
      <c r="AB719" s="296" t="s">
        <v>183</v>
      </c>
      <c r="AC719" s="296" t="s">
        <v>5698</v>
      </c>
      <c r="AD719" s="296" t="s">
        <v>5699</v>
      </c>
      <c r="AE719" s="296" t="s">
        <v>192</v>
      </c>
      <c r="AF719" s="296" t="s">
        <v>193</v>
      </c>
      <c r="AG719" s="296">
        <v>15763</v>
      </c>
      <c r="AH719" s="298">
        <v>44049</v>
      </c>
      <c r="AJ719" s="296" t="s">
        <v>194</v>
      </c>
      <c r="AK719" s="299">
        <f>COUNTIF($A$3:A$917,A719)</f>
        <v>1</v>
      </c>
    </row>
    <row r="720" spans="1:37" x14ac:dyDescent="0.25">
      <c r="A720" s="296">
        <v>203290468</v>
      </c>
      <c r="B720" s="296" t="s">
        <v>5700</v>
      </c>
      <c r="C720" s="296" t="s">
        <v>183</v>
      </c>
      <c r="D720" s="296" t="s">
        <v>183</v>
      </c>
      <c r="E720" s="296" t="s">
        <v>183</v>
      </c>
      <c r="F720" s="296" t="s">
        <v>5701</v>
      </c>
      <c r="G720" s="296" t="s">
        <v>5702</v>
      </c>
      <c r="H720" s="296" t="s">
        <v>5703</v>
      </c>
      <c r="I720" s="296" t="s">
        <v>5614</v>
      </c>
      <c r="J720" s="296" t="s">
        <v>5704</v>
      </c>
      <c r="K720" s="296" t="s">
        <v>5705</v>
      </c>
      <c r="L720" s="296" t="s">
        <v>5700</v>
      </c>
      <c r="M720" s="296" t="s">
        <v>179</v>
      </c>
      <c r="N720" s="296" t="s">
        <v>5701</v>
      </c>
      <c r="O720" s="296" t="s">
        <v>5702</v>
      </c>
      <c r="P720" s="296" t="s">
        <v>5703</v>
      </c>
      <c r="Q720" s="296" t="s">
        <v>183</v>
      </c>
      <c r="R720" s="296" t="s">
        <v>5706</v>
      </c>
      <c r="S720" s="296" t="s">
        <v>185</v>
      </c>
      <c r="T720" s="296" t="s">
        <v>185</v>
      </c>
      <c r="U720" s="296" t="s">
        <v>186</v>
      </c>
      <c r="V720" s="296" t="s">
        <v>187</v>
      </c>
      <c r="W720" s="296" t="s">
        <v>188</v>
      </c>
      <c r="X720" s="296" t="s">
        <v>189</v>
      </c>
      <c r="Y720" s="296" t="s">
        <v>183</v>
      </c>
      <c r="Z720" s="296" t="s">
        <v>183</v>
      </c>
      <c r="AA720" s="296" t="s">
        <v>183</v>
      </c>
      <c r="AB720" s="296" t="s">
        <v>183</v>
      </c>
      <c r="AC720" s="296" t="s">
        <v>5707</v>
      </c>
      <c r="AD720" s="296" t="s">
        <v>5708</v>
      </c>
      <c r="AE720" s="296" t="s">
        <v>192</v>
      </c>
      <c r="AF720" s="296" t="s">
        <v>193</v>
      </c>
      <c r="AG720" s="296">
        <v>0</v>
      </c>
      <c r="AH720" s="298">
        <v>36551</v>
      </c>
      <c r="AJ720" s="296" t="s">
        <v>194</v>
      </c>
      <c r="AK720" s="299">
        <f>COUNTIF($A$3:A$917,A720)</f>
        <v>1</v>
      </c>
    </row>
    <row r="721" spans="1:37" x14ac:dyDescent="0.25">
      <c r="A721" s="296">
        <v>501431443</v>
      </c>
      <c r="B721" s="296" t="s">
        <v>5709</v>
      </c>
      <c r="C721" s="296" t="s">
        <v>183</v>
      </c>
      <c r="D721" s="296" t="s">
        <v>183</v>
      </c>
      <c r="E721" s="296" t="s">
        <v>183</v>
      </c>
      <c r="F721" s="296" t="s">
        <v>5710</v>
      </c>
      <c r="G721" s="296" t="s">
        <v>183</v>
      </c>
      <c r="H721" s="296" t="s">
        <v>5711</v>
      </c>
      <c r="I721" s="296" t="s">
        <v>5614</v>
      </c>
      <c r="J721" s="296" t="s">
        <v>5712</v>
      </c>
      <c r="K721" s="296" t="s">
        <v>5713</v>
      </c>
      <c r="L721" s="296" t="s">
        <v>5714</v>
      </c>
      <c r="M721" s="296" t="s">
        <v>179</v>
      </c>
      <c r="N721" s="296" t="s">
        <v>5715</v>
      </c>
      <c r="O721" s="296" t="s">
        <v>278</v>
      </c>
      <c r="P721" s="296" t="s">
        <v>183</v>
      </c>
      <c r="Q721" s="296" t="s">
        <v>183</v>
      </c>
      <c r="R721" s="296" t="s">
        <v>5716</v>
      </c>
      <c r="S721" s="296" t="s">
        <v>185</v>
      </c>
      <c r="T721" s="296" t="s">
        <v>185</v>
      </c>
      <c r="U721" s="296" t="s">
        <v>186</v>
      </c>
      <c r="V721" s="296" t="s">
        <v>187</v>
      </c>
      <c r="W721" s="296" t="s">
        <v>188</v>
      </c>
      <c r="X721" s="296" t="s">
        <v>246</v>
      </c>
      <c r="Y721" s="296" t="s">
        <v>183</v>
      </c>
      <c r="Z721" s="296" t="s">
        <v>183</v>
      </c>
      <c r="AA721" s="296" t="s">
        <v>183</v>
      </c>
      <c r="AB721" s="296" t="s">
        <v>183</v>
      </c>
      <c r="AC721" s="296" t="s">
        <v>5717</v>
      </c>
      <c r="AD721" s="296" t="s">
        <v>5718</v>
      </c>
      <c r="AE721" s="296" t="s">
        <v>192</v>
      </c>
      <c r="AF721" s="296" t="s">
        <v>193</v>
      </c>
      <c r="AG721" s="296">
        <v>0</v>
      </c>
      <c r="AH721" s="298">
        <v>44182</v>
      </c>
      <c r="AJ721" s="296" t="s">
        <v>194</v>
      </c>
      <c r="AK721" s="299">
        <f>COUNTIF($A$3:A$917,A721)</f>
        <v>1</v>
      </c>
    </row>
    <row r="722" spans="1:37" x14ac:dyDescent="0.25">
      <c r="A722" s="296">
        <v>115600845233</v>
      </c>
      <c r="B722" s="296" t="s">
        <v>5719</v>
      </c>
      <c r="C722" s="296" t="s">
        <v>183</v>
      </c>
      <c r="D722" s="296" t="s">
        <v>183</v>
      </c>
      <c r="E722" s="296" t="s">
        <v>183</v>
      </c>
      <c r="F722" s="296" t="s">
        <v>5720</v>
      </c>
      <c r="G722" s="296" t="s">
        <v>5721</v>
      </c>
      <c r="H722" s="296" t="s">
        <v>5722</v>
      </c>
      <c r="I722" s="296" t="s">
        <v>5614</v>
      </c>
      <c r="J722" s="296" t="s">
        <v>5723</v>
      </c>
      <c r="K722" s="296" t="s">
        <v>1954</v>
      </c>
      <c r="L722" s="296" t="s">
        <v>1955</v>
      </c>
      <c r="M722" s="296" t="s">
        <v>179</v>
      </c>
      <c r="N722" s="296" t="s">
        <v>1956</v>
      </c>
      <c r="O722" s="296" t="s">
        <v>183</v>
      </c>
      <c r="P722" s="296" t="s">
        <v>1957</v>
      </c>
      <c r="Q722" s="296" t="s">
        <v>183</v>
      </c>
      <c r="R722" s="296" t="s">
        <v>5724</v>
      </c>
      <c r="S722" s="296" t="s">
        <v>185</v>
      </c>
      <c r="T722" s="296" t="s">
        <v>185</v>
      </c>
      <c r="U722" s="296" t="s">
        <v>186</v>
      </c>
      <c r="V722" s="296" t="s">
        <v>187</v>
      </c>
      <c r="W722" s="296" t="s">
        <v>188</v>
      </c>
      <c r="X722" s="296" t="s">
        <v>256</v>
      </c>
      <c r="Y722" s="296" t="s">
        <v>183</v>
      </c>
      <c r="Z722" s="296" t="s">
        <v>183</v>
      </c>
      <c r="AA722" s="296" t="s">
        <v>183</v>
      </c>
      <c r="AB722" s="296" t="s">
        <v>183</v>
      </c>
      <c r="AC722" s="296" t="s">
        <v>5725</v>
      </c>
      <c r="AD722" s="296" t="s">
        <v>5726</v>
      </c>
      <c r="AE722" s="296" t="s">
        <v>192</v>
      </c>
      <c r="AF722" s="296" t="s">
        <v>193</v>
      </c>
      <c r="AG722" s="296">
        <v>0</v>
      </c>
      <c r="AH722" s="298">
        <v>43313</v>
      </c>
      <c r="AJ722" s="296" t="s">
        <v>194</v>
      </c>
      <c r="AK722" s="299">
        <f>COUNTIF($A$3:A$917,A722)</f>
        <v>1</v>
      </c>
    </row>
    <row r="723" spans="1:37" x14ac:dyDescent="0.25">
      <c r="A723" s="296">
        <v>900380234</v>
      </c>
      <c r="B723" s="296" t="s">
        <v>5727</v>
      </c>
      <c r="C723" s="296" t="s">
        <v>183</v>
      </c>
      <c r="D723" s="296" t="s">
        <v>183</v>
      </c>
      <c r="E723" s="296" t="s">
        <v>183</v>
      </c>
      <c r="F723" s="296" t="s">
        <v>5728</v>
      </c>
      <c r="G723" s="296" t="s">
        <v>5729</v>
      </c>
      <c r="H723" s="296" t="s">
        <v>5730</v>
      </c>
      <c r="I723" s="296" t="s">
        <v>5614</v>
      </c>
      <c r="J723" s="296" t="s">
        <v>5731</v>
      </c>
      <c r="K723" s="296" t="s">
        <v>5732</v>
      </c>
      <c r="L723" s="296" t="s">
        <v>5733</v>
      </c>
      <c r="M723" s="296" t="s">
        <v>179</v>
      </c>
      <c r="N723" s="296" t="s">
        <v>278</v>
      </c>
      <c r="O723" s="296" t="s">
        <v>5728</v>
      </c>
      <c r="P723" s="296" t="s">
        <v>5734</v>
      </c>
      <c r="Q723" s="296" t="s">
        <v>183</v>
      </c>
      <c r="R723" s="296" t="s">
        <v>5735</v>
      </c>
      <c r="S723" s="296" t="s">
        <v>185</v>
      </c>
      <c r="T723" s="296" t="s">
        <v>185</v>
      </c>
      <c r="U723" s="296" t="s">
        <v>186</v>
      </c>
      <c r="V723" s="296" t="s">
        <v>187</v>
      </c>
      <c r="W723" s="296" t="s">
        <v>188</v>
      </c>
      <c r="X723" s="296" t="s">
        <v>256</v>
      </c>
      <c r="Y723" s="296" t="s">
        <v>183</v>
      </c>
      <c r="Z723" s="296" t="s">
        <v>183</v>
      </c>
      <c r="AA723" s="296" t="s">
        <v>183</v>
      </c>
      <c r="AB723" s="296" t="s">
        <v>183</v>
      </c>
      <c r="AC723" s="296" t="s">
        <v>5736</v>
      </c>
      <c r="AD723" s="296" t="s">
        <v>5737</v>
      </c>
      <c r="AE723" s="296" t="s">
        <v>192</v>
      </c>
      <c r="AF723" s="296" t="s">
        <v>193</v>
      </c>
      <c r="AG723" s="296">
        <v>0</v>
      </c>
      <c r="AH723" s="298">
        <v>43565</v>
      </c>
      <c r="AJ723" s="296" t="s">
        <v>194</v>
      </c>
      <c r="AK723" s="299">
        <f>COUNTIF($A$3:A$917,A723)</f>
        <v>1</v>
      </c>
    </row>
    <row r="724" spans="1:37" x14ac:dyDescent="0.25">
      <c r="A724" s="296">
        <v>503330757</v>
      </c>
      <c r="B724" s="296" t="s">
        <v>4869</v>
      </c>
      <c r="C724" s="296" t="s">
        <v>183</v>
      </c>
      <c r="D724" s="296" t="s">
        <v>183</v>
      </c>
      <c r="E724" s="296" t="s">
        <v>183</v>
      </c>
      <c r="F724" s="296" t="s">
        <v>4870</v>
      </c>
      <c r="G724" s="296" t="s">
        <v>4870</v>
      </c>
      <c r="H724" s="296" t="s">
        <v>4871</v>
      </c>
      <c r="I724" s="296" t="s">
        <v>5614</v>
      </c>
      <c r="J724" s="296" t="s">
        <v>5738</v>
      </c>
      <c r="K724" s="296" t="s">
        <v>5739</v>
      </c>
      <c r="L724" s="296" t="s">
        <v>5740</v>
      </c>
      <c r="M724" s="296" t="s">
        <v>179</v>
      </c>
      <c r="N724" s="296" t="s">
        <v>5741</v>
      </c>
      <c r="O724" s="296" t="s">
        <v>5742</v>
      </c>
      <c r="P724" s="296" t="s">
        <v>5743</v>
      </c>
      <c r="Q724" s="296" t="s">
        <v>183</v>
      </c>
      <c r="R724" s="296" t="s">
        <v>5744</v>
      </c>
      <c r="S724" s="296" t="s">
        <v>185</v>
      </c>
      <c r="T724" s="296" t="s">
        <v>185</v>
      </c>
      <c r="U724" s="296" t="s">
        <v>186</v>
      </c>
      <c r="V724" s="296" t="s">
        <v>187</v>
      </c>
      <c r="W724" s="296" t="s">
        <v>188</v>
      </c>
      <c r="X724" s="296" t="s">
        <v>256</v>
      </c>
      <c r="Y724" s="296" t="s">
        <v>183</v>
      </c>
      <c r="Z724" s="296" t="s">
        <v>183</v>
      </c>
      <c r="AA724" s="296" t="s">
        <v>183</v>
      </c>
      <c r="AB724" s="296" t="s">
        <v>183</v>
      </c>
      <c r="AC724" s="296" t="s">
        <v>5745</v>
      </c>
      <c r="AD724" s="296" t="s">
        <v>5746</v>
      </c>
      <c r="AE724" s="296" t="s">
        <v>192</v>
      </c>
      <c r="AF724" s="296" t="s">
        <v>193</v>
      </c>
      <c r="AG724" s="296">
        <v>0</v>
      </c>
      <c r="AH724" s="298">
        <v>43615</v>
      </c>
      <c r="AJ724" s="296" t="s">
        <v>194</v>
      </c>
      <c r="AK724" s="299">
        <f>COUNTIF($A$3:A$917,A724)</f>
        <v>4</v>
      </c>
    </row>
    <row r="725" spans="1:37" x14ac:dyDescent="0.25">
      <c r="A725" s="296">
        <v>503330757</v>
      </c>
      <c r="B725" s="296" t="s">
        <v>4869</v>
      </c>
      <c r="C725" s="296" t="s">
        <v>183</v>
      </c>
      <c r="D725" s="296" t="s">
        <v>183</v>
      </c>
      <c r="E725" s="296" t="s">
        <v>183</v>
      </c>
      <c r="F725" s="296" t="s">
        <v>4870</v>
      </c>
      <c r="G725" s="296" t="s">
        <v>4870</v>
      </c>
      <c r="H725" s="296" t="s">
        <v>4871</v>
      </c>
      <c r="I725" s="296" t="s">
        <v>5614</v>
      </c>
      <c r="J725" s="296" t="s">
        <v>5747</v>
      </c>
      <c r="K725" s="296" t="s">
        <v>5748</v>
      </c>
      <c r="L725" s="296" t="s">
        <v>5749</v>
      </c>
      <c r="M725" s="296" t="s">
        <v>179</v>
      </c>
      <c r="N725" s="296" t="s">
        <v>5750</v>
      </c>
      <c r="O725" s="296" t="s">
        <v>278</v>
      </c>
      <c r="P725" s="296" t="s">
        <v>183</v>
      </c>
      <c r="Q725" s="296" t="s">
        <v>183</v>
      </c>
      <c r="R725" s="296" t="s">
        <v>5751</v>
      </c>
      <c r="S725" s="296" t="s">
        <v>185</v>
      </c>
      <c r="T725" s="296" t="s">
        <v>185</v>
      </c>
      <c r="U725" s="296" t="s">
        <v>186</v>
      </c>
      <c r="V725" s="296" t="s">
        <v>187</v>
      </c>
      <c r="W725" s="296" t="s">
        <v>188</v>
      </c>
      <c r="X725" s="296" t="s">
        <v>256</v>
      </c>
      <c r="Y725" s="296" t="s">
        <v>183</v>
      </c>
      <c r="Z725" s="296" t="s">
        <v>183</v>
      </c>
      <c r="AA725" s="296" t="s">
        <v>183</v>
      </c>
      <c r="AB725" s="296" t="s">
        <v>183</v>
      </c>
      <c r="AC725" s="296" t="s">
        <v>5752</v>
      </c>
      <c r="AD725" s="296" t="s">
        <v>5753</v>
      </c>
      <c r="AE725" s="296" t="s">
        <v>192</v>
      </c>
      <c r="AF725" s="296" t="s">
        <v>193</v>
      </c>
      <c r="AG725" s="296">
        <v>0</v>
      </c>
      <c r="AH725" s="298">
        <v>44152</v>
      </c>
      <c r="AJ725" s="296" t="s">
        <v>194</v>
      </c>
      <c r="AK725" s="299">
        <f>COUNTIF($A$3:A$917,A725)</f>
        <v>4</v>
      </c>
    </row>
    <row r="726" spans="1:37" x14ac:dyDescent="0.25">
      <c r="A726" s="296">
        <v>115600376529</v>
      </c>
      <c r="B726" s="296" t="s">
        <v>5754</v>
      </c>
      <c r="C726" s="296" t="s">
        <v>183</v>
      </c>
      <c r="D726" s="296" t="s">
        <v>183</v>
      </c>
      <c r="E726" s="296" t="s">
        <v>183</v>
      </c>
      <c r="F726" s="296" t="s">
        <v>3331</v>
      </c>
      <c r="G726" s="296" t="s">
        <v>3332</v>
      </c>
      <c r="H726" s="296" t="s">
        <v>3333</v>
      </c>
      <c r="I726" s="296" t="s">
        <v>5614</v>
      </c>
      <c r="J726" s="296" t="s">
        <v>5755</v>
      </c>
      <c r="K726" s="296" t="s">
        <v>5756</v>
      </c>
      <c r="L726" s="296" t="s">
        <v>5754</v>
      </c>
      <c r="M726" s="296" t="s">
        <v>503</v>
      </c>
      <c r="N726" s="296" t="s">
        <v>3331</v>
      </c>
      <c r="O726" s="296" t="s">
        <v>5757</v>
      </c>
      <c r="P726" s="296" t="s">
        <v>3333</v>
      </c>
      <c r="Q726" s="296" t="s">
        <v>183</v>
      </c>
      <c r="R726" s="296" t="s">
        <v>5758</v>
      </c>
      <c r="S726" s="296" t="s">
        <v>185</v>
      </c>
      <c r="T726" s="296" t="s">
        <v>185</v>
      </c>
      <c r="U726" s="296" t="s">
        <v>186</v>
      </c>
      <c r="V726" s="296" t="s">
        <v>187</v>
      </c>
      <c r="W726" s="296" t="s">
        <v>188</v>
      </c>
      <c r="X726" s="296" t="s">
        <v>189</v>
      </c>
      <c r="Y726" s="296" t="s">
        <v>183</v>
      </c>
      <c r="Z726" s="296" t="s">
        <v>183</v>
      </c>
      <c r="AA726" s="296" t="s">
        <v>183</v>
      </c>
      <c r="AB726" s="296" t="s">
        <v>183</v>
      </c>
      <c r="AC726" s="296" t="s">
        <v>5759</v>
      </c>
      <c r="AD726" s="296" t="s">
        <v>5760</v>
      </c>
      <c r="AE726" s="296" t="s">
        <v>192</v>
      </c>
      <c r="AF726" s="296" t="s">
        <v>193</v>
      </c>
      <c r="AG726" s="296">
        <v>0</v>
      </c>
      <c r="AH726" s="298">
        <v>43871</v>
      </c>
      <c r="AJ726" s="296" t="s">
        <v>194</v>
      </c>
      <c r="AK726" s="299">
        <f>COUNTIF($A$3:A$917,A726)</f>
        <v>1</v>
      </c>
    </row>
    <row r="727" spans="1:37" x14ac:dyDescent="0.25">
      <c r="A727" s="296">
        <v>115600172120</v>
      </c>
      <c r="B727" s="296" t="s">
        <v>5761</v>
      </c>
      <c r="C727" s="296" t="s">
        <v>183</v>
      </c>
      <c r="D727" s="296" t="s">
        <v>183</v>
      </c>
      <c r="E727" s="296" t="s">
        <v>183</v>
      </c>
      <c r="F727" s="296" t="s">
        <v>5762</v>
      </c>
      <c r="G727" s="296" t="s">
        <v>5762</v>
      </c>
      <c r="H727" s="296" t="s">
        <v>5763</v>
      </c>
      <c r="I727" s="296" t="s">
        <v>5614</v>
      </c>
      <c r="J727" s="296" t="s">
        <v>5764</v>
      </c>
      <c r="K727" s="296" t="s">
        <v>862</v>
      </c>
      <c r="L727" s="296" t="s">
        <v>863</v>
      </c>
      <c r="M727" s="296" t="s">
        <v>179</v>
      </c>
      <c r="N727" s="296" t="s">
        <v>465</v>
      </c>
      <c r="O727" s="296" t="s">
        <v>864</v>
      </c>
      <c r="P727" s="296" t="s">
        <v>865</v>
      </c>
      <c r="Q727" s="296" t="s">
        <v>183</v>
      </c>
      <c r="R727" s="296" t="s">
        <v>5765</v>
      </c>
      <c r="S727" s="296" t="s">
        <v>185</v>
      </c>
      <c r="T727" s="296" t="s">
        <v>185</v>
      </c>
      <c r="U727" s="296" t="s">
        <v>186</v>
      </c>
      <c r="V727" s="296" t="s">
        <v>187</v>
      </c>
      <c r="W727" s="296" t="s">
        <v>188</v>
      </c>
      <c r="X727" s="296" t="s">
        <v>189</v>
      </c>
      <c r="Y727" s="296" t="s">
        <v>183</v>
      </c>
      <c r="Z727" s="296" t="s">
        <v>183</v>
      </c>
      <c r="AA727" s="296" t="s">
        <v>183</v>
      </c>
      <c r="AB727" s="296" t="s">
        <v>183</v>
      </c>
      <c r="AC727" s="296" t="s">
        <v>5766</v>
      </c>
      <c r="AD727" s="296" t="s">
        <v>5767</v>
      </c>
      <c r="AE727" s="296" t="s">
        <v>192</v>
      </c>
      <c r="AF727" s="296" t="s">
        <v>193</v>
      </c>
      <c r="AG727" s="296">
        <v>0</v>
      </c>
      <c r="AH727" s="298">
        <v>44909</v>
      </c>
      <c r="AJ727" s="296" t="s">
        <v>194</v>
      </c>
      <c r="AK727" s="299">
        <f>COUNTIF($A$3:A$917,A727)</f>
        <v>1</v>
      </c>
    </row>
    <row r="728" spans="1:37" x14ac:dyDescent="0.25">
      <c r="A728" s="296">
        <v>115600217826</v>
      </c>
      <c r="B728" s="296" t="s">
        <v>5768</v>
      </c>
      <c r="C728" s="296" t="s">
        <v>183</v>
      </c>
      <c r="D728" s="296" t="s">
        <v>183</v>
      </c>
      <c r="E728" s="296" t="s">
        <v>183</v>
      </c>
      <c r="F728" s="296" t="s">
        <v>5769</v>
      </c>
      <c r="G728" s="296" t="s">
        <v>5770</v>
      </c>
      <c r="H728" s="296" t="s">
        <v>5771</v>
      </c>
      <c r="I728" s="296" t="s">
        <v>5614</v>
      </c>
      <c r="J728" s="296" t="s">
        <v>5772</v>
      </c>
      <c r="K728" s="296" t="s">
        <v>5773</v>
      </c>
      <c r="L728" s="296" t="s">
        <v>5768</v>
      </c>
      <c r="M728" s="296" t="s">
        <v>503</v>
      </c>
      <c r="N728" s="296" t="s">
        <v>5769</v>
      </c>
      <c r="O728" s="296" t="s">
        <v>5770</v>
      </c>
      <c r="P728" s="296" t="s">
        <v>5771</v>
      </c>
      <c r="Q728" s="296" t="s">
        <v>183</v>
      </c>
      <c r="R728" s="296" t="s">
        <v>5774</v>
      </c>
      <c r="S728" s="296" t="s">
        <v>185</v>
      </c>
      <c r="T728" s="296" t="s">
        <v>185</v>
      </c>
      <c r="U728" s="296" t="s">
        <v>186</v>
      </c>
      <c r="V728" s="296" t="s">
        <v>187</v>
      </c>
      <c r="W728" s="296" t="s">
        <v>188</v>
      </c>
      <c r="X728" s="296" t="s">
        <v>404</v>
      </c>
      <c r="Y728" s="296" t="s">
        <v>183</v>
      </c>
      <c r="Z728" s="296" t="s">
        <v>183</v>
      </c>
      <c r="AA728" s="296" t="s">
        <v>183</v>
      </c>
      <c r="AB728" s="296" t="s">
        <v>183</v>
      </c>
      <c r="AC728" s="296" t="s">
        <v>5775</v>
      </c>
      <c r="AD728" s="296" t="s">
        <v>5776</v>
      </c>
      <c r="AE728" s="296" t="s">
        <v>192</v>
      </c>
      <c r="AF728" s="296" t="s">
        <v>193</v>
      </c>
      <c r="AG728" s="296">
        <v>0</v>
      </c>
      <c r="AH728" s="298">
        <v>42851</v>
      </c>
      <c r="AJ728" s="296" t="s">
        <v>194</v>
      </c>
      <c r="AK728" s="299">
        <f>COUNTIF($A$3:A$917,A728)</f>
        <v>1</v>
      </c>
    </row>
    <row r="729" spans="1:37" x14ac:dyDescent="0.25">
      <c r="A729" s="296">
        <v>503470157</v>
      </c>
      <c r="B729" s="296" t="s">
        <v>5777</v>
      </c>
      <c r="C729" s="296" t="s">
        <v>183</v>
      </c>
      <c r="D729" s="296" t="s">
        <v>183</v>
      </c>
      <c r="E729" s="296" t="s">
        <v>183</v>
      </c>
      <c r="F729" s="296" t="s">
        <v>5778</v>
      </c>
      <c r="G729" s="296" t="s">
        <v>278</v>
      </c>
      <c r="H729" s="296" t="s">
        <v>5779</v>
      </c>
      <c r="I729" s="296" t="s">
        <v>5780</v>
      </c>
      <c r="J729" s="296" t="s">
        <v>5781</v>
      </c>
      <c r="K729" s="296" t="s">
        <v>5782</v>
      </c>
      <c r="L729" s="296" t="s">
        <v>5783</v>
      </c>
      <c r="M729" s="296" t="s">
        <v>179</v>
      </c>
      <c r="N729" s="296" t="s">
        <v>5784</v>
      </c>
      <c r="O729" s="296" t="s">
        <v>5785</v>
      </c>
      <c r="P729" s="296" t="s">
        <v>5786</v>
      </c>
      <c r="Q729" s="296" t="s">
        <v>183</v>
      </c>
      <c r="R729" s="296" t="s">
        <v>5787</v>
      </c>
      <c r="S729" s="296" t="s">
        <v>185</v>
      </c>
      <c r="T729" s="296" t="s">
        <v>185</v>
      </c>
      <c r="U729" s="296" t="s">
        <v>186</v>
      </c>
      <c r="V729" s="296" t="s">
        <v>187</v>
      </c>
      <c r="W729" s="296" t="s">
        <v>188</v>
      </c>
      <c r="X729" s="296" t="s">
        <v>189</v>
      </c>
      <c r="Y729" s="296" t="s">
        <v>183</v>
      </c>
      <c r="Z729" s="296" t="s">
        <v>183</v>
      </c>
      <c r="AA729" s="296" t="s">
        <v>183</v>
      </c>
      <c r="AB729" s="296" t="s">
        <v>183</v>
      </c>
      <c r="AC729" s="296" t="s">
        <v>5788</v>
      </c>
      <c r="AD729" s="296" t="s">
        <v>5789</v>
      </c>
      <c r="AE729" s="296" t="s">
        <v>192</v>
      </c>
      <c r="AF729" s="296" t="s">
        <v>193</v>
      </c>
      <c r="AG729" s="296">
        <v>0</v>
      </c>
      <c r="AH729" s="298">
        <v>44253</v>
      </c>
      <c r="AJ729" s="296" t="s">
        <v>194</v>
      </c>
      <c r="AK729" s="299">
        <f>COUNTIF($A$3:A$917,A729)</f>
        <v>1</v>
      </c>
    </row>
    <row r="730" spans="1:37" x14ac:dyDescent="0.25">
      <c r="A730" s="296">
        <v>503230888</v>
      </c>
      <c r="B730" s="296" t="s">
        <v>5790</v>
      </c>
      <c r="C730" s="296" t="s">
        <v>183</v>
      </c>
      <c r="D730" s="296" t="s">
        <v>183</v>
      </c>
      <c r="E730" s="296" t="s">
        <v>183</v>
      </c>
      <c r="F730" s="296" t="s">
        <v>5791</v>
      </c>
      <c r="G730" s="296" t="s">
        <v>183</v>
      </c>
      <c r="H730" s="296" t="s">
        <v>5792</v>
      </c>
      <c r="I730" s="296" t="s">
        <v>5793</v>
      </c>
      <c r="J730" s="296" t="s">
        <v>5794</v>
      </c>
      <c r="K730" s="296" t="s">
        <v>5795</v>
      </c>
      <c r="L730" s="296" t="s">
        <v>5796</v>
      </c>
      <c r="M730" s="296" t="s">
        <v>179</v>
      </c>
      <c r="N730" s="296" t="s">
        <v>5797</v>
      </c>
      <c r="O730" s="296" t="s">
        <v>5797</v>
      </c>
      <c r="P730" s="296" t="s">
        <v>5798</v>
      </c>
      <c r="Q730" s="296" t="s">
        <v>183</v>
      </c>
      <c r="R730" s="296" t="s">
        <v>5799</v>
      </c>
      <c r="S730" s="296" t="s">
        <v>185</v>
      </c>
      <c r="T730" s="296" t="s">
        <v>185</v>
      </c>
      <c r="U730" s="296" t="s">
        <v>186</v>
      </c>
      <c r="V730" s="296" t="s">
        <v>187</v>
      </c>
      <c r="W730" s="296" t="s">
        <v>188</v>
      </c>
      <c r="X730" s="296" t="s">
        <v>189</v>
      </c>
      <c r="Y730" s="296" t="s">
        <v>183</v>
      </c>
      <c r="Z730" s="296" t="s">
        <v>183</v>
      </c>
      <c r="AA730" s="296" t="s">
        <v>183</v>
      </c>
      <c r="AB730" s="296" t="s">
        <v>183</v>
      </c>
      <c r="AC730" s="296" t="s">
        <v>5800</v>
      </c>
      <c r="AD730" s="296" t="s">
        <v>5801</v>
      </c>
      <c r="AE730" s="296" t="s">
        <v>192</v>
      </c>
      <c r="AF730" s="296" t="s">
        <v>193</v>
      </c>
      <c r="AG730" s="296">
        <v>9078</v>
      </c>
      <c r="AH730" s="298">
        <v>40637</v>
      </c>
      <c r="AJ730" s="296" t="s">
        <v>194</v>
      </c>
      <c r="AK730" s="299">
        <f>COUNTIF($A$3:A$917,A730)</f>
        <v>1</v>
      </c>
    </row>
    <row r="731" spans="1:37" x14ac:dyDescent="0.25">
      <c r="A731" s="296">
        <v>502680894</v>
      </c>
      <c r="B731" s="296" t="s">
        <v>5802</v>
      </c>
      <c r="C731" s="296" t="s">
        <v>183</v>
      </c>
      <c r="D731" s="296" t="s">
        <v>183</v>
      </c>
      <c r="E731" s="296" t="s">
        <v>183</v>
      </c>
      <c r="F731" s="296" t="s">
        <v>5803</v>
      </c>
      <c r="G731" s="296" t="s">
        <v>5804</v>
      </c>
      <c r="H731" s="296" t="s">
        <v>5805</v>
      </c>
      <c r="I731" s="296" t="s">
        <v>5806</v>
      </c>
      <c r="J731" s="296" t="s">
        <v>5807</v>
      </c>
      <c r="K731" s="296" t="s">
        <v>5808</v>
      </c>
      <c r="L731" s="296" t="s">
        <v>5809</v>
      </c>
      <c r="M731" s="296" t="s">
        <v>179</v>
      </c>
      <c r="N731" s="296" t="s">
        <v>5803</v>
      </c>
      <c r="O731" s="296" t="s">
        <v>183</v>
      </c>
      <c r="P731" s="296" t="s">
        <v>5805</v>
      </c>
      <c r="Q731" s="296" t="s">
        <v>183</v>
      </c>
      <c r="R731" s="296" t="s">
        <v>5810</v>
      </c>
      <c r="S731" s="296" t="s">
        <v>185</v>
      </c>
      <c r="T731" s="296" t="s">
        <v>185</v>
      </c>
      <c r="U731" s="296" t="s">
        <v>186</v>
      </c>
      <c r="V731" s="296" t="s">
        <v>187</v>
      </c>
      <c r="W731" s="296" t="s">
        <v>188</v>
      </c>
      <c r="X731" s="296" t="s">
        <v>189</v>
      </c>
      <c r="Y731" s="296" t="s">
        <v>183</v>
      </c>
      <c r="Z731" s="296" t="s">
        <v>183</v>
      </c>
      <c r="AA731" s="296" t="s">
        <v>183</v>
      </c>
      <c r="AB731" s="296" t="s">
        <v>183</v>
      </c>
      <c r="AC731" s="296" t="s">
        <v>5811</v>
      </c>
      <c r="AD731" s="296" t="s">
        <v>5812</v>
      </c>
      <c r="AE731" s="296" t="s">
        <v>192</v>
      </c>
      <c r="AF731" s="296" t="s">
        <v>193</v>
      </c>
      <c r="AG731" s="296">
        <v>0</v>
      </c>
      <c r="AH731" s="298">
        <v>36683</v>
      </c>
      <c r="AJ731" s="296" t="s">
        <v>194</v>
      </c>
      <c r="AK731" s="299">
        <f>COUNTIF($A$3:A$917,A731)</f>
        <v>1</v>
      </c>
    </row>
    <row r="732" spans="1:37" x14ac:dyDescent="0.25">
      <c r="A732" s="296">
        <v>601340196</v>
      </c>
      <c r="B732" s="296" t="s">
        <v>904</v>
      </c>
      <c r="C732" s="296" t="s">
        <v>183</v>
      </c>
      <c r="D732" s="296" t="s">
        <v>183</v>
      </c>
      <c r="E732" s="296" t="s">
        <v>183</v>
      </c>
      <c r="F732" s="296" t="s">
        <v>3710</v>
      </c>
      <c r="G732" s="296" t="s">
        <v>906</v>
      </c>
      <c r="H732" s="296" t="s">
        <v>907</v>
      </c>
      <c r="I732" s="296" t="s">
        <v>5806</v>
      </c>
      <c r="J732" s="296" t="s">
        <v>5813</v>
      </c>
      <c r="K732" s="296" t="s">
        <v>905</v>
      </c>
      <c r="L732" s="296" t="s">
        <v>904</v>
      </c>
      <c r="M732" s="296" t="s">
        <v>179</v>
      </c>
      <c r="N732" s="296" t="s">
        <v>3710</v>
      </c>
      <c r="O732" s="296" t="s">
        <v>906</v>
      </c>
      <c r="P732" s="296" t="s">
        <v>907</v>
      </c>
      <c r="Q732" s="296" t="s">
        <v>183</v>
      </c>
      <c r="R732" s="296" t="s">
        <v>5814</v>
      </c>
      <c r="S732" s="296" t="s">
        <v>185</v>
      </c>
      <c r="T732" s="296" t="s">
        <v>185</v>
      </c>
      <c r="U732" s="296" t="s">
        <v>186</v>
      </c>
      <c r="V732" s="296" t="s">
        <v>187</v>
      </c>
      <c r="W732" s="296" t="s">
        <v>188</v>
      </c>
      <c r="X732" s="296" t="s">
        <v>189</v>
      </c>
      <c r="Y732" s="296" t="s">
        <v>183</v>
      </c>
      <c r="Z732" s="296" t="s">
        <v>183</v>
      </c>
      <c r="AA732" s="296" t="s">
        <v>183</v>
      </c>
      <c r="AB732" s="296" t="s">
        <v>183</v>
      </c>
      <c r="AC732" s="296" t="s">
        <v>5815</v>
      </c>
      <c r="AD732" s="296" t="s">
        <v>5816</v>
      </c>
      <c r="AE732" s="296" t="s">
        <v>192</v>
      </c>
      <c r="AF732" s="296" t="s">
        <v>193</v>
      </c>
      <c r="AG732" s="296">
        <v>0</v>
      </c>
      <c r="AH732" s="298">
        <v>45614</v>
      </c>
      <c r="AJ732" s="296" t="s">
        <v>194</v>
      </c>
      <c r="AK732" s="299">
        <f>COUNTIF($A$3:A$917,A732)</f>
        <v>1</v>
      </c>
    </row>
    <row r="733" spans="1:37" x14ac:dyDescent="0.25">
      <c r="A733" s="296">
        <v>602950943</v>
      </c>
      <c r="B733" s="296" t="s">
        <v>5817</v>
      </c>
      <c r="C733" s="296" t="s">
        <v>183</v>
      </c>
      <c r="D733" s="296" t="s">
        <v>183</v>
      </c>
      <c r="E733" s="296" t="s">
        <v>183</v>
      </c>
      <c r="F733" s="296" t="s">
        <v>5818</v>
      </c>
      <c r="G733" s="296" t="s">
        <v>5818</v>
      </c>
      <c r="H733" s="296" t="s">
        <v>5819</v>
      </c>
      <c r="I733" s="296" t="s">
        <v>5820</v>
      </c>
      <c r="J733" s="296" t="s">
        <v>5821</v>
      </c>
      <c r="K733" s="296" t="s">
        <v>3060</v>
      </c>
      <c r="L733" s="296" t="s">
        <v>3061</v>
      </c>
      <c r="M733" s="296" t="s">
        <v>179</v>
      </c>
      <c r="N733" s="296" t="s">
        <v>3062</v>
      </c>
      <c r="O733" s="296" t="s">
        <v>183</v>
      </c>
      <c r="P733" s="296" t="s">
        <v>3063</v>
      </c>
      <c r="Q733" s="296" t="s">
        <v>183</v>
      </c>
      <c r="R733" s="296" t="s">
        <v>5822</v>
      </c>
      <c r="S733" s="296" t="s">
        <v>185</v>
      </c>
      <c r="T733" s="296" t="s">
        <v>185</v>
      </c>
      <c r="U733" s="296" t="s">
        <v>186</v>
      </c>
      <c r="V733" s="296" t="s">
        <v>187</v>
      </c>
      <c r="W733" s="296" t="s">
        <v>188</v>
      </c>
      <c r="X733" s="296" t="s">
        <v>189</v>
      </c>
      <c r="Y733" s="296" t="s">
        <v>183</v>
      </c>
      <c r="Z733" s="296" t="s">
        <v>183</v>
      </c>
      <c r="AA733" s="296" t="s">
        <v>183</v>
      </c>
      <c r="AB733" s="296" t="s">
        <v>183</v>
      </c>
      <c r="AC733" s="296" t="s">
        <v>5823</v>
      </c>
      <c r="AD733" s="296" t="s">
        <v>5824</v>
      </c>
      <c r="AE733" s="296" t="s">
        <v>192</v>
      </c>
      <c r="AF733" s="296" t="s">
        <v>193</v>
      </c>
      <c r="AG733" s="296">
        <v>27281</v>
      </c>
      <c r="AH733" s="298">
        <v>44350</v>
      </c>
      <c r="AJ733" s="296" t="s">
        <v>194</v>
      </c>
      <c r="AK733" s="299">
        <f>COUNTIF($A$3:A$917,A733)</f>
        <v>1</v>
      </c>
    </row>
    <row r="734" spans="1:37" x14ac:dyDescent="0.25">
      <c r="A734" s="296">
        <v>504340366</v>
      </c>
      <c r="B734" s="296" t="s">
        <v>5825</v>
      </c>
      <c r="C734" s="296" t="s">
        <v>183</v>
      </c>
      <c r="D734" s="296" t="s">
        <v>183</v>
      </c>
      <c r="E734" s="296" t="s">
        <v>183</v>
      </c>
      <c r="F734" s="296" t="s">
        <v>5826</v>
      </c>
      <c r="G734" s="296" t="s">
        <v>5827</v>
      </c>
      <c r="H734" s="296" t="s">
        <v>5828</v>
      </c>
      <c r="I734" s="296" t="s">
        <v>5820</v>
      </c>
      <c r="J734" s="296" t="s">
        <v>5829</v>
      </c>
      <c r="K734" s="296" t="s">
        <v>5830</v>
      </c>
      <c r="L734" s="296" t="s">
        <v>5831</v>
      </c>
      <c r="M734" s="296" t="s">
        <v>179</v>
      </c>
      <c r="N734" s="296" t="s">
        <v>5826</v>
      </c>
      <c r="O734" s="296" t="s">
        <v>183</v>
      </c>
      <c r="P734" s="296" t="s">
        <v>5832</v>
      </c>
      <c r="Q734" s="296" t="s">
        <v>183</v>
      </c>
      <c r="R734" s="296" t="s">
        <v>5833</v>
      </c>
      <c r="S734" s="296" t="s">
        <v>185</v>
      </c>
      <c r="T734" s="296" t="s">
        <v>185</v>
      </c>
      <c r="U734" s="296" t="s">
        <v>186</v>
      </c>
      <c r="V734" s="296" t="s">
        <v>187</v>
      </c>
      <c r="W734" s="296" t="s">
        <v>188</v>
      </c>
      <c r="X734" s="296" t="s">
        <v>189</v>
      </c>
      <c r="Y734" s="296" t="s">
        <v>183</v>
      </c>
      <c r="Z734" s="296" t="s">
        <v>183</v>
      </c>
      <c r="AA734" s="296" t="s">
        <v>183</v>
      </c>
      <c r="AB734" s="296" t="s">
        <v>183</v>
      </c>
      <c r="AC734" s="296" t="s">
        <v>5834</v>
      </c>
      <c r="AD734" s="296" t="s">
        <v>5835</v>
      </c>
      <c r="AE734" s="296" t="s">
        <v>192</v>
      </c>
      <c r="AF734" s="296" t="s">
        <v>193</v>
      </c>
      <c r="AG734" s="296">
        <v>12760.5</v>
      </c>
      <c r="AH734" s="298">
        <v>45009</v>
      </c>
      <c r="AJ734" s="296" t="s">
        <v>194</v>
      </c>
      <c r="AK734" s="299">
        <f>COUNTIF($A$3:A$917,A734)</f>
        <v>2</v>
      </c>
    </row>
    <row r="735" spans="1:37" x14ac:dyDescent="0.25">
      <c r="A735" s="296">
        <v>501490267</v>
      </c>
      <c r="B735" s="296" t="s">
        <v>5836</v>
      </c>
      <c r="C735" s="296" t="s">
        <v>183</v>
      </c>
      <c r="D735" s="296" t="s">
        <v>183</v>
      </c>
      <c r="E735" s="296" t="s">
        <v>183</v>
      </c>
      <c r="F735" s="296" t="s">
        <v>5837</v>
      </c>
      <c r="G735" s="296" t="s">
        <v>278</v>
      </c>
      <c r="H735" s="296" t="s">
        <v>5838</v>
      </c>
      <c r="I735" s="296" t="s">
        <v>5820</v>
      </c>
      <c r="J735" s="296" t="s">
        <v>5839</v>
      </c>
      <c r="K735" s="296" t="s">
        <v>5840</v>
      </c>
      <c r="L735" s="296" t="s">
        <v>5836</v>
      </c>
      <c r="M735" s="296" t="s">
        <v>179</v>
      </c>
      <c r="N735" s="296" t="s">
        <v>5837</v>
      </c>
      <c r="O735" s="296" t="s">
        <v>278</v>
      </c>
      <c r="P735" s="296" t="s">
        <v>5838</v>
      </c>
      <c r="Q735" s="296" t="s">
        <v>183</v>
      </c>
      <c r="R735" s="296" t="s">
        <v>5841</v>
      </c>
      <c r="S735" s="296" t="s">
        <v>185</v>
      </c>
      <c r="T735" s="296" t="s">
        <v>185</v>
      </c>
      <c r="U735" s="296" t="s">
        <v>186</v>
      </c>
      <c r="V735" s="296" t="s">
        <v>187</v>
      </c>
      <c r="W735" s="296" t="s">
        <v>188</v>
      </c>
      <c r="X735" s="296" t="s">
        <v>189</v>
      </c>
      <c r="Y735" s="296" t="s">
        <v>183</v>
      </c>
      <c r="Z735" s="296" t="s">
        <v>183</v>
      </c>
      <c r="AA735" s="296" t="s">
        <v>183</v>
      </c>
      <c r="AB735" s="296" t="s">
        <v>183</v>
      </c>
      <c r="AC735" s="296" t="s">
        <v>5842</v>
      </c>
      <c r="AD735" s="296" t="s">
        <v>5843</v>
      </c>
      <c r="AE735" s="296" t="s">
        <v>192</v>
      </c>
      <c r="AF735" s="296" t="s">
        <v>193</v>
      </c>
      <c r="AG735" s="296">
        <v>0</v>
      </c>
      <c r="AH735" s="298">
        <v>44356</v>
      </c>
      <c r="AJ735" s="296" t="s">
        <v>194</v>
      </c>
      <c r="AK735" s="299">
        <f>COUNTIF($A$3:A$917,A735)</f>
        <v>1</v>
      </c>
    </row>
    <row r="736" spans="1:37" x14ac:dyDescent="0.25">
      <c r="A736" s="296">
        <v>501750815</v>
      </c>
      <c r="B736" s="296" t="s">
        <v>5844</v>
      </c>
      <c r="C736" s="296" t="s">
        <v>183</v>
      </c>
      <c r="D736" s="296" t="s">
        <v>183</v>
      </c>
      <c r="E736" s="296" t="s">
        <v>183</v>
      </c>
      <c r="F736" s="296" t="s">
        <v>5845</v>
      </c>
      <c r="G736" s="296" t="s">
        <v>5846</v>
      </c>
      <c r="H736" s="296" t="s">
        <v>5847</v>
      </c>
      <c r="I736" s="296" t="s">
        <v>5820</v>
      </c>
      <c r="J736" s="296" t="s">
        <v>5848</v>
      </c>
      <c r="K736" s="296" t="s">
        <v>2986</v>
      </c>
      <c r="L736" s="296" t="s">
        <v>2987</v>
      </c>
      <c r="M736" s="296" t="s">
        <v>179</v>
      </c>
      <c r="N736" s="296" t="s">
        <v>2988</v>
      </c>
      <c r="O736" s="296" t="s">
        <v>2988</v>
      </c>
      <c r="P736" s="296" t="s">
        <v>2989</v>
      </c>
      <c r="Q736" s="296" t="s">
        <v>183</v>
      </c>
      <c r="R736" s="296" t="s">
        <v>2990</v>
      </c>
      <c r="S736" s="296" t="s">
        <v>185</v>
      </c>
      <c r="T736" s="296" t="s">
        <v>185</v>
      </c>
      <c r="U736" s="296" t="s">
        <v>186</v>
      </c>
      <c r="V736" s="296" t="s">
        <v>187</v>
      </c>
      <c r="W736" s="296" t="s">
        <v>188</v>
      </c>
      <c r="X736" s="296" t="s">
        <v>189</v>
      </c>
      <c r="Y736" s="296" t="s">
        <v>183</v>
      </c>
      <c r="Z736" s="296" t="s">
        <v>183</v>
      </c>
      <c r="AA736" s="296" t="s">
        <v>183</v>
      </c>
      <c r="AB736" s="296" t="s">
        <v>183</v>
      </c>
      <c r="AC736" s="296" t="s">
        <v>2991</v>
      </c>
      <c r="AD736" s="296" t="s">
        <v>5849</v>
      </c>
      <c r="AE736" s="296" t="s">
        <v>192</v>
      </c>
      <c r="AF736" s="296" t="s">
        <v>193</v>
      </c>
      <c r="AG736" s="296">
        <v>0</v>
      </c>
      <c r="AH736" s="298">
        <v>36692</v>
      </c>
      <c r="AJ736" s="296" t="s">
        <v>194</v>
      </c>
      <c r="AK736" s="299">
        <f>COUNTIF($A$3:A$917,A736)</f>
        <v>1</v>
      </c>
    </row>
    <row r="737" spans="1:37" x14ac:dyDescent="0.25">
      <c r="A737" s="296">
        <v>503460489</v>
      </c>
      <c r="B737" s="296" t="s">
        <v>5850</v>
      </c>
      <c r="C737" s="296" t="s">
        <v>183</v>
      </c>
      <c r="D737" s="296" t="s">
        <v>183</v>
      </c>
      <c r="E737" s="296" t="s">
        <v>183</v>
      </c>
      <c r="F737" s="296" t="s">
        <v>5851</v>
      </c>
      <c r="G737" s="296" t="s">
        <v>5851</v>
      </c>
      <c r="H737" s="296" t="s">
        <v>5852</v>
      </c>
      <c r="I737" s="296" t="s">
        <v>5820</v>
      </c>
      <c r="J737" s="296" t="s">
        <v>5853</v>
      </c>
      <c r="K737" s="296" t="s">
        <v>5854</v>
      </c>
      <c r="L737" s="296" t="s">
        <v>5850</v>
      </c>
      <c r="M737" s="296" t="s">
        <v>179</v>
      </c>
      <c r="N737" s="296" t="s">
        <v>5851</v>
      </c>
      <c r="O737" s="296" t="s">
        <v>5851</v>
      </c>
      <c r="P737" s="296" t="s">
        <v>5852</v>
      </c>
      <c r="Q737" s="296" t="s">
        <v>183</v>
      </c>
      <c r="R737" s="296" t="s">
        <v>5855</v>
      </c>
      <c r="S737" s="296" t="s">
        <v>185</v>
      </c>
      <c r="T737" s="296" t="s">
        <v>185</v>
      </c>
      <c r="U737" s="296" t="s">
        <v>186</v>
      </c>
      <c r="V737" s="296" t="s">
        <v>187</v>
      </c>
      <c r="W737" s="296" t="s">
        <v>188</v>
      </c>
      <c r="X737" s="296" t="s">
        <v>189</v>
      </c>
      <c r="Y737" s="296" t="s">
        <v>183</v>
      </c>
      <c r="Z737" s="296" t="s">
        <v>183</v>
      </c>
      <c r="AA737" s="296" t="s">
        <v>183</v>
      </c>
      <c r="AB737" s="296" t="s">
        <v>183</v>
      </c>
      <c r="AC737" s="296" t="s">
        <v>237</v>
      </c>
      <c r="AD737" s="296" t="s">
        <v>5856</v>
      </c>
      <c r="AE737" s="296" t="s">
        <v>192</v>
      </c>
      <c r="AF737" s="296" t="s">
        <v>193</v>
      </c>
      <c r="AG737" s="296">
        <v>0</v>
      </c>
      <c r="AH737" s="298">
        <v>41841</v>
      </c>
      <c r="AJ737" s="296" t="s">
        <v>194</v>
      </c>
      <c r="AK737" s="299">
        <f>COUNTIF($A$3:A$917,A737)</f>
        <v>2</v>
      </c>
    </row>
    <row r="738" spans="1:37" x14ac:dyDescent="0.25">
      <c r="A738" s="296">
        <v>503430853</v>
      </c>
      <c r="B738" s="296" t="s">
        <v>5857</v>
      </c>
      <c r="C738" s="296" t="s">
        <v>183</v>
      </c>
      <c r="D738" s="296" t="s">
        <v>183</v>
      </c>
      <c r="E738" s="296" t="s">
        <v>183</v>
      </c>
      <c r="F738" s="296" t="s">
        <v>5858</v>
      </c>
      <c r="G738" s="296" t="s">
        <v>5858</v>
      </c>
      <c r="H738" s="296" t="s">
        <v>5859</v>
      </c>
      <c r="I738" s="296" t="s">
        <v>5820</v>
      </c>
      <c r="J738" s="296" t="s">
        <v>5860</v>
      </c>
      <c r="K738" s="296" t="s">
        <v>5861</v>
      </c>
      <c r="L738" s="296" t="s">
        <v>5862</v>
      </c>
      <c r="M738" s="296" t="s">
        <v>179</v>
      </c>
      <c r="N738" s="296" t="s">
        <v>5863</v>
      </c>
      <c r="O738" s="296" t="s">
        <v>278</v>
      </c>
      <c r="P738" s="296" t="s">
        <v>183</v>
      </c>
      <c r="Q738" s="296" t="s">
        <v>183</v>
      </c>
      <c r="R738" s="296" t="s">
        <v>5864</v>
      </c>
      <c r="S738" s="296" t="s">
        <v>185</v>
      </c>
      <c r="T738" s="296" t="s">
        <v>185</v>
      </c>
      <c r="U738" s="296" t="s">
        <v>186</v>
      </c>
      <c r="V738" s="296" t="s">
        <v>187</v>
      </c>
      <c r="W738" s="296" t="s">
        <v>188</v>
      </c>
      <c r="X738" s="296" t="s">
        <v>189</v>
      </c>
      <c r="Y738" s="296" t="s">
        <v>183</v>
      </c>
      <c r="Z738" s="296" t="s">
        <v>183</v>
      </c>
      <c r="AA738" s="296" t="s">
        <v>183</v>
      </c>
      <c r="AB738" s="296" t="s">
        <v>183</v>
      </c>
      <c r="AC738" s="296" t="s">
        <v>5865</v>
      </c>
      <c r="AD738" s="296" t="s">
        <v>5866</v>
      </c>
      <c r="AE738" s="296" t="s">
        <v>192</v>
      </c>
      <c r="AF738" s="296" t="s">
        <v>193</v>
      </c>
      <c r="AG738" s="296">
        <v>0</v>
      </c>
      <c r="AH738" s="298">
        <v>42991</v>
      </c>
      <c r="AJ738" s="296" t="s">
        <v>194</v>
      </c>
      <c r="AK738" s="299">
        <f>COUNTIF($A$3:A$917,A738)</f>
        <v>1</v>
      </c>
    </row>
    <row r="739" spans="1:37" x14ac:dyDescent="0.25">
      <c r="A739" s="296">
        <v>601550791</v>
      </c>
      <c r="B739" s="296" t="s">
        <v>5867</v>
      </c>
      <c r="C739" s="296" t="s">
        <v>183</v>
      </c>
      <c r="D739" s="296" t="s">
        <v>183</v>
      </c>
      <c r="E739" s="296" t="s">
        <v>183</v>
      </c>
      <c r="F739" s="296" t="s">
        <v>5868</v>
      </c>
      <c r="G739" s="296" t="s">
        <v>183</v>
      </c>
      <c r="H739" s="296" t="s">
        <v>5869</v>
      </c>
      <c r="I739" s="296" t="s">
        <v>5820</v>
      </c>
      <c r="J739" s="296" t="s">
        <v>5870</v>
      </c>
      <c r="K739" s="296" t="s">
        <v>3071</v>
      </c>
      <c r="L739" s="296" t="s">
        <v>3072</v>
      </c>
      <c r="M739" s="296" t="s">
        <v>179</v>
      </c>
      <c r="N739" s="296" t="s">
        <v>3073</v>
      </c>
      <c r="O739" s="296" t="s">
        <v>183</v>
      </c>
      <c r="P739" s="296" t="s">
        <v>3074</v>
      </c>
      <c r="Q739" s="296" t="s">
        <v>183</v>
      </c>
      <c r="R739" s="296" t="s">
        <v>3075</v>
      </c>
      <c r="S739" s="296" t="s">
        <v>185</v>
      </c>
      <c r="T739" s="296" t="s">
        <v>185</v>
      </c>
      <c r="U739" s="296" t="s">
        <v>186</v>
      </c>
      <c r="V739" s="296" t="s">
        <v>187</v>
      </c>
      <c r="W739" s="296" t="s">
        <v>188</v>
      </c>
      <c r="X739" s="296" t="s">
        <v>189</v>
      </c>
      <c r="Y739" s="296" t="s">
        <v>183</v>
      </c>
      <c r="Z739" s="296" t="s">
        <v>183</v>
      </c>
      <c r="AA739" s="296" t="s">
        <v>183</v>
      </c>
      <c r="AB739" s="296" t="s">
        <v>183</v>
      </c>
      <c r="AC739" s="296" t="s">
        <v>3076</v>
      </c>
      <c r="AD739" s="296" t="s">
        <v>5871</v>
      </c>
      <c r="AE739" s="296" t="s">
        <v>192</v>
      </c>
      <c r="AF739" s="296" t="s">
        <v>193</v>
      </c>
      <c r="AG739" s="296">
        <v>0</v>
      </c>
      <c r="AH739" s="298">
        <v>44909</v>
      </c>
      <c r="AJ739" s="296" t="s">
        <v>194</v>
      </c>
      <c r="AK739" s="299">
        <f>COUNTIF($A$3:A$917,A739)</f>
        <v>1</v>
      </c>
    </row>
    <row r="740" spans="1:37" x14ac:dyDescent="0.25">
      <c r="A740" s="296">
        <v>3101243180</v>
      </c>
      <c r="B740" s="296" t="s">
        <v>5872</v>
      </c>
      <c r="C740" s="296" t="s">
        <v>183</v>
      </c>
      <c r="D740" s="296" t="s">
        <v>183</v>
      </c>
      <c r="E740" s="296" t="s">
        <v>183</v>
      </c>
      <c r="F740" s="296" t="s">
        <v>5873</v>
      </c>
      <c r="G740" s="296" t="s">
        <v>5874</v>
      </c>
      <c r="H740" s="296" t="s">
        <v>5875</v>
      </c>
      <c r="I740" s="296" t="s">
        <v>5876</v>
      </c>
      <c r="J740" s="296" t="s">
        <v>5877</v>
      </c>
      <c r="K740" s="296" t="s">
        <v>5878</v>
      </c>
      <c r="L740" s="296" t="s">
        <v>5879</v>
      </c>
      <c r="M740" s="296" t="s">
        <v>179</v>
      </c>
      <c r="N740" s="296" t="s">
        <v>5873</v>
      </c>
      <c r="O740" s="296" t="s">
        <v>183</v>
      </c>
      <c r="P740" s="296" t="s">
        <v>5875</v>
      </c>
      <c r="Q740" s="296" t="s">
        <v>183</v>
      </c>
      <c r="R740" s="296" t="s">
        <v>5880</v>
      </c>
      <c r="S740" s="296" t="s">
        <v>185</v>
      </c>
      <c r="T740" s="296" t="s">
        <v>185</v>
      </c>
      <c r="U740" s="296" t="s">
        <v>186</v>
      </c>
      <c r="V740" s="296" t="s">
        <v>187</v>
      </c>
      <c r="W740" s="296" t="s">
        <v>188</v>
      </c>
      <c r="X740" s="296" t="s">
        <v>189</v>
      </c>
      <c r="Y740" s="296" t="s">
        <v>183</v>
      </c>
      <c r="Z740" s="296" t="s">
        <v>183</v>
      </c>
      <c r="AA740" s="296" t="s">
        <v>183</v>
      </c>
      <c r="AB740" s="296" t="s">
        <v>183</v>
      </c>
      <c r="AC740" s="296" t="s">
        <v>5881</v>
      </c>
      <c r="AD740" s="296" t="s">
        <v>5882</v>
      </c>
      <c r="AE740" s="296" t="s">
        <v>192</v>
      </c>
      <c r="AF740" s="296" t="s">
        <v>193</v>
      </c>
      <c r="AG740" s="296">
        <v>0</v>
      </c>
      <c r="AH740" s="298">
        <v>45030</v>
      </c>
      <c r="AJ740" s="296" t="s">
        <v>194</v>
      </c>
      <c r="AK740" s="299">
        <f>COUNTIF($A$3:A$917,A740)</f>
        <v>1</v>
      </c>
    </row>
    <row r="741" spans="1:37" x14ac:dyDescent="0.25">
      <c r="A741" s="296">
        <v>501870893</v>
      </c>
      <c r="B741" s="296" t="s">
        <v>5883</v>
      </c>
      <c r="C741" s="296" t="s">
        <v>183</v>
      </c>
      <c r="D741" s="296" t="s">
        <v>183</v>
      </c>
      <c r="E741" s="296" t="s">
        <v>183</v>
      </c>
      <c r="F741" s="296" t="s">
        <v>5884</v>
      </c>
      <c r="G741" s="296" t="s">
        <v>5884</v>
      </c>
      <c r="H741" s="296" t="s">
        <v>5885</v>
      </c>
      <c r="I741" s="296" t="s">
        <v>5886</v>
      </c>
      <c r="J741" s="296" t="s">
        <v>5887</v>
      </c>
      <c r="K741" s="296" t="s">
        <v>659</v>
      </c>
      <c r="L741" s="296" t="s">
        <v>655</v>
      </c>
      <c r="M741" s="296" t="s">
        <v>179</v>
      </c>
      <c r="N741" s="296" t="s">
        <v>656</v>
      </c>
      <c r="O741" s="296" t="s">
        <v>656</v>
      </c>
      <c r="P741" s="296" t="s">
        <v>657</v>
      </c>
      <c r="Q741" s="296" t="s">
        <v>183</v>
      </c>
      <c r="R741" s="296" t="s">
        <v>660</v>
      </c>
      <c r="S741" s="296" t="s">
        <v>185</v>
      </c>
      <c r="T741" s="296" t="s">
        <v>185</v>
      </c>
      <c r="U741" s="296" t="s">
        <v>186</v>
      </c>
      <c r="V741" s="296" t="s">
        <v>187</v>
      </c>
      <c r="W741" s="296" t="s">
        <v>188</v>
      </c>
      <c r="X741" s="296" t="s">
        <v>189</v>
      </c>
      <c r="Y741" s="296" t="s">
        <v>183</v>
      </c>
      <c r="Z741" s="296" t="s">
        <v>183</v>
      </c>
      <c r="AA741" s="296" t="s">
        <v>183</v>
      </c>
      <c r="AB741" s="296" t="s">
        <v>183</v>
      </c>
      <c r="AC741" s="296" t="s">
        <v>661</v>
      </c>
      <c r="AD741" s="296" t="s">
        <v>5888</v>
      </c>
      <c r="AE741" s="296" t="s">
        <v>192</v>
      </c>
      <c r="AF741" s="296" t="s">
        <v>193</v>
      </c>
      <c r="AG741" s="296">
        <v>0</v>
      </c>
      <c r="AH741" s="298">
        <v>44582</v>
      </c>
      <c r="AJ741" s="296" t="s">
        <v>194</v>
      </c>
      <c r="AK741" s="299">
        <f>COUNTIF($A$3:A$917,A741)</f>
        <v>1</v>
      </c>
    </row>
    <row r="742" spans="1:37" x14ac:dyDescent="0.25">
      <c r="A742" s="296">
        <v>502130083</v>
      </c>
      <c r="B742" s="296" t="s">
        <v>5889</v>
      </c>
      <c r="C742" s="296" t="s">
        <v>183</v>
      </c>
      <c r="D742" s="296" t="s">
        <v>183</v>
      </c>
      <c r="E742" s="296" t="s">
        <v>183</v>
      </c>
      <c r="F742" s="296" t="s">
        <v>5890</v>
      </c>
      <c r="G742" s="296" t="s">
        <v>5891</v>
      </c>
      <c r="H742" s="296" t="s">
        <v>5892</v>
      </c>
      <c r="I742" s="296" t="s">
        <v>5886</v>
      </c>
      <c r="J742" s="296" t="s">
        <v>5893</v>
      </c>
      <c r="K742" s="296" t="s">
        <v>5894</v>
      </c>
      <c r="L742" s="296" t="s">
        <v>5895</v>
      </c>
      <c r="M742" s="296" t="s">
        <v>179</v>
      </c>
      <c r="N742" s="296" t="s">
        <v>5890</v>
      </c>
      <c r="O742" s="296" t="s">
        <v>278</v>
      </c>
      <c r="P742" s="296" t="s">
        <v>183</v>
      </c>
      <c r="Q742" s="296" t="s">
        <v>183</v>
      </c>
      <c r="R742" s="296" t="s">
        <v>5896</v>
      </c>
      <c r="S742" s="296" t="s">
        <v>185</v>
      </c>
      <c r="T742" s="296" t="s">
        <v>185</v>
      </c>
      <c r="U742" s="296" t="s">
        <v>186</v>
      </c>
      <c r="V742" s="296" t="s">
        <v>187</v>
      </c>
      <c r="W742" s="296" t="s">
        <v>188</v>
      </c>
      <c r="X742" s="296" t="s">
        <v>189</v>
      </c>
      <c r="Y742" s="296" t="s">
        <v>183</v>
      </c>
      <c r="Z742" s="296" t="s">
        <v>183</v>
      </c>
      <c r="AA742" s="296" t="s">
        <v>183</v>
      </c>
      <c r="AB742" s="296" t="s">
        <v>183</v>
      </c>
      <c r="AC742" s="296" t="s">
        <v>5897</v>
      </c>
      <c r="AD742" s="296" t="s">
        <v>5898</v>
      </c>
      <c r="AE742" s="296" t="s">
        <v>192</v>
      </c>
      <c r="AF742" s="296" t="s">
        <v>193</v>
      </c>
      <c r="AG742" s="296">
        <v>11240</v>
      </c>
      <c r="AH742" s="298">
        <v>36566</v>
      </c>
      <c r="AJ742" s="296" t="s">
        <v>194</v>
      </c>
      <c r="AK742" s="299">
        <f>COUNTIF($A$3:A$917,A742)</f>
        <v>1</v>
      </c>
    </row>
    <row r="743" spans="1:37" x14ac:dyDescent="0.25">
      <c r="A743" s="296">
        <v>501210462</v>
      </c>
      <c r="B743" s="296" t="s">
        <v>5899</v>
      </c>
      <c r="C743" s="296" t="s">
        <v>183</v>
      </c>
      <c r="D743" s="296" t="s">
        <v>183</v>
      </c>
      <c r="E743" s="296" t="s">
        <v>183</v>
      </c>
      <c r="F743" s="296" t="s">
        <v>5900</v>
      </c>
      <c r="G743" s="296" t="s">
        <v>5901</v>
      </c>
      <c r="H743" s="296" t="s">
        <v>5902</v>
      </c>
      <c r="I743" s="296" t="s">
        <v>5903</v>
      </c>
      <c r="J743" s="296" t="s">
        <v>5904</v>
      </c>
      <c r="K743" s="296" t="s">
        <v>5905</v>
      </c>
      <c r="L743" s="296" t="s">
        <v>5906</v>
      </c>
      <c r="M743" s="296" t="s">
        <v>179</v>
      </c>
      <c r="N743" s="296" t="s">
        <v>5900</v>
      </c>
      <c r="O743" s="296" t="s">
        <v>278</v>
      </c>
      <c r="P743" s="296" t="s">
        <v>5907</v>
      </c>
      <c r="Q743" s="296" t="s">
        <v>183</v>
      </c>
      <c r="R743" s="296" t="s">
        <v>5908</v>
      </c>
      <c r="S743" s="296" t="s">
        <v>185</v>
      </c>
      <c r="T743" s="296" t="s">
        <v>185</v>
      </c>
      <c r="U743" s="296" t="s">
        <v>186</v>
      </c>
      <c r="V743" s="296" t="s">
        <v>187</v>
      </c>
      <c r="W743" s="296" t="s">
        <v>188</v>
      </c>
      <c r="X743" s="296" t="s">
        <v>189</v>
      </c>
      <c r="Y743" s="296" t="s">
        <v>183</v>
      </c>
      <c r="Z743" s="296" t="s">
        <v>183</v>
      </c>
      <c r="AA743" s="296" t="s">
        <v>183</v>
      </c>
      <c r="AB743" s="296" t="s">
        <v>183</v>
      </c>
      <c r="AC743" s="296" t="s">
        <v>5909</v>
      </c>
      <c r="AD743" s="296" t="s">
        <v>5910</v>
      </c>
      <c r="AE743" s="296" t="s">
        <v>192</v>
      </c>
      <c r="AF743" s="296" t="s">
        <v>193</v>
      </c>
      <c r="AG743" s="296">
        <v>0</v>
      </c>
      <c r="AH743" s="298">
        <v>44350</v>
      </c>
      <c r="AJ743" s="296" t="s">
        <v>194</v>
      </c>
      <c r="AK743" s="299">
        <f>COUNTIF($A$3:A$917,A743)</f>
        <v>1</v>
      </c>
    </row>
    <row r="744" spans="1:37" x14ac:dyDescent="0.25">
      <c r="A744" s="296">
        <v>501610692</v>
      </c>
      <c r="B744" s="296" t="s">
        <v>5911</v>
      </c>
      <c r="C744" s="296" t="s">
        <v>183</v>
      </c>
      <c r="D744" s="296" t="s">
        <v>183</v>
      </c>
      <c r="E744" s="296" t="s">
        <v>183</v>
      </c>
      <c r="F744" s="296" t="s">
        <v>5912</v>
      </c>
      <c r="G744" s="296" t="s">
        <v>5913</v>
      </c>
      <c r="H744" s="296" t="s">
        <v>262</v>
      </c>
      <c r="I744" s="296" t="s">
        <v>5903</v>
      </c>
      <c r="J744" s="296" t="s">
        <v>5914</v>
      </c>
      <c r="K744" s="296" t="s">
        <v>5915</v>
      </c>
      <c r="L744" s="296" t="s">
        <v>5916</v>
      </c>
      <c r="M744" s="296" t="s">
        <v>179</v>
      </c>
      <c r="N744" s="296" t="s">
        <v>5917</v>
      </c>
      <c r="O744" s="296" t="s">
        <v>183</v>
      </c>
      <c r="P744" s="296" t="s">
        <v>5918</v>
      </c>
      <c r="Q744" s="296" t="s">
        <v>183</v>
      </c>
      <c r="R744" s="296" t="s">
        <v>5919</v>
      </c>
      <c r="S744" s="296" t="s">
        <v>185</v>
      </c>
      <c r="T744" s="296" t="s">
        <v>185</v>
      </c>
      <c r="U744" s="296" t="s">
        <v>186</v>
      </c>
      <c r="V744" s="296" t="s">
        <v>187</v>
      </c>
      <c r="W744" s="296" t="s">
        <v>188</v>
      </c>
      <c r="X744" s="296" t="s">
        <v>189</v>
      </c>
      <c r="Y744" s="296" t="s">
        <v>183</v>
      </c>
      <c r="Z744" s="296" t="s">
        <v>183</v>
      </c>
      <c r="AA744" s="296" t="s">
        <v>183</v>
      </c>
      <c r="AB744" s="296" t="s">
        <v>183</v>
      </c>
      <c r="AC744" s="296" t="s">
        <v>5920</v>
      </c>
      <c r="AD744" s="296" t="s">
        <v>5921</v>
      </c>
      <c r="AE744" s="296" t="s">
        <v>192</v>
      </c>
      <c r="AF744" s="296" t="s">
        <v>193</v>
      </c>
      <c r="AG744" s="296">
        <v>0</v>
      </c>
      <c r="AH744" s="298">
        <v>45217</v>
      </c>
      <c r="AJ744" s="296" t="s">
        <v>194</v>
      </c>
      <c r="AK744" s="299">
        <f>COUNTIF($A$3:A$917,A744)</f>
        <v>1</v>
      </c>
    </row>
    <row r="745" spans="1:37" x14ac:dyDescent="0.25">
      <c r="A745" s="296">
        <v>502000909</v>
      </c>
      <c r="B745" s="296" t="s">
        <v>5922</v>
      </c>
      <c r="C745" s="296" t="s">
        <v>183</v>
      </c>
      <c r="D745" s="296" t="s">
        <v>183</v>
      </c>
      <c r="E745" s="296" t="s">
        <v>183</v>
      </c>
      <c r="F745" s="296" t="s">
        <v>5923</v>
      </c>
      <c r="G745" s="296" t="s">
        <v>183</v>
      </c>
      <c r="H745" s="296" t="s">
        <v>5924</v>
      </c>
      <c r="I745" s="296" t="s">
        <v>5903</v>
      </c>
      <c r="J745" s="296" t="s">
        <v>5925</v>
      </c>
      <c r="K745" s="296" t="s">
        <v>5926</v>
      </c>
      <c r="L745" s="296" t="s">
        <v>5922</v>
      </c>
      <c r="M745" s="296" t="s">
        <v>179</v>
      </c>
      <c r="N745" s="296" t="s">
        <v>5923</v>
      </c>
      <c r="O745" s="296" t="s">
        <v>183</v>
      </c>
      <c r="P745" s="296" t="s">
        <v>5924</v>
      </c>
      <c r="Q745" s="296" t="s">
        <v>183</v>
      </c>
      <c r="R745" s="296" t="s">
        <v>5927</v>
      </c>
      <c r="S745" s="296" t="s">
        <v>185</v>
      </c>
      <c r="T745" s="296" t="s">
        <v>185</v>
      </c>
      <c r="U745" s="296" t="s">
        <v>186</v>
      </c>
      <c r="V745" s="296" t="s">
        <v>187</v>
      </c>
      <c r="W745" s="296" t="s">
        <v>188</v>
      </c>
      <c r="X745" s="296" t="s">
        <v>189</v>
      </c>
      <c r="Y745" s="296" t="s">
        <v>183</v>
      </c>
      <c r="Z745" s="296" t="s">
        <v>183</v>
      </c>
      <c r="AA745" s="296" t="s">
        <v>183</v>
      </c>
      <c r="AB745" s="296" t="s">
        <v>183</v>
      </c>
      <c r="AC745" s="296" t="s">
        <v>5928</v>
      </c>
      <c r="AD745" s="296" t="s">
        <v>5929</v>
      </c>
      <c r="AE745" s="296" t="s">
        <v>192</v>
      </c>
      <c r="AF745" s="296" t="s">
        <v>193</v>
      </c>
      <c r="AG745" s="296">
        <v>0</v>
      </c>
      <c r="AH745" s="298">
        <v>36669</v>
      </c>
      <c r="AJ745" s="296" t="s">
        <v>194</v>
      </c>
      <c r="AK745" s="299">
        <f>COUNTIF($A$3:A$917,A745)</f>
        <v>1</v>
      </c>
    </row>
    <row r="746" spans="1:37" x14ac:dyDescent="0.25">
      <c r="A746" s="296">
        <v>503230936</v>
      </c>
      <c r="B746" s="296" t="s">
        <v>5930</v>
      </c>
      <c r="C746" s="296" t="s">
        <v>183</v>
      </c>
      <c r="D746" s="296" t="s">
        <v>183</v>
      </c>
      <c r="E746" s="296" t="s">
        <v>183</v>
      </c>
      <c r="F746" s="296" t="s">
        <v>5931</v>
      </c>
      <c r="G746" s="296" t="s">
        <v>5931</v>
      </c>
      <c r="H746" s="296" t="s">
        <v>5932</v>
      </c>
      <c r="I746" s="296" t="s">
        <v>5903</v>
      </c>
      <c r="J746" s="296" t="s">
        <v>5933</v>
      </c>
      <c r="K746" s="296" t="s">
        <v>5782</v>
      </c>
      <c r="L746" s="296" t="s">
        <v>5783</v>
      </c>
      <c r="M746" s="296" t="s">
        <v>179</v>
      </c>
      <c r="N746" s="296" t="s">
        <v>5784</v>
      </c>
      <c r="O746" s="296" t="s">
        <v>5785</v>
      </c>
      <c r="P746" s="296" t="s">
        <v>5786</v>
      </c>
      <c r="Q746" s="296" t="s">
        <v>183</v>
      </c>
      <c r="R746" s="296" t="s">
        <v>5787</v>
      </c>
      <c r="S746" s="296" t="s">
        <v>185</v>
      </c>
      <c r="T746" s="296" t="s">
        <v>185</v>
      </c>
      <c r="U746" s="296" t="s">
        <v>186</v>
      </c>
      <c r="V746" s="296" t="s">
        <v>187</v>
      </c>
      <c r="W746" s="296" t="s">
        <v>188</v>
      </c>
      <c r="X746" s="296" t="s">
        <v>189</v>
      </c>
      <c r="Y746" s="296" t="s">
        <v>183</v>
      </c>
      <c r="Z746" s="296" t="s">
        <v>183</v>
      </c>
      <c r="AA746" s="296" t="s">
        <v>183</v>
      </c>
      <c r="AB746" s="296" t="s">
        <v>183</v>
      </c>
      <c r="AC746" s="296" t="s">
        <v>5788</v>
      </c>
      <c r="AD746" s="296" t="s">
        <v>5934</v>
      </c>
      <c r="AE746" s="296" t="s">
        <v>192</v>
      </c>
      <c r="AF746" s="296" t="s">
        <v>193</v>
      </c>
      <c r="AG746" s="296">
        <v>0</v>
      </c>
      <c r="AH746" s="298">
        <v>45028</v>
      </c>
      <c r="AJ746" s="296" t="s">
        <v>194</v>
      </c>
      <c r="AK746" s="299">
        <f>COUNTIF($A$3:A$917,A746)</f>
        <v>1</v>
      </c>
    </row>
    <row r="747" spans="1:37" x14ac:dyDescent="0.25">
      <c r="A747" s="296">
        <v>107640122</v>
      </c>
      <c r="B747" s="296" t="s">
        <v>2971</v>
      </c>
      <c r="C747" s="296" t="s">
        <v>183</v>
      </c>
      <c r="D747" s="296" t="s">
        <v>183</v>
      </c>
      <c r="E747" s="296" t="s">
        <v>183</v>
      </c>
      <c r="F747" s="296" t="s">
        <v>2972</v>
      </c>
      <c r="G747" s="296" t="s">
        <v>278</v>
      </c>
      <c r="H747" s="296" t="s">
        <v>2973</v>
      </c>
      <c r="I747" s="296" t="s">
        <v>5903</v>
      </c>
      <c r="J747" s="296" t="s">
        <v>5935</v>
      </c>
      <c r="K747" s="296" t="s">
        <v>2975</v>
      </c>
      <c r="L747" s="296" t="s">
        <v>2976</v>
      </c>
      <c r="M747" s="296" t="s">
        <v>179</v>
      </c>
      <c r="N747" s="296" t="s">
        <v>2977</v>
      </c>
      <c r="O747" s="296" t="s">
        <v>183</v>
      </c>
      <c r="P747" s="296" t="s">
        <v>2978</v>
      </c>
      <c r="Q747" s="296" t="s">
        <v>183</v>
      </c>
      <c r="R747" s="296" t="s">
        <v>2979</v>
      </c>
      <c r="S747" s="296" t="s">
        <v>185</v>
      </c>
      <c r="T747" s="296" t="s">
        <v>185</v>
      </c>
      <c r="U747" s="296" t="s">
        <v>186</v>
      </c>
      <c r="V747" s="296" t="s">
        <v>187</v>
      </c>
      <c r="W747" s="296" t="s">
        <v>188</v>
      </c>
      <c r="X747" s="296" t="s">
        <v>189</v>
      </c>
      <c r="Y747" s="296" t="s">
        <v>183</v>
      </c>
      <c r="Z747" s="296" t="s">
        <v>183</v>
      </c>
      <c r="AA747" s="296" t="s">
        <v>183</v>
      </c>
      <c r="AB747" s="296" t="s">
        <v>183</v>
      </c>
      <c r="AC747" s="296" t="s">
        <v>2980</v>
      </c>
      <c r="AD747" s="296" t="s">
        <v>5936</v>
      </c>
      <c r="AE747" s="296" t="s">
        <v>192</v>
      </c>
      <c r="AF747" s="296" t="s">
        <v>193</v>
      </c>
      <c r="AG747" s="296">
        <v>0</v>
      </c>
      <c r="AH747" s="298">
        <v>43557</v>
      </c>
      <c r="AJ747" s="296" t="s">
        <v>194</v>
      </c>
      <c r="AK747" s="299">
        <f>COUNTIF($A$3:A$917,A747)</f>
        <v>4</v>
      </c>
    </row>
    <row r="748" spans="1:37" x14ac:dyDescent="0.25">
      <c r="A748" s="296">
        <v>107640122</v>
      </c>
      <c r="B748" s="296" t="s">
        <v>2971</v>
      </c>
      <c r="C748" s="296" t="s">
        <v>183</v>
      </c>
      <c r="D748" s="296" t="s">
        <v>183</v>
      </c>
      <c r="E748" s="296" t="s">
        <v>183</v>
      </c>
      <c r="F748" s="296" t="s">
        <v>2972</v>
      </c>
      <c r="G748" s="296" t="s">
        <v>278</v>
      </c>
      <c r="H748" s="296" t="s">
        <v>2973</v>
      </c>
      <c r="I748" s="296" t="s">
        <v>5937</v>
      </c>
      <c r="J748" s="296" t="s">
        <v>5938</v>
      </c>
      <c r="K748" s="296" t="s">
        <v>5939</v>
      </c>
      <c r="L748" s="296" t="s">
        <v>5940</v>
      </c>
      <c r="M748" s="296" t="s">
        <v>179</v>
      </c>
      <c r="N748" s="296" t="s">
        <v>2972</v>
      </c>
      <c r="O748" s="296" t="s">
        <v>183</v>
      </c>
      <c r="P748" s="296" t="s">
        <v>2973</v>
      </c>
      <c r="Q748" s="296" t="s">
        <v>183</v>
      </c>
      <c r="R748" s="296" t="s">
        <v>5941</v>
      </c>
      <c r="S748" s="296" t="s">
        <v>185</v>
      </c>
      <c r="T748" s="296" t="s">
        <v>185</v>
      </c>
      <c r="U748" s="296" t="s">
        <v>186</v>
      </c>
      <c r="V748" s="296" t="s">
        <v>187</v>
      </c>
      <c r="W748" s="296" t="s">
        <v>188</v>
      </c>
      <c r="X748" s="296" t="s">
        <v>189</v>
      </c>
      <c r="Y748" s="296" t="s">
        <v>183</v>
      </c>
      <c r="Z748" s="296" t="s">
        <v>183</v>
      </c>
      <c r="AA748" s="296" t="s">
        <v>183</v>
      </c>
      <c r="AB748" s="296" t="s">
        <v>183</v>
      </c>
      <c r="AC748" s="296" t="s">
        <v>5942</v>
      </c>
      <c r="AD748" s="296" t="s">
        <v>5943</v>
      </c>
      <c r="AE748" s="296" t="s">
        <v>192</v>
      </c>
      <c r="AF748" s="296" t="s">
        <v>193</v>
      </c>
      <c r="AG748" s="296">
        <v>0</v>
      </c>
      <c r="AH748" s="298">
        <v>38021</v>
      </c>
      <c r="AJ748" s="296" t="s">
        <v>194</v>
      </c>
      <c r="AK748" s="299">
        <f>COUNTIF($A$3:A$917,A748)</f>
        <v>4</v>
      </c>
    </row>
    <row r="749" spans="1:37" x14ac:dyDescent="0.25">
      <c r="A749" s="296">
        <v>501780232</v>
      </c>
      <c r="B749" s="296" t="s">
        <v>5944</v>
      </c>
      <c r="C749" s="296" t="s">
        <v>183</v>
      </c>
      <c r="D749" s="296" t="s">
        <v>183</v>
      </c>
      <c r="E749" s="296" t="s">
        <v>183</v>
      </c>
      <c r="F749" s="296" t="s">
        <v>5945</v>
      </c>
      <c r="G749" s="296" t="s">
        <v>5946</v>
      </c>
      <c r="H749" s="296" t="s">
        <v>5947</v>
      </c>
      <c r="I749" s="296" t="s">
        <v>5937</v>
      </c>
      <c r="J749" s="296" t="s">
        <v>5948</v>
      </c>
      <c r="K749" s="296" t="s">
        <v>5949</v>
      </c>
      <c r="L749" s="296" t="s">
        <v>5950</v>
      </c>
      <c r="M749" s="296" t="s">
        <v>179</v>
      </c>
      <c r="N749" s="296" t="s">
        <v>5951</v>
      </c>
      <c r="O749" s="296" t="s">
        <v>183</v>
      </c>
      <c r="P749" s="296" t="s">
        <v>5952</v>
      </c>
      <c r="Q749" s="296" t="s">
        <v>183</v>
      </c>
      <c r="R749" s="296" t="s">
        <v>5953</v>
      </c>
      <c r="S749" s="296" t="s">
        <v>185</v>
      </c>
      <c r="T749" s="296" t="s">
        <v>185</v>
      </c>
      <c r="U749" s="296" t="s">
        <v>186</v>
      </c>
      <c r="V749" s="296" t="s">
        <v>187</v>
      </c>
      <c r="W749" s="296" t="s">
        <v>188</v>
      </c>
      <c r="X749" s="296" t="s">
        <v>189</v>
      </c>
      <c r="Y749" s="296" t="s">
        <v>183</v>
      </c>
      <c r="Z749" s="296" t="s">
        <v>183</v>
      </c>
      <c r="AA749" s="296" t="s">
        <v>183</v>
      </c>
      <c r="AB749" s="296" t="s">
        <v>183</v>
      </c>
      <c r="AC749" s="296" t="s">
        <v>5954</v>
      </c>
      <c r="AD749" s="296" t="s">
        <v>5955</v>
      </c>
      <c r="AE749" s="296" t="s">
        <v>192</v>
      </c>
      <c r="AF749" s="296" t="s">
        <v>193</v>
      </c>
      <c r="AG749" s="296">
        <v>17599.75</v>
      </c>
      <c r="AH749" s="298">
        <v>36563</v>
      </c>
      <c r="AJ749" s="296" t="s">
        <v>194</v>
      </c>
      <c r="AK749" s="299">
        <f>COUNTIF($A$3:A$917,A749)</f>
        <v>1</v>
      </c>
    </row>
    <row r="750" spans="1:37" x14ac:dyDescent="0.25">
      <c r="A750" s="296">
        <v>3101592187</v>
      </c>
      <c r="B750" s="296" t="s">
        <v>5956</v>
      </c>
      <c r="C750" s="296" t="s">
        <v>183</v>
      </c>
      <c r="D750" s="296" t="s">
        <v>183</v>
      </c>
      <c r="E750" s="296" t="s">
        <v>183</v>
      </c>
      <c r="F750" s="296" t="s">
        <v>5957</v>
      </c>
      <c r="G750" s="296" t="s">
        <v>5958</v>
      </c>
      <c r="H750" s="296" t="s">
        <v>5959</v>
      </c>
      <c r="I750" s="296" t="s">
        <v>5937</v>
      </c>
      <c r="J750" s="296" t="s">
        <v>5960</v>
      </c>
      <c r="K750" s="296" t="s">
        <v>5961</v>
      </c>
      <c r="L750" s="296" t="s">
        <v>5962</v>
      </c>
      <c r="M750" s="296" t="s">
        <v>179</v>
      </c>
      <c r="N750" s="296" t="s">
        <v>5957</v>
      </c>
      <c r="O750" s="296" t="s">
        <v>5958</v>
      </c>
      <c r="P750" s="296" t="s">
        <v>5959</v>
      </c>
      <c r="Q750" s="296" t="s">
        <v>183</v>
      </c>
      <c r="R750" s="296" t="s">
        <v>5963</v>
      </c>
      <c r="S750" s="296" t="s">
        <v>185</v>
      </c>
      <c r="T750" s="296" t="s">
        <v>185</v>
      </c>
      <c r="U750" s="296" t="s">
        <v>186</v>
      </c>
      <c r="V750" s="296" t="s">
        <v>187</v>
      </c>
      <c r="W750" s="296" t="s">
        <v>188</v>
      </c>
      <c r="X750" s="296" t="s">
        <v>189</v>
      </c>
      <c r="Y750" s="296" t="s">
        <v>183</v>
      </c>
      <c r="Z750" s="296" t="s">
        <v>183</v>
      </c>
      <c r="AA750" s="296" t="s">
        <v>183</v>
      </c>
      <c r="AB750" s="296" t="s">
        <v>183</v>
      </c>
      <c r="AC750" s="296" t="s">
        <v>5964</v>
      </c>
      <c r="AD750" s="296" t="s">
        <v>5965</v>
      </c>
      <c r="AE750" s="296" t="s">
        <v>192</v>
      </c>
      <c r="AF750" s="296" t="s">
        <v>193</v>
      </c>
      <c r="AG750" s="296">
        <v>0</v>
      </c>
      <c r="AH750" s="298">
        <v>41908</v>
      </c>
      <c r="AJ750" s="296" t="s">
        <v>194</v>
      </c>
      <c r="AK750" s="299">
        <f>COUNTIF($A$3:A$917,A750)</f>
        <v>1</v>
      </c>
    </row>
    <row r="751" spans="1:37" x14ac:dyDescent="0.25">
      <c r="A751" s="296">
        <v>504340366</v>
      </c>
      <c r="B751" s="296" t="s">
        <v>5825</v>
      </c>
      <c r="C751" s="296" t="s">
        <v>183</v>
      </c>
      <c r="D751" s="296" t="s">
        <v>183</v>
      </c>
      <c r="E751" s="296" t="s">
        <v>183</v>
      </c>
      <c r="F751" s="296" t="s">
        <v>5826</v>
      </c>
      <c r="G751" s="296" t="s">
        <v>5827</v>
      </c>
      <c r="H751" s="296" t="s">
        <v>5828</v>
      </c>
      <c r="I751" s="296" t="s">
        <v>5966</v>
      </c>
      <c r="J751" s="296" t="s">
        <v>5967</v>
      </c>
      <c r="K751" s="296" t="s">
        <v>5830</v>
      </c>
      <c r="L751" s="296" t="s">
        <v>5831</v>
      </c>
      <c r="M751" s="296" t="s">
        <v>179</v>
      </c>
      <c r="N751" s="296" t="s">
        <v>5826</v>
      </c>
      <c r="O751" s="296" t="s">
        <v>183</v>
      </c>
      <c r="P751" s="296" t="s">
        <v>5832</v>
      </c>
      <c r="Q751" s="296" t="s">
        <v>183</v>
      </c>
      <c r="R751" s="296" t="s">
        <v>5833</v>
      </c>
      <c r="S751" s="296" t="s">
        <v>185</v>
      </c>
      <c r="T751" s="296" t="s">
        <v>185</v>
      </c>
      <c r="U751" s="296" t="s">
        <v>186</v>
      </c>
      <c r="V751" s="296" t="s">
        <v>187</v>
      </c>
      <c r="W751" s="296" t="s">
        <v>188</v>
      </c>
      <c r="X751" s="296" t="s">
        <v>189</v>
      </c>
      <c r="Y751" s="296" t="s">
        <v>183</v>
      </c>
      <c r="Z751" s="296" t="s">
        <v>183</v>
      </c>
      <c r="AA751" s="296" t="s">
        <v>183</v>
      </c>
      <c r="AB751" s="296" t="s">
        <v>183</v>
      </c>
      <c r="AC751" s="296" t="s">
        <v>5834</v>
      </c>
      <c r="AD751" s="296" t="s">
        <v>5968</v>
      </c>
      <c r="AE751" s="296" t="s">
        <v>192</v>
      </c>
      <c r="AF751" s="296" t="s">
        <v>193</v>
      </c>
      <c r="AG751" s="296">
        <v>9671.6666666666661</v>
      </c>
      <c r="AH751" s="298">
        <v>45009</v>
      </c>
      <c r="AJ751" s="296" t="s">
        <v>194</v>
      </c>
      <c r="AK751" s="299">
        <f>COUNTIF($A$3:A$917,A751)</f>
        <v>2</v>
      </c>
    </row>
    <row r="752" spans="1:37" x14ac:dyDescent="0.25">
      <c r="A752" s="296">
        <v>107860124</v>
      </c>
      <c r="B752" s="296" t="s">
        <v>5969</v>
      </c>
      <c r="C752" s="296" t="s">
        <v>183</v>
      </c>
      <c r="D752" s="296" t="s">
        <v>183</v>
      </c>
      <c r="E752" s="296" t="s">
        <v>183</v>
      </c>
      <c r="F752" s="296" t="s">
        <v>5970</v>
      </c>
      <c r="G752" s="296" t="s">
        <v>278</v>
      </c>
      <c r="H752" s="296" t="s">
        <v>5971</v>
      </c>
      <c r="I752" s="296" t="s">
        <v>5966</v>
      </c>
      <c r="J752" s="296" t="s">
        <v>5972</v>
      </c>
      <c r="K752" s="296" t="s">
        <v>5973</v>
      </c>
      <c r="L752" s="296" t="s">
        <v>5969</v>
      </c>
      <c r="M752" s="296" t="s">
        <v>179</v>
      </c>
      <c r="N752" s="296" t="s">
        <v>5970</v>
      </c>
      <c r="O752" s="296" t="s">
        <v>278</v>
      </c>
      <c r="P752" s="296" t="s">
        <v>5971</v>
      </c>
      <c r="Q752" s="296" t="s">
        <v>183</v>
      </c>
      <c r="R752" s="296" t="s">
        <v>5974</v>
      </c>
      <c r="S752" s="296" t="s">
        <v>185</v>
      </c>
      <c r="T752" s="296" t="s">
        <v>185</v>
      </c>
      <c r="U752" s="296" t="s">
        <v>186</v>
      </c>
      <c r="V752" s="296" t="s">
        <v>187</v>
      </c>
      <c r="W752" s="296" t="s">
        <v>188</v>
      </c>
      <c r="X752" s="296" t="s">
        <v>189</v>
      </c>
      <c r="Y752" s="296" t="s">
        <v>183</v>
      </c>
      <c r="Z752" s="296" t="s">
        <v>183</v>
      </c>
      <c r="AA752" s="296" t="s">
        <v>183</v>
      </c>
      <c r="AB752" s="296" t="s">
        <v>183</v>
      </c>
      <c r="AC752" s="296" t="s">
        <v>183</v>
      </c>
      <c r="AD752" s="296" t="s">
        <v>5975</v>
      </c>
      <c r="AE752" s="296" t="s">
        <v>192</v>
      </c>
      <c r="AF752" s="296" t="s">
        <v>193</v>
      </c>
      <c r="AG752" s="296">
        <v>26187.25</v>
      </c>
      <c r="AH752" s="298">
        <v>40809</v>
      </c>
      <c r="AJ752" s="296" t="s">
        <v>194</v>
      </c>
      <c r="AK752" s="299">
        <f>COUNTIF($A$3:A$917,A752)</f>
        <v>1</v>
      </c>
    </row>
    <row r="753" spans="1:37" x14ac:dyDescent="0.25">
      <c r="A753" s="296">
        <v>111010404</v>
      </c>
      <c r="B753" s="296" t="s">
        <v>5976</v>
      </c>
      <c r="C753" s="296" t="s">
        <v>183</v>
      </c>
      <c r="D753" s="296" t="s">
        <v>183</v>
      </c>
      <c r="E753" s="296" t="s">
        <v>183</v>
      </c>
      <c r="F753" s="296" t="s">
        <v>5977</v>
      </c>
      <c r="G753" s="296" t="s">
        <v>5978</v>
      </c>
      <c r="H753" s="296" t="s">
        <v>5979</v>
      </c>
      <c r="I753" s="296" t="s">
        <v>5966</v>
      </c>
      <c r="J753" s="296" t="s">
        <v>5980</v>
      </c>
      <c r="K753" s="296" t="s">
        <v>5981</v>
      </c>
      <c r="L753" s="296" t="s">
        <v>5976</v>
      </c>
      <c r="M753" s="296" t="s">
        <v>179</v>
      </c>
      <c r="N753" s="296" t="s">
        <v>5977</v>
      </c>
      <c r="O753" s="296" t="s">
        <v>5978</v>
      </c>
      <c r="P753" s="296" t="s">
        <v>5979</v>
      </c>
      <c r="Q753" s="296" t="s">
        <v>183</v>
      </c>
      <c r="R753" s="296" t="s">
        <v>5982</v>
      </c>
      <c r="S753" s="296" t="s">
        <v>185</v>
      </c>
      <c r="T753" s="296" t="s">
        <v>185</v>
      </c>
      <c r="U753" s="296" t="s">
        <v>186</v>
      </c>
      <c r="V753" s="296" t="s">
        <v>187</v>
      </c>
      <c r="W753" s="296" t="s">
        <v>188</v>
      </c>
      <c r="X753" s="296" t="s">
        <v>189</v>
      </c>
      <c r="Y753" s="296" t="s">
        <v>183</v>
      </c>
      <c r="Z753" s="296" t="s">
        <v>183</v>
      </c>
      <c r="AA753" s="296" t="s">
        <v>183</v>
      </c>
      <c r="AB753" s="296" t="s">
        <v>183</v>
      </c>
      <c r="AC753" s="296" t="s">
        <v>5983</v>
      </c>
      <c r="AD753" s="296" t="s">
        <v>5984</v>
      </c>
      <c r="AE753" s="296" t="s">
        <v>192</v>
      </c>
      <c r="AF753" s="296" t="s">
        <v>193</v>
      </c>
      <c r="AG753" s="296">
        <v>16673</v>
      </c>
      <c r="AH753" s="298">
        <v>45009</v>
      </c>
      <c r="AJ753" s="296" t="s">
        <v>194</v>
      </c>
      <c r="AK753" s="299">
        <f>COUNTIF($A$3:A$917,A753)</f>
        <v>1</v>
      </c>
    </row>
    <row r="754" spans="1:37" x14ac:dyDescent="0.25">
      <c r="A754" s="296">
        <v>203960373</v>
      </c>
      <c r="B754" s="296" t="s">
        <v>5985</v>
      </c>
      <c r="C754" s="296" t="s">
        <v>183</v>
      </c>
      <c r="D754" s="296" t="s">
        <v>183</v>
      </c>
      <c r="E754" s="296" t="s">
        <v>183</v>
      </c>
      <c r="F754" s="296" t="s">
        <v>5986</v>
      </c>
      <c r="G754" s="296" t="s">
        <v>183</v>
      </c>
      <c r="H754" s="296" t="s">
        <v>5987</v>
      </c>
      <c r="I754" s="296" t="s">
        <v>5966</v>
      </c>
      <c r="J754" s="296" t="s">
        <v>5988</v>
      </c>
      <c r="K754" s="296" t="s">
        <v>5989</v>
      </c>
      <c r="L754" s="296" t="s">
        <v>5990</v>
      </c>
      <c r="M754" s="296" t="s">
        <v>179</v>
      </c>
      <c r="N754" s="296" t="s">
        <v>5991</v>
      </c>
      <c r="O754" s="296" t="s">
        <v>183</v>
      </c>
      <c r="P754" s="296" t="s">
        <v>5992</v>
      </c>
      <c r="Q754" s="296" t="s">
        <v>183</v>
      </c>
      <c r="R754" s="296" t="s">
        <v>5993</v>
      </c>
      <c r="S754" s="296" t="s">
        <v>185</v>
      </c>
      <c r="T754" s="296" t="s">
        <v>185</v>
      </c>
      <c r="U754" s="296" t="s">
        <v>186</v>
      </c>
      <c r="V754" s="296" t="s">
        <v>187</v>
      </c>
      <c r="W754" s="296" t="s">
        <v>188</v>
      </c>
      <c r="X754" s="296" t="s">
        <v>189</v>
      </c>
      <c r="Y754" s="296" t="s">
        <v>183</v>
      </c>
      <c r="Z754" s="296" t="s">
        <v>183</v>
      </c>
      <c r="AA754" s="296" t="s">
        <v>183</v>
      </c>
      <c r="AB754" s="296" t="s">
        <v>183</v>
      </c>
      <c r="AC754" s="296" t="s">
        <v>5994</v>
      </c>
      <c r="AD754" s="296" t="s">
        <v>5995</v>
      </c>
      <c r="AE754" s="296" t="s">
        <v>192</v>
      </c>
      <c r="AF754" s="296" t="s">
        <v>193</v>
      </c>
      <c r="AG754" s="296">
        <v>14578</v>
      </c>
      <c r="AH754" s="298">
        <v>43158</v>
      </c>
      <c r="AJ754" s="296" t="s">
        <v>194</v>
      </c>
      <c r="AK754" s="299">
        <f>COUNTIF($A$3:A$917,A754)</f>
        <v>1</v>
      </c>
    </row>
    <row r="755" spans="1:37" x14ac:dyDescent="0.25">
      <c r="A755" s="296">
        <v>602940134</v>
      </c>
      <c r="B755" s="296" t="s">
        <v>1290</v>
      </c>
      <c r="C755" s="296" t="s">
        <v>183</v>
      </c>
      <c r="D755" s="296" t="s">
        <v>183</v>
      </c>
      <c r="E755" s="296" t="s">
        <v>183</v>
      </c>
      <c r="F755" s="296" t="s">
        <v>1291</v>
      </c>
      <c r="G755" s="296" t="s">
        <v>1292</v>
      </c>
      <c r="H755" s="296" t="s">
        <v>1293</v>
      </c>
      <c r="I755" s="296" t="s">
        <v>5966</v>
      </c>
      <c r="J755" s="296" t="s">
        <v>5996</v>
      </c>
      <c r="K755" s="296" t="s">
        <v>1289</v>
      </c>
      <c r="L755" s="296" t="s">
        <v>1290</v>
      </c>
      <c r="M755" s="296" t="s">
        <v>179</v>
      </c>
      <c r="N755" s="296" t="s">
        <v>1291</v>
      </c>
      <c r="O755" s="296" t="s">
        <v>1292</v>
      </c>
      <c r="P755" s="296" t="s">
        <v>1293</v>
      </c>
      <c r="Q755" s="296" t="s">
        <v>183</v>
      </c>
      <c r="R755" s="296" t="s">
        <v>5997</v>
      </c>
      <c r="S755" s="296" t="s">
        <v>185</v>
      </c>
      <c r="T755" s="296" t="s">
        <v>185</v>
      </c>
      <c r="U755" s="296" t="s">
        <v>186</v>
      </c>
      <c r="V755" s="296" t="s">
        <v>187</v>
      </c>
      <c r="W755" s="296" t="s">
        <v>188</v>
      </c>
      <c r="X755" s="296" t="s">
        <v>189</v>
      </c>
      <c r="Y755" s="296" t="s">
        <v>183</v>
      </c>
      <c r="Z755" s="296" t="s">
        <v>183</v>
      </c>
      <c r="AA755" s="296" t="s">
        <v>183</v>
      </c>
      <c r="AB755" s="296" t="s">
        <v>183</v>
      </c>
      <c r="AC755" s="296" t="s">
        <v>5998</v>
      </c>
      <c r="AD755" s="296" t="s">
        <v>5999</v>
      </c>
      <c r="AE755" s="296" t="s">
        <v>192</v>
      </c>
      <c r="AF755" s="296" t="s">
        <v>193</v>
      </c>
      <c r="AG755" s="296">
        <v>23789</v>
      </c>
      <c r="AH755" s="298">
        <v>40487</v>
      </c>
      <c r="AJ755" s="296" t="s">
        <v>194</v>
      </c>
      <c r="AK755" s="299">
        <f>COUNTIF($A$3:A$917,A755)</f>
        <v>1</v>
      </c>
    </row>
    <row r="756" spans="1:37" x14ac:dyDescent="0.25">
      <c r="A756" s="296">
        <v>109870226</v>
      </c>
      <c r="B756" s="296" t="s">
        <v>6000</v>
      </c>
      <c r="C756" s="296" t="s">
        <v>183</v>
      </c>
      <c r="D756" s="296" t="s">
        <v>183</v>
      </c>
      <c r="E756" s="296" t="s">
        <v>183</v>
      </c>
      <c r="F756" s="296" t="s">
        <v>6001</v>
      </c>
      <c r="G756" s="296" t="s">
        <v>183</v>
      </c>
      <c r="H756" s="296" t="s">
        <v>6002</v>
      </c>
      <c r="I756" s="296" t="s">
        <v>5966</v>
      </c>
      <c r="J756" s="296" t="s">
        <v>6003</v>
      </c>
      <c r="K756" s="296" t="s">
        <v>6004</v>
      </c>
      <c r="L756" s="296" t="s">
        <v>6005</v>
      </c>
      <c r="M756" s="296" t="s">
        <v>179</v>
      </c>
      <c r="N756" s="296" t="s">
        <v>2380</v>
      </c>
      <c r="O756" s="296" t="s">
        <v>183</v>
      </c>
      <c r="P756" s="296" t="s">
        <v>2382</v>
      </c>
      <c r="Q756" s="296" t="s">
        <v>183</v>
      </c>
      <c r="R756" s="296" t="s">
        <v>6006</v>
      </c>
      <c r="S756" s="296" t="s">
        <v>185</v>
      </c>
      <c r="T756" s="296" t="s">
        <v>185</v>
      </c>
      <c r="U756" s="296" t="s">
        <v>186</v>
      </c>
      <c r="V756" s="296" t="s">
        <v>187</v>
      </c>
      <c r="W756" s="296" t="s">
        <v>188</v>
      </c>
      <c r="X756" s="296" t="s">
        <v>189</v>
      </c>
      <c r="Y756" s="296" t="s">
        <v>183</v>
      </c>
      <c r="Z756" s="296" t="s">
        <v>183</v>
      </c>
      <c r="AA756" s="296" t="s">
        <v>183</v>
      </c>
      <c r="AB756" s="296" t="s">
        <v>183</v>
      </c>
      <c r="AC756" s="296" t="s">
        <v>6007</v>
      </c>
      <c r="AD756" s="296" t="s">
        <v>6008</v>
      </c>
      <c r="AE756" s="296" t="s">
        <v>192</v>
      </c>
      <c r="AF756" s="296" t="s">
        <v>193</v>
      </c>
      <c r="AG756" s="296">
        <v>18399</v>
      </c>
      <c r="AH756" s="298">
        <v>43650</v>
      </c>
      <c r="AJ756" s="296" t="s">
        <v>194</v>
      </c>
      <c r="AK756" s="299">
        <f>COUNTIF($A$3:A$917,A756)</f>
        <v>1</v>
      </c>
    </row>
    <row r="757" spans="1:37" x14ac:dyDescent="0.25">
      <c r="A757" s="296">
        <v>109090693</v>
      </c>
      <c r="B757" s="296" t="s">
        <v>6009</v>
      </c>
      <c r="C757" s="296" t="s">
        <v>183</v>
      </c>
      <c r="D757" s="296" t="s">
        <v>183</v>
      </c>
      <c r="E757" s="296" t="s">
        <v>183</v>
      </c>
      <c r="F757" s="296" t="s">
        <v>6010</v>
      </c>
      <c r="G757" s="296" t="s">
        <v>183</v>
      </c>
      <c r="H757" s="296" t="s">
        <v>6011</v>
      </c>
      <c r="I757" s="296" t="s">
        <v>5966</v>
      </c>
      <c r="J757" s="296" t="s">
        <v>6012</v>
      </c>
      <c r="K757" s="296" t="s">
        <v>6013</v>
      </c>
      <c r="L757" s="296" t="s">
        <v>6014</v>
      </c>
      <c r="M757" s="296" t="s">
        <v>179</v>
      </c>
      <c r="N757" s="296" t="s">
        <v>6015</v>
      </c>
      <c r="O757" s="296" t="s">
        <v>183</v>
      </c>
      <c r="P757" s="296" t="s">
        <v>6016</v>
      </c>
      <c r="Q757" s="296" t="s">
        <v>183</v>
      </c>
      <c r="R757" s="296" t="s">
        <v>6017</v>
      </c>
      <c r="S757" s="296" t="s">
        <v>185</v>
      </c>
      <c r="T757" s="296" t="s">
        <v>185</v>
      </c>
      <c r="U757" s="296" t="s">
        <v>186</v>
      </c>
      <c r="V757" s="296" t="s">
        <v>187</v>
      </c>
      <c r="W757" s="296" t="s">
        <v>188</v>
      </c>
      <c r="X757" s="296" t="s">
        <v>189</v>
      </c>
      <c r="Y757" s="296" t="s">
        <v>183</v>
      </c>
      <c r="Z757" s="296" t="s">
        <v>183</v>
      </c>
      <c r="AA757" s="296" t="s">
        <v>183</v>
      </c>
      <c r="AB757" s="296" t="s">
        <v>183</v>
      </c>
      <c r="AC757" s="296" t="s">
        <v>6018</v>
      </c>
      <c r="AD757" s="296" t="s">
        <v>6019</v>
      </c>
      <c r="AE757" s="296" t="s">
        <v>192</v>
      </c>
      <c r="AF757" s="296" t="s">
        <v>193</v>
      </c>
      <c r="AG757" s="296">
        <v>0</v>
      </c>
      <c r="AH757" s="298">
        <v>45597</v>
      </c>
      <c r="AJ757" s="296" t="s">
        <v>194</v>
      </c>
      <c r="AK757" s="299">
        <f>COUNTIF($A$3:A$917,A757)</f>
        <v>1</v>
      </c>
    </row>
    <row r="758" spans="1:37" x14ac:dyDescent="0.25">
      <c r="A758" s="296">
        <v>206540192</v>
      </c>
      <c r="B758" s="296" t="s">
        <v>694</v>
      </c>
      <c r="C758" s="296" t="s">
        <v>183</v>
      </c>
      <c r="D758" s="296" t="s">
        <v>183</v>
      </c>
      <c r="E758" s="296" t="s">
        <v>183</v>
      </c>
      <c r="F758" s="296" t="s">
        <v>695</v>
      </c>
      <c r="G758" s="296" t="s">
        <v>696</v>
      </c>
      <c r="H758" s="296" t="s">
        <v>697</v>
      </c>
      <c r="I758" s="296" t="s">
        <v>5966</v>
      </c>
      <c r="J758" s="296" t="s">
        <v>699</v>
      </c>
      <c r="K758" s="296" t="s">
        <v>700</v>
      </c>
      <c r="L758" s="296" t="s">
        <v>701</v>
      </c>
      <c r="M758" s="296" t="s">
        <v>179</v>
      </c>
      <c r="N758" s="296" t="s">
        <v>702</v>
      </c>
      <c r="O758" s="296" t="s">
        <v>702</v>
      </c>
      <c r="P758" s="296" t="s">
        <v>703</v>
      </c>
      <c r="Q758" s="296" t="s">
        <v>183</v>
      </c>
      <c r="R758" s="296" t="s">
        <v>704</v>
      </c>
      <c r="S758" s="296" t="s">
        <v>185</v>
      </c>
      <c r="T758" s="296" t="s">
        <v>185</v>
      </c>
      <c r="U758" s="296" t="s">
        <v>186</v>
      </c>
      <c r="V758" s="296" t="s">
        <v>187</v>
      </c>
      <c r="W758" s="296" t="s">
        <v>188</v>
      </c>
      <c r="X758" s="296" t="s">
        <v>189</v>
      </c>
      <c r="Y758" s="296" t="s">
        <v>183</v>
      </c>
      <c r="Z758" s="296" t="s">
        <v>183</v>
      </c>
      <c r="AA758" s="296" t="s">
        <v>183</v>
      </c>
      <c r="AB758" s="296" t="s">
        <v>183</v>
      </c>
      <c r="AC758" s="296" t="s">
        <v>705</v>
      </c>
      <c r="AD758" s="296" t="s">
        <v>6020</v>
      </c>
      <c r="AE758" s="296" t="s">
        <v>192</v>
      </c>
      <c r="AF758" s="296" t="s">
        <v>193</v>
      </c>
      <c r="AG758" s="296">
        <v>0</v>
      </c>
      <c r="AH758" s="298">
        <v>45279</v>
      </c>
      <c r="AJ758" s="296" t="s">
        <v>194</v>
      </c>
      <c r="AK758" s="299">
        <f>COUNTIF($A$3:A$917,A758)</f>
        <v>2</v>
      </c>
    </row>
    <row r="759" spans="1:37" x14ac:dyDescent="0.25">
      <c r="A759" s="296">
        <v>502640001</v>
      </c>
      <c r="B759" s="296" t="s">
        <v>6021</v>
      </c>
      <c r="C759" s="296" t="s">
        <v>183</v>
      </c>
      <c r="D759" s="296" t="s">
        <v>183</v>
      </c>
      <c r="E759" s="296" t="s">
        <v>183</v>
      </c>
      <c r="F759" s="296" t="s">
        <v>6022</v>
      </c>
      <c r="G759" s="296" t="s">
        <v>183</v>
      </c>
      <c r="H759" s="296" t="s">
        <v>6023</v>
      </c>
      <c r="I759" s="296" t="s">
        <v>5966</v>
      </c>
      <c r="J759" s="296" t="s">
        <v>6024</v>
      </c>
      <c r="K759" s="296" t="s">
        <v>6025</v>
      </c>
      <c r="L759" s="296" t="s">
        <v>6026</v>
      </c>
      <c r="M759" s="296" t="s">
        <v>179</v>
      </c>
      <c r="N759" s="296" t="s">
        <v>6027</v>
      </c>
      <c r="O759" s="296" t="s">
        <v>183</v>
      </c>
      <c r="P759" s="296" t="s">
        <v>6028</v>
      </c>
      <c r="Q759" s="296" t="s">
        <v>183</v>
      </c>
      <c r="R759" s="296" t="s">
        <v>6029</v>
      </c>
      <c r="S759" s="296" t="s">
        <v>185</v>
      </c>
      <c r="T759" s="296" t="s">
        <v>185</v>
      </c>
      <c r="U759" s="296" t="s">
        <v>186</v>
      </c>
      <c r="V759" s="296" t="s">
        <v>187</v>
      </c>
      <c r="W759" s="296" t="s">
        <v>188</v>
      </c>
      <c r="X759" s="296" t="s">
        <v>404</v>
      </c>
      <c r="Y759" s="296" t="s">
        <v>183</v>
      </c>
      <c r="Z759" s="296" t="s">
        <v>183</v>
      </c>
      <c r="AA759" s="296" t="s">
        <v>183</v>
      </c>
      <c r="AB759" s="296" t="s">
        <v>183</v>
      </c>
      <c r="AC759" s="296" t="s">
        <v>6030</v>
      </c>
      <c r="AD759" s="296" t="s">
        <v>6031</v>
      </c>
      <c r="AE759" s="296" t="s">
        <v>192</v>
      </c>
      <c r="AF759" s="296" t="s">
        <v>193</v>
      </c>
      <c r="AG759" s="296">
        <v>0</v>
      </c>
      <c r="AH759" s="298">
        <v>39423</v>
      </c>
      <c r="AJ759" s="296" t="s">
        <v>194</v>
      </c>
      <c r="AK759" s="299">
        <f>COUNTIF($A$3:A$917,A759)</f>
        <v>1</v>
      </c>
    </row>
    <row r="760" spans="1:37" x14ac:dyDescent="0.25">
      <c r="A760" s="296">
        <v>502640617</v>
      </c>
      <c r="B760" s="296" t="s">
        <v>6032</v>
      </c>
      <c r="C760" s="296" t="s">
        <v>183</v>
      </c>
      <c r="D760" s="296" t="s">
        <v>183</v>
      </c>
      <c r="E760" s="296" t="s">
        <v>183</v>
      </c>
      <c r="F760" s="296" t="s">
        <v>6033</v>
      </c>
      <c r="G760" s="296" t="s">
        <v>183</v>
      </c>
      <c r="H760" s="296" t="s">
        <v>6034</v>
      </c>
      <c r="I760" s="296" t="s">
        <v>5966</v>
      </c>
      <c r="J760" s="296" t="s">
        <v>6035</v>
      </c>
      <c r="K760" s="296" t="s">
        <v>6036</v>
      </c>
      <c r="L760" s="296" t="s">
        <v>6037</v>
      </c>
      <c r="M760" s="296" t="s">
        <v>179</v>
      </c>
      <c r="N760" s="296" t="s">
        <v>6038</v>
      </c>
      <c r="O760" s="296" t="s">
        <v>6038</v>
      </c>
      <c r="P760" s="296" t="s">
        <v>6039</v>
      </c>
      <c r="Q760" s="296" t="s">
        <v>183</v>
      </c>
      <c r="R760" s="296" t="s">
        <v>6040</v>
      </c>
      <c r="S760" s="296" t="s">
        <v>185</v>
      </c>
      <c r="T760" s="296" t="s">
        <v>185</v>
      </c>
      <c r="U760" s="296" t="s">
        <v>186</v>
      </c>
      <c r="V760" s="296" t="s">
        <v>187</v>
      </c>
      <c r="W760" s="296" t="s">
        <v>188</v>
      </c>
      <c r="X760" s="296" t="s">
        <v>189</v>
      </c>
      <c r="Y760" s="296" t="s">
        <v>183</v>
      </c>
      <c r="Z760" s="296" t="s">
        <v>183</v>
      </c>
      <c r="AA760" s="296" t="s">
        <v>183</v>
      </c>
      <c r="AB760" s="296" t="s">
        <v>183</v>
      </c>
      <c r="AC760" s="296" t="s">
        <v>6041</v>
      </c>
      <c r="AD760" s="296" t="s">
        <v>6042</v>
      </c>
      <c r="AE760" s="296" t="s">
        <v>192</v>
      </c>
      <c r="AF760" s="296" t="s">
        <v>193</v>
      </c>
      <c r="AG760" s="296">
        <v>20154</v>
      </c>
      <c r="AH760" s="298">
        <v>41290</v>
      </c>
      <c r="AJ760" s="296" t="s">
        <v>194</v>
      </c>
      <c r="AK760" s="299">
        <f>COUNTIF($A$3:A$917,A760)</f>
        <v>1</v>
      </c>
    </row>
    <row r="761" spans="1:37" x14ac:dyDescent="0.25">
      <c r="A761" s="296">
        <v>503460489</v>
      </c>
      <c r="B761" s="296" t="s">
        <v>5850</v>
      </c>
      <c r="C761" s="296" t="s">
        <v>183</v>
      </c>
      <c r="D761" s="296" t="s">
        <v>183</v>
      </c>
      <c r="E761" s="296" t="s">
        <v>183</v>
      </c>
      <c r="F761" s="296" t="s">
        <v>5851</v>
      </c>
      <c r="G761" s="296" t="s">
        <v>5851</v>
      </c>
      <c r="H761" s="296" t="s">
        <v>5852</v>
      </c>
      <c r="I761" s="296" t="s">
        <v>5966</v>
      </c>
      <c r="J761" s="296" t="s">
        <v>5853</v>
      </c>
      <c r="K761" s="296" t="s">
        <v>5854</v>
      </c>
      <c r="L761" s="296" t="s">
        <v>5850</v>
      </c>
      <c r="M761" s="296" t="s">
        <v>179</v>
      </c>
      <c r="N761" s="296" t="s">
        <v>5851</v>
      </c>
      <c r="O761" s="296" t="s">
        <v>5851</v>
      </c>
      <c r="P761" s="296" t="s">
        <v>5852</v>
      </c>
      <c r="Q761" s="296" t="s">
        <v>183</v>
      </c>
      <c r="R761" s="296" t="s">
        <v>5855</v>
      </c>
      <c r="S761" s="296" t="s">
        <v>185</v>
      </c>
      <c r="T761" s="296" t="s">
        <v>185</v>
      </c>
      <c r="U761" s="296" t="s">
        <v>186</v>
      </c>
      <c r="V761" s="296" t="s">
        <v>187</v>
      </c>
      <c r="W761" s="296" t="s">
        <v>188</v>
      </c>
      <c r="X761" s="296" t="s">
        <v>189</v>
      </c>
      <c r="Y761" s="296" t="s">
        <v>183</v>
      </c>
      <c r="Z761" s="296" t="s">
        <v>183</v>
      </c>
      <c r="AA761" s="296" t="s">
        <v>183</v>
      </c>
      <c r="AB761" s="296" t="s">
        <v>183</v>
      </c>
      <c r="AC761" s="296" t="s">
        <v>237</v>
      </c>
      <c r="AD761" s="296" t="s">
        <v>6043</v>
      </c>
      <c r="AE761" s="296" t="s">
        <v>192</v>
      </c>
      <c r="AF761" s="296" t="s">
        <v>193</v>
      </c>
      <c r="AG761" s="296">
        <v>0</v>
      </c>
      <c r="AH761" s="298">
        <v>41841</v>
      </c>
      <c r="AJ761" s="296" t="s">
        <v>194</v>
      </c>
      <c r="AK761" s="299">
        <f>COUNTIF($A$3:A$917,A761)</f>
        <v>2</v>
      </c>
    </row>
    <row r="762" spans="1:37" x14ac:dyDescent="0.25">
      <c r="A762" s="296">
        <v>503490825</v>
      </c>
      <c r="B762" s="296" t="s">
        <v>6044</v>
      </c>
      <c r="C762" s="296" t="s">
        <v>183</v>
      </c>
      <c r="D762" s="296" t="s">
        <v>183</v>
      </c>
      <c r="E762" s="296" t="s">
        <v>183</v>
      </c>
      <c r="F762" s="296" t="s">
        <v>6045</v>
      </c>
      <c r="G762" s="296" t="s">
        <v>6046</v>
      </c>
      <c r="H762" s="296" t="s">
        <v>6047</v>
      </c>
      <c r="I762" s="296" t="s">
        <v>5966</v>
      </c>
      <c r="J762" s="296" t="s">
        <v>6048</v>
      </c>
      <c r="K762" s="296" t="s">
        <v>6049</v>
      </c>
      <c r="L762" s="296" t="s">
        <v>6050</v>
      </c>
      <c r="M762" s="296" t="s">
        <v>179</v>
      </c>
      <c r="N762" s="296" t="s">
        <v>6045</v>
      </c>
      <c r="O762" s="296" t="s">
        <v>6051</v>
      </c>
      <c r="P762" s="296" t="s">
        <v>6052</v>
      </c>
      <c r="Q762" s="296" t="s">
        <v>183</v>
      </c>
      <c r="R762" s="296" t="s">
        <v>6053</v>
      </c>
      <c r="S762" s="296" t="s">
        <v>185</v>
      </c>
      <c r="T762" s="296" t="s">
        <v>185</v>
      </c>
      <c r="U762" s="296" t="s">
        <v>186</v>
      </c>
      <c r="V762" s="296" t="s">
        <v>187</v>
      </c>
      <c r="W762" s="296" t="s">
        <v>188</v>
      </c>
      <c r="X762" s="296" t="s">
        <v>189</v>
      </c>
      <c r="Y762" s="296" t="s">
        <v>183</v>
      </c>
      <c r="Z762" s="296" t="s">
        <v>183</v>
      </c>
      <c r="AA762" s="296" t="s">
        <v>183</v>
      </c>
      <c r="AB762" s="296" t="s">
        <v>183</v>
      </c>
      <c r="AC762" s="296" t="s">
        <v>6054</v>
      </c>
      <c r="AD762" s="296" t="s">
        <v>6055</v>
      </c>
      <c r="AE762" s="296" t="s">
        <v>192</v>
      </c>
      <c r="AF762" s="296" t="s">
        <v>193</v>
      </c>
      <c r="AG762" s="296">
        <v>0</v>
      </c>
      <c r="AH762" s="298">
        <v>37656</v>
      </c>
      <c r="AJ762" s="296" t="s">
        <v>194</v>
      </c>
      <c r="AK762" s="299">
        <f>COUNTIF($A$3:A$917,A762)</f>
        <v>1</v>
      </c>
    </row>
    <row r="763" spans="1:37" x14ac:dyDescent="0.25">
      <c r="A763" s="296">
        <v>502640332</v>
      </c>
      <c r="B763" s="296" t="s">
        <v>6056</v>
      </c>
      <c r="C763" s="296" t="s">
        <v>183</v>
      </c>
      <c r="D763" s="296" t="s">
        <v>183</v>
      </c>
      <c r="E763" s="296" t="s">
        <v>183</v>
      </c>
      <c r="F763" s="296" t="s">
        <v>6057</v>
      </c>
      <c r="G763" s="296" t="s">
        <v>183</v>
      </c>
      <c r="H763" s="296" t="s">
        <v>6058</v>
      </c>
      <c r="I763" s="296" t="s">
        <v>5966</v>
      </c>
      <c r="J763" s="296" t="s">
        <v>6059</v>
      </c>
      <c r="K763" s="296" t="s">
        <v>5782</v>
      </c>
      <c r="L763" s="296" t="s">
        <v>5783</v>
      </c>
      <c r="M763" s="296" t="s">
        <v>179</v>
      </c>
      <c r="N763" s="296" t="s">
        <v>5784</v>
      </c>
      <c r="O763" s="296" t="s">
        <v>5785</v>
      </c>
      <c r="P763" s="296" t="s">
        <v>5786</v>
      </c>
      <c r="Q763" s="296" t="s">
        <v>183</v>
      </c>
      <c r="R763" s="296" t="s">
        <v>5787</v>
      </c>
      <c r="S763" s="296" t="s">
        <v>185</v>
      </c>
      <c r="T763" s="296" t="s">
        <v>185</v>
      </c>
      <c r="U763" s="296" t="s">
        <v>186</v>
      </c>
      <c r="V763" s="296" t="s">
        <v>187</v>
      </c>
      <c r="W763" s="296" t="s">
        <v>188</v>
      </c>
      <c r="X763" s="296" t="s">
        <v>189</v>
      </c>
      <c r="Y763" s="296" t="s">
        <v>183</v>
      </c>
      <c r="Z763" s="296" t="s">
        <v>183</v>
      </c>
      <c r="AA763" s="296" t="s">
        <v>183</v>
      </c>
      <c r="AB763" s="296" t="s">
        <v>183</v>
      </c>
      <c r="AC763" s="296" t="s">
        <v>5788</v>
      </c>
      <c r="AD763" s="296" t="s">
        <v>6060</v>
      </c>
      <c r="AE763" s="296" t="s">
        <v>192</v>
      </c>
      <c r="AF763" s="296" t="s">
        <v>193</v>
      </c>
      <c r="AG763" s="296">
        <v>9407</v>
      </c>
      <c r="AH763" s="298">
        <v>42829</v>
      </c>
      <c r="AJ763" s="296" t="s">
        <v>194</v>
      </c>
      <c r="AK763" s="299">
        <f>COUNTIF($A$3:A$917,A763)</f>
        <v>1</v>
      </c>
    </row>
    <row r="764" spans="1:37" x14ac:dyDescent="0.25">
      <c r="A764" s="296">
        <v>503730337</v>
      </c>
      <c r="B764" s="296" t="s">
        <v>3038</v>
      </c>
      <c r="C764" s="296" t="s">
        <v>183</v>
      </c>
      <c r="D764" s="296" t="s">
        <v>183</v>
      </c>
      <c r="E764" s="296" t="s">
        <v>183</v>
      </c>
      <c r="F764" s="296" t="s">
        <v>3039</v>
      </c>
      <c r="G764" s="296" t="s">
        <v>3039</v>
      </c>
      <c r="H764" s="296" t="s">
        <v>3040</v>
      </c>
      <c r="I764" s="296" t="s">
        <v>5966</v>
      </c>
      <c r="J764" s="296" t="s">
        <v>6061</v>
      </c>
      <c r="K764" s="296" t="s">
        <v>3042</v>
      </c>
      <c r="L764" s="296" t="s">
        <v>3043</v>
      </c>
      <c r="M764" s="296" t="s">
        <v>179</v>
      </c>
      <c r="N764" s="296" t="s">
        <v>3044</v>
      </c>
      <c r="O764" s="296" t="s">
        <v>183</v>
      </c>
      <c r="P764" s="296" t="s">
        <v>3045</v>
      </c>
      <c r="Q764" s="296" t="s">
        <v>183</v>
      </c>
      <c r="R764" s="296" t="s">
        <v>3046</v>
      </c>
      <c r="S764" s="296" t="s">
        <v>185</v>
      </c>
      <c r="T764" s="296" t="s">
        <v>185</v>
      </c>
      <c r="U764" s="296" t="s">
        <v>186</v>
      </c>
      <c r="V764" s="296" t="s">
        <v>187</v>
      </c>
      <c r="W764" s="296" t="s">
        <v>188</v>
      </c>
      <c r="X764" s="296" t="s">
        <v>246</v>
      </c>
      <c r="Y764" s="296" t="s">
        <v>183</v>
      </c>
      <c r="Z764" s="296" t="s">
        <v>183</v>
      </c>
      <c r="AA764" s="296" t="s">
        <v>183</v>
      </c>
      <c r="AB764" s="296" t="s">
        <v>183</v>
      </c>
      <c r="AC764" s="296" t="s">
        <v>3047</v>
      </c>
      <c r="AD764" s="296" t="s">
        <v>6062</v>
      </c>
      <c r="AE764" s="296" t="s">
        <v>192</v>
      </c>
      <c r="AF764" s="296" t="s">
        <v>193</v>
      </c>
      <c r="AG764" s="296">
        <v>0</v>
      </c>
      <c r="AH764" s="298">
        <v>45009</v>
      </c>
      <c r="AJ764" s="296" t="s">
        <v>194</v>
      </c>
      <c r="AK764" s="299">
        <f>COUNTIF($A$3:A$917,A764)</f>
        <v>2</v>
      </c>
    </row>
    <row r="765" spans="1:37" x14ac:dyDescent="0.25">
      <c r="A765" s="296">
        <v>107640122</v>
      </c>
      <c r="B765" s="296" t="s">
        <v>2971</v>
      </c>
      <c r="C765" s="296" t="s">
        <v>183</v>
      </c>
      <c r="D765" s="296" t="s">
        <v>183</v>
      </c>
      <c r="E765" s="296" t="s">
        <v>183</v>
      </c>
      <c r="F765" s="296" t="s">
        <v>2972</v>
      </c>
      <c r="G765" s="296" t="s">
        <v>278</v>
      </c>
      <c r="H765" s="296" t="s">
        <v>2973</v>
      </c>
      <c r="I765" s="296" t="s">
        <v>5966</v>
      </c>
      <c r="J765" s="296" t="s">
        <v>6063</v>
      </c>
      <c r="K765" s="296" t="s">
        <v>5939</v>
      </c>
      <c r="L765" s="296" t="s">
        <v>5940</v>
      </c>
      <c r="M765" s="296" t="s">
        <v>179</v>
      </c>
      <c r="N765" s="296" t="s">
        <v>2972</v>
      </c>
      <c r="O765" s="296" t="s">
        <v>183</v>
      </c>
      <c r="P765" s="296" t="s">
        <v>2973</v>
      </c>
      <c r="Q765" s="296" t="s">
        <v>183</v>
      </c>
      <c r="R765" s="296" t="s">
        <v>6064</v>
      </c>
      <c r="S765" s="296" t="s">
        <v>185</v>
      </c>
      <c r="T765" s="296" t="s">
        <v>185</v>
      </c>
      <c r="U765" s="296" t="s">
        <v>186</v>
      </c>
      <c r="V765" s="296" t="s">
        <v>187</v>
      </c>
      <c r="W765" s="296" t="s">
        <v>188</v>
      </c>
      <c r="X765" s="296" t="s">
        <v>189</v>
      </c>
      <c r="Y765" s="296" t="s">
        <v>183</v>
      </c>
      <c r="Z765" s="296" t="s">
        <v>183</v>
      </c>
      <c r="AA765" s="296" t="s">
        <v>183</v>
      </c>
      <c r="AB765" s="296" t="s">
        <v>183</v>
      </c>
      <c r="AC765" s="296" t="s">
        <v>6065</v>
      </c>
      <c r="AD765" s="296" t="s">
        <v>6066</v>
      </c>
      <c r="AE765" s="296" t="s">
        <v>192</v>
      </c>
      <c r="AF765" s="296" t="s">
        <v>193</v>
      </c>
      <c r="AG765" s="296">
        <v>0</v>
      </c>
      <c r="AH765" s="298">
        <v>36825</v>
      </c>
      <c r="AJ765" s="296" t="s">
        <v>194</v>
      </c>
      <c r="AK765" s="299">
        <f>COUNTIF($A$3:A$917,A765)</f>
        <v>4</v>
      </c>
    </row>
    <row r="766" spans="1:37" x14ac:dyDescent="0.25">
      <c r="A766" s="296">
        <v>502390899</v>
      </c>
      <c r="B766" s="296" t="s">
        <v>755</v>
      </c>
      <c r="C766" s="296" t="s">
        <v>183</v>
      </c>
      <c r="D766" s="296" t="s">
        <v>183</v>
      </c>
      <c r="E766" s="296" t="s">
        <v>183</v>
      </c>
      <c r="F766" s="296" t="s">
        <v>756</v>
      </c>
      <c r="G766" s="296" t="s">
        <v>756</v>
      </c>
      <c r="H766" s="296" t="s">
        <v>757</v>
      </c>
      <c r="I766" s="296" t="s">
        <v>5966</v>
      </c>
      <c r="J766" s="296" t="s">
        <v>6067</v>
      </c>
      <c r="K766" s="296" t="s">
        <v>759</v>
      </c>
      <c r="L766" s="296" t="s">
        <v>760</v>
      </c>
      <c r="M766" s="296" t="s">
        <v>179</v>
      </c>
      <c r="N766" s="296" t="s">
        <v>756</v>
      </c>
      <c r="O766" s="296" t="s">
        <v>278</v>
      </c>
      <c r="P766" s="296" t="s">
        <v>757</v>
      </c>
      <c r="Q766" s="296" t="s">
        <v>183</v>
      </c>
      <c r="R766" s="296" t="s">
        <v>761</v>
      </c>
      <c r="S766" s="296" t="s">
        <v>185</v>
      </c>
      <c r="T766" s="296" t="s">
        <v>185</v>
      </c>
      <c r="U766" s="296" t="s">
        <v>186</v>
      </c>
      <c r="V766" s="296" t="s">
        <v>187</v>
      </c>
      <c r="W766" s="296" t="s">
        <v>188</v>
      </c>
      <c r="X766" s="296" t="s">
        <v>189</v>
      </c>
      <c r="Y766" s="296" t="s">
        <v>183</v>
      </c>
      <c r="Z766" s="296" t="s">
        <v>183</v>
      </c>
      <c r="AA766" s="296" t="s">
        <v>183</v>
      </c>
      <c r="AB766" s="296" t="s">
        <v>183</v>
      </c>
      <c r="AC766" s="296" t="s">
        <v>762</v>
      </c>
      <c r="AD766" s="296" t="s">
        <v>6068</v>
      </c>
      <c r="AE766" s="296" t="s">
        <v>192</v>
      </c>
      <c r="AF766" s="296" t="s">
        <v>193</v>
      </c>
      <c r="AG766" s="296">
        <v>0</v>
      </c>
      <c r="AH766" s="298">
        <v>44587</v>
      </c>
      <c r="AJ766" s="296" t="s">
        <v>194</v>
      </c>
      <c r="AK766" s="299">
        <f>COUNTIF($A$3:A$917,A766)</f>
        <v>2</v>
      </c>
    </row>
    <row r="767" spans="1:37" x14ac:dyDescent="0.25">
      <c r="A767" s="296">
        <v>204460060</v>
      </c>
      <c r="B767" s="296" t="s">
        <v>6069</v>
      </c>
      <c r="C767" s="296" t="s">
        <v>183</v>
      </c>
      <c r="D767" s="296" t="s">
        <v>183</v>
      </c>
      <c r="E767" s="296" t="s">
        <v>183</v>
      </c>
      <c r="F767" s="296" t="s">
        <v>6070</v>
      </c>
      <c r="G767" s="296" t="s">
        <v>6071</v>
      </c>
      <c r="H767" s="296" t="s">
        <v>6072</v>
      </c>
      <c r="I767" s="296" t="s">
        <v>5966</v>
      </c>
      <c r="J767" s="296" t="s">
        <v>6073</v>
      </c>
      <c r="K767" s="296" t="s">
        <v>6074</v>
      </c>
      <c r="L767" s="296" t="s">
        <v>6069</v>
      </c>
      <c r="M767" s="296" t="s">
        <v>179</v>
      </c>
      <c r="N767" s="296" t="s">
        <v>6070</v>
      </c>
      <c r="O767" s="296" t="s">
        <v>6071</v>
      </c>
      <c r="P767" s="296" t="s">
        <v>6072</v>
      </c>
      <c r="Q767" s="296" t="s">
        <v>183</v>
      </c>
      <c r="R767" s="296" t="s">
        <v>6075</v>
      </c>
      <c r="S767" s="296" t="s">
        <v>185</v>
      </c>
      <c r="T767" s="296" t="s">
        <v>185</v>
      </c>
      <c r="U767" s="296" t="s">
        <v>186</v>
      </c>
      <c r="V767" s="296" t="s">
        <v>187</v>
      </c>
      <c r="W767" s="296" t="s">
        <v>188</v>
      </c>
      <c r="X767" s="296" t="s">
        <v>189</v>
      </c>
      <c r="Y767" s="296" t="s">
        <v>183</v>
      </c>
      <c r="Z767" s="296" t="s">
        <v>183</v>
      </c>
      <c r="AA767" s="296" t="s">
        <v>183</v>
      </c>
      <c r="AB767" s="296" t="s">
        <v>183</v>
      </c>
      <c r="AC767" s="296" t="s">
        <v>6076</v>
      </c>
      <c r="AD767" s="296" t="s">
        <v>6077</v>
      </c>
      <c r="AE767" s="296" t="s">
        <v>192</v>
      </c>
      <c r="AF767" s="296" t="s">
        <v>193</v>
      </c>
      <c r="AG767" s="296">
        <v>0</v>
      </c>
      <c r="AH767" s="298">
        <v>36571</v>
      </c>
      <c r="AJ767" s="296" t="s">
        <v>194</v>
      </c>
      <c r="AK767" s="299">
        <f>COUNTIF($A$3:A$917,A767)</f>
        <v>1</v>
      </c>
    </row>
    <row r="768" spans="1:37" x14ac:dyDescent="0.25">
      <c r="A768" s="296">
        <v>503190188</v>
      </c>
      <c r="B768" s="296" t="s">
        <v>6078</v>
      </c>
      <c r="C768" s="296" t="s">
        <v>183</v>
      </c>
      <c r="D768" s="296" t="s">
        <v>183</v>
      </c>
      <c r="E768" s="296" t="s">
        <v>183</v>
      </c>
      <c r="F768" s="296" t="s">
        <v>6079</v>
      </c>
      <c r="G768" s="296" t="s">
        <v>6079</v>
      </c>
      <c r="H768" s="296" t="s">
        <v>6080</v>
      </c>
      <c r="I768" s="296" t="s">
        <v>5966</v>
      </c>
      <c r="J768" s="296" t="s">
        <v>6081</v>
      </c>
      <c r="K768" s="296" t="s">
        <v>6082</v>
      </c>
      <c r="L768" s="296" t="s">
        <v>6078</v>
      </c>
      <c r="M768" s="296" t="s">
        <v>179</v>
      </c>
      <c r="N768" s="296" t="s">
        <v>6079</v>
      </c>
      <c r="O768" s="296" t="s">
        <v>6079</v>
      </c>
      <c r="P768" s="296" t="s">
        <v>6080</v>
      </c>
      <c r="Q768" s="296" t="s">
        <v>183</v>
      </c>
      <c r="R768" s="296" t="s">
        <v>6083</v>
      </c>
      <c r="S768" s="296" t="s">
        <v>185</v>
      </c>
      <c r="T768" s="296" t="s">
        <v>185</v>
      </c>
      <c r="U768" s="296" t="s">
        <v>186</v>
      </c>
      <c r="V768" s="296" t="s">
        <v>187</v>
      </c>
      <c r="W768" s="296" t="s">
        <v>188</v>
      </c>
      <c r="X768" s="296" t="s">
        <v>189</v>
      </c>
      <c r="Y768" s="296" t="s">
        <v>183</v>
      </c>
      <c r="Z768" s="296" t="s">
        <v>183</v>
      </c>
      <c r="AA768" s="296" t="s">
        <v>183</v>
      </c>
      <c r="AB768" s="296" t="s">
        <v>183</v>
      </c>
      <c r="AC768" s="296" t="s">
        <v>6084</v>
      </c>
      <c r="AD768" s="296" t="s">
        <v>6085</v>
      </c>
      <c r="AE768" s="296" t="s">
        <v>192</v>
      </c>
      <c r="AF768" s="296" t="s">
        <v>193</v>
      </c>
      <c r="AG768" s="296">
        <v>19106</v>
      </c>
      <c r="AH768" s="298">
        <v>40616</v>
      </c>
      <c r="AJ768" s="296" t="s">
        <v>194</v>
      </c>
      <c r="AK768" s="299">
        <f>COUNTIF($A$3:A$917,A768)</f>
        <v>1</v>
      </c>
    </row>
    <row r="769" spans="1:37" x14ac:dyDescent="0.25">
      <c r="A769" s="296">
        <v>503290543</v>
      </c>
      <c r="B769" s="296" t="s">
        <v>6086</v>
      </c>
      <c r="C769" s="296" t="s">
        <v>183</v>
      </c>
      <c r="D769" s="296" t="s">
        <v>183</v>
      </c>
      <c r="E769" s="296" t="s">
        <v>183</v>
      </c>
      <c r="F769" s="296" t="s">
        <v>6087</v>
      </c>
      <c r="G769" s="296" t="s">
        <v>6087</v>
      </c>
      <c r="H769" s="296" t="s">
        <v>6088</v>
      </c>
      <c r="I769" s="296" t="s">
        <v>6089</v>
      </c>
      <c r="J769" s="296" t="s">
        <v>6090</v>
      </c>
      <c r="K769" s="296" t="s">
        <v>183</v>
      </c>
      <c r="L769" s="296" t="s">
        <v>183</v>
      </c>
      <c r="M769" s="296" t="s">
        <v>183</v>
      </c>
      <c r="N769" s="296" t="s">
        <v>3515</v>
      </c>
      <c r="O769" s="296" t="s">
        <v>183</v>
      </c>
      <c r="P769" s="296" t="s">
        <v>183</v>
      </c>
      <c r="Q769" s="296" t="s">
        <v>183</v>
      </c>
      <c r="R769" s="296" t="s">
        <v>183</v>
      </c>
      <c r="S769" s="296" t="s">
        <v>183</v>
      </c>
      <c r="T769" s="296" t="s">
        <v>183</v>
      </c>
      <c r="U769" s="296" t="s">
        <v>183</v>
      </c>
      <c r="V769" s="296" t="s">
        <v>183</v>
      </c>
      <c r="W769" s="296" t="s">
        <v>183</v>
      </c>
      <c r="X769" s="296" t="s">
        <v>183</v>
      </c>
      <c r="Y769" s="296" t="s">
        <v>183</v>
      </c>
      <c r="Z769" s="296" t="s">
        <v>183</v>
      </c>
      <c r="AA769" s="296" t="s">
        <v>183</v>
      </c>
      <c r="AB769" s="296" t="s">
        <v>183</v>
      </c>
      <c r="AC769" s="296" t="s">
        <v>183</v>
      </c>
      <c r="AD769" s="296" t="s">
        <v>6091</v>
      </c>
      <c r="AE769" s="296" t="s">
        <v>192</v>
      </c>
      <c r="AF769" s="296" t="s">
        <v>193</v>
      </c>
      <c r="AG769" s="296">
        <v>0</v>
      </c>
      <c r="AH769" s="298">
        <v>39283</v>
      </c>
      <c r="AJ769" s="296" t="s">
        <v>194</v>
      </c>
      <c r="AK769" s="299">
        <f>COUNTIF($A$3:A$917,A769)</f>
        <v>1</v>
      </c>
    </row>
    <row r="770" spans="1:37" x14ac:dyDescent="0.25">
      <c r="A770" s="296">
        <v>503700814</v>
      </c>
      <c r="B770" s="296" t="s">
        <v>6092</v>
      </c>
      <c r="C770" s="296" t="s">
        <v>183</v>
      </c>
      <c r="D770" s="296" t="s">
        <v>183</v>
      </c>
      <c r="E770" s="296" t="s">
        <v>183</v>
      </c>
      <c r="F770" s="296" t="s">
        <v>6093</v>
      </c>
      <c r="G770" s="296" t="s">
        <v>6093</v>
      </c>
      <c r="H770" s="296" t="s">
        <v>6094</v>
      </c>
      <c r="I770" s="296" t="s">
        <v>6095</v>
      </c>
      <c r="J770" s="296" t="s">
        <v>6096</v>
      </c>
      <c r="K770" s="296" t="s">
        <v>6097</v>
      </c>
      <c r="L770" s="296" t="s">
        <v>6098</v>
      </c>
      <c r="M770" s="296" t="s">
        <v>179</v>
      </c>
      <c r="N770" s="296" t="s">
        <v>6099</v>
      </c>
      <c r="O770" s="296" t="s">
        <v>6099</v>
      </c>
      <c r="P770" s="296" t="s">
        <v>6100</v>
      </c>
      <c r="Q770" s="296" t="s">
        <v>183</v>
      </c>
      <c r="R770" s="296" t="s">
        <v>6101</v>
      </c>
      <c r="S770" s="296" t="s">
        <v>185</v>
      </c>
      <c r="T770" s="296" t="s">
        <v>185</v>
      </c>
      <c r="U770" s="296" t="s">
        <v>186</v>
      </c>
      <c r="V770" s="296" t="s">
        <v>187</v>
      </c>
      <c r="W770" s="296" t="s">
        <v>188</v>
      </c>
      <c r="X770" s="296" t="s">
        <v>189</v>
      </c>
      <c r="Y770" s="296" t="s">
        <v>183</v>
      </c>
      <c r="Z770" s="296" t="s">
        <v>183</v>
      </c>
      <c r="AA770" s="296" t="s">
        <v>183</v>
      </c>
      <c r="AB770" s="296" t="s">
        <v>183</v>
      </c>
      <c r="AC770" s="296" t="s">
        <v>6102</v>
      </c>
      <c r="AD770" s="296" t="s">
        <v>6103</v>
      </c>
      <c r="AE770" s="296" t="s">
        <v>192</v>
      </c>
      <c r="AF770" s="296" t="s">
        <v>193</v>
      </c>
      <c r="AG770" s="296">
        <v>0</v>
      </c>
      <c r="AH770" s="298">
        <v>45600</v>
      </c>
      <c r="AJ770" s="296" t="s">
        <v>194</v>
      </c>
      <c r="AK770" s="299">
        <f>COUNTIF($A$3:A$917,A770)</f>
        <v>1</v>
      </c>
    </row>
    <row r="771" spans="1:37" x14ac:dyDescent="0.25">
      <c r="A771" s="296">
        <v>602860727</v>
      </c>
      <c r="B771" s="296" t="s">
        <v>6104</v>
      </c>
      <c r="C771" s="296" t="s">
        <v>183</v>
      </c>
      <c r="D771" s="296" t="s">
        <v>183</v>
      </c>
      <c r="E771" s="296" t="s">
        <v>183</v>
      </c>
      <c r="F771" s="296" t="s">
        <v>6105</v>
      </c>
      <c r="G771" s="296" t="s">
        <v>278</v>
      </c>
      <c r="H771" s="296" t="s">
        <v>6106</v>
      </c>
      <c r="I771" s="296" t="s">
        <v>6107</v>
      </c>
      <c r="J771" s="296" t="s">
        <v>6108</v>
      </c>
      <c r="K771" s="296" t="s">
        <v>6109</v>
      </c>
      <c r="L771" s="296" t="s">
        <v>6104</v>
      </c>
      <c r="M771" s="296" t="s">
        <v>179</v>
      </c>
      <c r="N771" s="296" t="s">
        <v>6105</v>
      </c>
      <c r="O771" s="296" t="s">
        <v>278</v>
      </c>
      <c r="P771" s="296" t="s">
        <v>6106</v>
      </c>
      <c r="Q771" s="296" t="s">
        <v>183</v>
      </c>
      <c r="R771" s="296" t="s">
        <v>6110</v>
      </c>
      <c r="S771" s="296" t="s">
        <v>185</v>
      </c>
      <c r="T771" s="296" t="s">
        <v>185</v>
      </c>
      <c r="U771" s="296" t="s">
        <v>186</v>
      </c>
      <c r="V771" s="296" t="s">
        <v>187</v>
      </c>
      <c r="W771" s="296" t="s">
        <v>188</v>
      </c>
      <c r="X771" s="296" t="s">
        <v>256</v>
      </c>
      <c r="Y771" s="296" t="s">
        <v>183</v>
      </c>
      <c r="Z771" s="296" t="s">
        <v>183</v>
      </c>
      <c r="AA771" s="296" t="s">
        <v>183</v>
      </c>
      <c r="AB771" s="296" t="s">
        <v>183</v>
      </c>
      <c r="AC771" s="296" t="s">
        <v>6111</v>
      </c>
      <c r="AD771" s="296" t="s">
        <v>6112</v>
      </c>
      <c r="AE771" s="296" t="s">
        <v>192</v>
      </c>
      <c r="AF771" s="296" t="s">
        <v>193</v>
      </c>
      <c r="AG771" s="296">
        <v>0</v>
      </c>
      <c r="AH771" s="298">
        <v>40805</v>
      </c>
      <c r="AJ771" s="296" t="s">
        <v>194</v>
      </c>
      <c r="AK771" s="299">
        <f>COUNTIF($A$3:A$917,A771)</f>
        <v>1</v>
      </c>
    </row>
    <row r="772" spans="1:37" x14ac:dyDescent="0.25">
      <c r="A772" s="296">
        <v>3102938759</v>
      </c>
      <c r="B772" s="296" t="s">
        <v>6113</v>
      </c>
      <c r="C772" s="296" t="s">
        <v>183</v>
      </c>
      <c r="D772" s="296" t="s">
        <v>183</v>
      </c>
      <c r="E772" s="296" t="s">
        <v>183</v>
      </c>
      <c r="F772" s="296" t="s">
        <v>6114</v>
      </c>
      <c r="G772" s="296" t="s">
        <v>6114</v>
      </c>
      <c r="H772" s="296" t="s">
        <v>6115</v>
      </c>
      <c r="I772" s="296" t="s">
        <v>6116</v>
      </c>
      <c r="J772" s="296" t="s">
        <v>6117</v>
      </c>
      <c r="K772" s="296" t="s">
        <v>6118</v>
      </c>
      <c r="L772" s="296" t="s">
        <v>6119</v>
      </c>
      <c r="M772" s="296" t="s">
        <v>179</v>
      </c>
      <c r="N772" s="296" t="s">
        <v>6120</v>
      </c>
      <c r="O772" s="296" t="s">
        <v>6120</v>
      </c>
      <c r="P772" s="296" t="s">
        <v>6121</v>
      </c>
      <c r="Q772" s="296" t="s">
        <v>183</v>
      </c>
      <c r="R772" s="296" t="s">
        <v>6122</v>
      </c>
      <c r="S772" s="296" t="s">
        <v>185</v>
      </c>
      <c r="T772" s="296" t="s">
        <v>185</v>
      </c>
      <c r="U772" s="296" t="s">
        <v>186</v>
      </c>
      <c r="V772" s="296" t="s">
        <v>187</v>
      </c>
      <c r="W772" s="296" t="s">
        <v>188</v>
      </c>
      <c r="X772" s="296" t="s">
        <v>189</v>
      </c>
      <c r="Y772" s="296" t="s">
        <v>183</v>
      </c>
      <c r="Z772" s="296" t="s">
        <v>183</v>
      </c>
      <c r="AA772" s="296" t="s">
        <v>183</v>
      </c>
      <c r="AB772" s="296" t="s">
        <v>183</v>
      </c>
      <c r="AC772" s="296" t="s">
        <v>6123</v>
      </c>
      <c r="AD772" s="296" t="s">
        <v>6124</v>
      </c>
      <c r="AE772" s="296" t="s">
        <v>192</v>
      </c>
      <c r="AF772" s="296" t="s">
        <v>193</v>
      </c>
      <c r="AG772" s="296">
        <v>0</v>
      </c>
      <c r="AH772" s="298">
        <v>45869</v>
      </c>
      <c r="AJ772" s="296" t="s">
        <v>194</v>
      </c>
      <c r="AK772" s="299">
        <f>COUNTIF($A$3:A$917,A772)</f>
        <v>1</v>
      </c>
    </row>
    <row r="773" spans="1:37" x14ac:dyDescent="0.25">
      <c r="A773" s="296">
        <v>110780767</v>
      </c>
      <c r="B773" s="296" t="s">
        <v>6125</v>
      </c>
      <c r="C773" s="296" t="s">
        <v>183</v>
      </c>
      <c r="D773" s="296" t="s">
        <v>183</v>
      </c>
      <c r="E773" s="296" t="s">
        <v>183</v>
      </c>
      <c r="F773" s="296" t="s">
        <v>6126</v>
      </c>
      <c r="G773" s="296" t="s">
        <v>183</v>
      </c>
      <c r="H773" s="296" t="s">
        <v>6127</v>
      </c>
      <c r="I773" s="296" t="s">
        <v>6116</v>
      </c>
      <c r="J773" s="296" t="s">
        <v>6128</v>
      </c>
      <c r="K773" s="296" t="s">
        <v>4163</v>
      </c>
      <c r="L773" s="296" t="s">
        <v>4164</v>
      </c>
      <c r="M773" s="296" t="s">
        <v>179</v>
      </c>
      <c r="N773" s="296" t="s">
        <v>1643</v>
      </c>
      <c r="O773" s="296" t="s">
        <v>183</v>
      </c>
      <c r="P773" s="296" t="s">
        <v>4165</v>
      </c>
      <c r="Q773" s="296" t="s">
        <v>183</v>
      </c>
      <c r="R773" s="296" t="s">
        <v>4166</v>
      </c>
      <c r="S773" s="296" t="s">
        <v>185</v>
      </c>
      <c r="T773" s="296" t="s">
        <v>185</v>
      </c>
      <c r="U773" s="296" t="s">
        <v>186</v>
      </c>
      <c r="V773" s="296" t="s">
        <v>187</v>
      </c>
      <c r="W773" s="296" t="s">
        <v>188</v>
      </c>
      <c r="X773" s="296" t="s">
        <v>189</v>
      </c>
      <c r="Y773" s="296" t="s">
        <v>183</v>
      </c>
      <c r="Z773" s="296" t="s">
        <v>183</v>
      </c>
      <c r="AA773" s="296" t="s">
        <v>183</v>
      </c>
      <c r="AB773" s="296" t="s">
        <v>183</v>
      </c>
      <c r="AC773" s="296" t="s">
        <v>4167</v>
      </c>
      <c r="AD773" s="296" t="s">
        <v>6129</v>
      </c>
      <c r="AE773" s="296" t="s">
        <v>192</v>
      </c>
      <c r="AF773" s="296" t="s">
        <v>193</v>
      </c>
      <c r="AG773" s="296">
        <v>0</v>
      </c>
      <c r="AH773" s="298">
        <v>45327</v>
      </c>
      <c r="AJ773" s="296" t="s">
        <v>194</v>
      </c>
      <c r="AK773" s="299">
        <f>COUNTIF($A$3:A$917,A773)</f>
        <v>2</v>
      </c>
    </row>
    <row r="774" spans="1:37" x14ac:dyDescent="0.25">
      <c r="A774" s="296">
        <v>504610540</v>
      </c>
      <c r="B774" s="296" t="s">
        <v>1376</v>
      </c>
      <c r="C774" s="296" t="s">
        <v>183</v>
      </c>
      <c r="D774" s="296" t="s">
        <v>183</v>
      </c>
      <c r="E774" s="296" t="s">
        <v>183</v>
      </c>
      <c r="F774" s="296" t="s">
        <v>1377</v>
      </c>
      <c r="G774" s="296" t="s">
        <v>1377</v>
      </c>
      <c r="H774" s="296" t="s">
        <v>1378</v>
      </c>
      <c r="I774" s="296" t="s">
        <v>6116</v>
      </c>
      <c r="J774" s="296" t="s">
        <v>1379</v>
      </c>
      <c r="K774" s="296" t="s">
        <v>1380</v>
      </c>
      <c r="L774" s="296" t="s">
        <v>1381</v>
      </c>
      <c r="M774" s="296" t="s">
        <v>179</v>
      </c>
      <c r="N774" s="296" t="s">
        <v>1382</v>
      </c>
      <c r="O774" s="296" t="s">
        <v>1383</v>
      </c>
      <c r="P774" s="296" t="s">
        <v>1384</v>
      </c>
      <c r="Q774" s="296" t="s">
        <v>183</v>
      </c>
      <c r="R774" s="296" t="s">
        <v>1385</v>
      </c>
      <c r="S774" s="296" t="s">
        <v>185</v>
      </c>
      <c r="T774" s="296" t="s">
        <v>185</v>
      </c>
      <c r="U774" s="296" t="s">
        <v>186</v>
      </c>
      <c r="V774" s="296" t="s">
        <v>187</v>
      </c>
      <c r="W774" s="296" t="s">
        <v>188</v>
      </c>
      <c r="X774" s="296" t="s">
        <v>189</v>
      </c>
      <c r="Y774" s="296" t="s">
        <v>183</v>
      </c>
      <c r="Z774" s="296" t="s">
        <v>183</v>
      </c>
      <c r="AA774" s="296" t="s">
        <v>183</v>
      </c>
      <c r="AB774" s="296" t="s">
        <v>183</v>
      </c>
      <c r="AC774" s="296" t="s">
        <v>1386</v>
      </c>
      <c r="AD774" s="296" t="s">
        <v>6130</v>
      </c>
      <c r="AE774" s="296" t="s">
        <v>192</v>
      </c>
      <c r="AF774" s="296" t="s">
        <v>193</v>
      </c>
      <c r="AG774" s="296">
        <v>0</v>
      </c>
      <c r="AH774" s="298">
        <v>46010</v>
      </c>
      <c r="AJ774" s="296" t="s">
        <v>194</v>
      </c>
      <c r="AK774" s="299">
        <f>COUNTIF($A$3:A$917,A774)</f>
        <v>3</v>
      </c>
    </row>
    <row r="775" spans="1:37" x14ac:dyDescent="0.25">
      <c r="A775" s="296">
        <v>501411228</v>
      </c>
      <c r="B775" s="296" t="s">
        <v>3238</v>
      </c>
      <c r="C775" s="296" t="s">
        <v>183</v>
      </c>
      <c r="D775" s="296" t="s">
        <v>183</v>
      </c>
      <c r="E775" s="296" t="s">
        <v>183</v>
      </c>
      <c r="F775" s="296" t="s">
        <v>3239</v>
      </c>
      <c r="G775" s="296" t="s">
        <v>3239</v>
      </c>
      <c r="H775" s="296" t="s">
        <v>3240</v>
      </c>
      <c r="I775" s="296" t="s">
        <v>6116</v>
      </c>
      <c r="J775" s="296" t="s">
        <v>6131</v>
      </c>
      <c r="K775" s="296" t="s">
        <v>3237</v>
      </c>
      <c r="L775" s="296" t="s">
        <v>3238</v>
      </c>
      <c r="M775" s="296" t="s">
        <v>179</v>
      </c>
      <c r="N775" s="296" t="s">
        <v>3239</v>
      </c>
      <c r="O775" s="296" t="s">
        <v>3239</v>
      </c>
      <c r="P775" s="296" t="s">
        <v>3240</v>
      </c>
      <c r="Q775" s="296" t="s">
        <v>183</v>
      </c>
      <c r="R775" s="296" t="s">
        <v>3241</v>
      </c>
      <c r="S775" s="296" t="s">
        <v>185</v>
      </c>
      <c r="T775" s="296" t="s">
        <v>185</v>
      </c>
      <c r="U775" s="296" t="s">
        <v>186</v>
      </c>
      <c r="V775" s="296" t="s">
        <v>187</v>
      </c>
      <c r="W775" s="296" t="s">
        <v>188</v>
      </c>
      <c r="X775" s="296" t="s">
        <v>189</v>
      </c>
      <c r="Y775" s="296" t="s">
        <v>183</v>
      </c>
      <c r="Z775" s="296" t="s">
        <v>183</v>
      </c>
      <c r="AA775" s="296" t="s">
        <v>183</v>
      </c>
      <c r="AB775" s="296" t="s">
        <v>183</v>
      </c>
      <c r="AC775" s="296" t="s">
        <v>183</v>
      </c>
      <c r="AD775" s="296" t="s">
        <v>6132</v>
      </c>
      <c r="AE775" s="296" t="s">
        <v>192</v>
      </c>
      <c r="AF775" s="296" t="s">
        <v>193</v>
      </c>
      <c r="AG775" s="296">
        <v>11423.5</v>
      </c>
      <c r="AH775" s="298">
        <v>44215</v>
      </c>
      <c r="AJ775" s="296" t="s">
        <v>194</v>
      </c>
      <c r="AK775" s="299">
        <f>COUNTIF($A$3:A$917,A775)</f>
        <v>1</v>
      </c>
    </row>
    <row r="776" spans="1:37" x14ac:dyDescent="0.25">
      <c r="A776" s="296">
        <v>3101725158</v>
      </c>
      <c r="B776" s="296" t="s">
        <v>6133</v>
      </c>
      <c r="C776" s="296" t="s">
        <v>6134</v>
      </c>
      <c r="D776" s="296" t="s">
        <v>6135</v>
      </c>
      <c r="E776" s="296" t="s">
        <v>172</v>
      </c>
      <c r="F776" s="296" t="s">
        <v>6136</v>
      </c>
      <c r="G776" s="296" t="s">
        <v>278</v>
      </c>
      <c r="H776" s="296" t="s">
        <v>183</v>
      </c>
      <c r="I776" s="296" t="s">
        <v>6116</v>
      </c>
      <c r="J776" s="296" t="s">
        <v>6137</v>
      </c>
      <c r="K776" s="296" t="s">
        <v>850</v>
      </c>
      <c r="L776" s="296" t="s">
        <v>851</v>
      </c>
      <c r="M776" s="296" t="s">
        <v>179</v>
      </c>
      <c r="N776" s="296" t="s">
        <v>852</v>
      </c>
      <c r="O776" s="296" t="s">
        <v>852</v>
      </c>
      <c r="P776" s="296" t="s">
        <v>853</v>
      </c>
      <c r="Q776" s="296" t="s">
        <v>183</v>
      </c>
      <c r="R776" s="296" t="s">
        <v>6138</v>
      </c>
      <c r="S776" s="296" t="s">
        <v>185</v>
      </c>
      <c r="T776" s="296" t="s">
        <v>185</v>
      </c>
      <c r="U776" s="296" t="s">
        <v>186</v>
      </c>
      <c r="V776" s="296" t="s">
        <v>187</v>
      </c>
      <c r="W776" s="296" t="s">
        <v>188</v>
      </c>
      <c r="X776" s="296" t="s">
        <v>189</v>
      </c>
      <c r="Y776" s="296" t="s">
        <v>183</v>
      </c>
      <c r="Z776" s="296" t="s">
        <v>183</v>
      </c>
      <c r="AA776" s="296" t="s">
        <v>183</v>
      </c>
      <c r="AB776" s="296" t="s">
        <v>183</v>
      </c>
      <c r="AC776" s="296" t="s">
        <v>6139</v>
      </c>
      <c r="AD776" s="296" t="s">
        <v>6140</v>
      </c>
      <c r="AE776" s="296" t="s">
        <v>192</v>
      </c>
      <c r="AF776" s="296" t="s">
        <v>193</v>
      </c>
      <c r="AG776" s="296">
        <v>0</v>
      </c>
      <c r="AH776" s="298">
        <v>43710</v>
      </c>
      <c r="AJ776" s="296" t="s">
        <v>194</v>
      </c>
      <c r="AK776" s="299">
        <f>COUNTIF($A$3:A$917,A776)</f>
        <v>1</v>
      </c>
    </row>
    <row r="777" spans="1:37" x14ac:dyDescent="0.25">
      <c r="A777" s="296">
        <v>117530019</v>
      </c>
      <c r="B777" s="296" t="s">
        <v>6141</v>
      </c>
      <c r="C777" s="296" t="s">
        <v>183</v>
      </c>
      <c r="D777" s="296" t="s">
        <v>183</v>
      </c>
      <c r="E777" s="296" t="s">
        <v>183</v>
      </c>
      <c r="F777" s="296" t="s">
        <v>1664</v>
      </c>
      <c r="G777" s="296" t="s">
        <v>6142</v>
      </c>
      <c r="H777" s="296" t="s">
        <v>6143</v>
      </c>
      <c r="I777" s="296" t="s">
        <v>6116</v>
      </c>
      <c r="J777" s="296" t="s">
        <v>6144</v>
      </c>
      <c r="K777" s="296" t="s">
        <v>6145</v>
      </c>
      <c r="L777" s="296" t="s">
        <v>6146</v>
      </c>
      <c r="M777" s="296" t="s">
        <v>179</v>
      </c>
      <c r="N777" s="296" t="s">
        <v>1664</v>
      </c>
      <c r="O777" s="296" t="s">
        <v>183</v>
      </c>
      <c r="P777" s="296" t="s">
        <v>6143</v>
      </c>
      <c r="Q777" s="296" t="s">
        <v>183</v>
      </c>
      <c r="R777" s="296" t="s">
        <v>6147</v>
      </c>
      <c r="S777" s="296" t="s">
        <v>185</v>
      </c>
      <c r="T777" s="296" t="s">
        <v>185</v>
      </c>
      <c r="U777" s="296" t="s">
        <v>186</v>
      </c>
      <c r="V777" s="296" t="s">
        <v>187</v>
      </c>
      <c r="W777" s="296" t="s">
        <v>188</v>
      </c>
      <c r="X777" s="296" t="s">
        <v>189</v>
      </c>
      <c r="Y777" s="296" t="s">
        <v>183</v>
      </c>
      <c r="Z777" s="296" t="s">
        <v>183</v>
      </c>
      <c r="AA777" s="296" t="s">
        <v>183</v>
      </c>
      <c r="AB777" s="296" t="s">
        <v>183</v>
      </c>
      <c r="AC777" s="296" t="s">
        <v>6148</v>
      </c>
      <c r="AD777" s="296" t="s">
        <v>6149</v>
      </c>
      <c r="AE777" s="296" t="s">
        <v>192</v>
      </c>
      <c r="AF777" s="296" t="s">
        <v>193</v>
      </c>
      <c r="AG777" s="296">
        <v>0</v>
      </c>
      <c r="AH777" s="298">
        <v>43355</v>
      </c>
      <c r="AJ777" s="296" t="s">
        <v>194</v>
      </c>
      <c r="AK777" s="299">
        <f>COUNTIF($A$3:A$917,A777)</f>
        <v>2</v>
      </c>
    </row>
    <row r="778" spans="1:37" x14ac:dyDescent="0.25">
      <c r="A778" s="296">
        <v>502540856</v>
      </c>
      <c r="B778" s="296" t="s">
        <v>6150</v>
      </c>
      <c r="C778" s="296" t="s">
        <v>183</v>
      </c>
      <c r="D778" s="296" t="s">
        <v>183</v>
      </c>
      <c r="E778" s="296" t="s">
        <v>183</v>
      </c>
      <c r="F778" s="296" t="s">
        <v>1664</v>
      </c>
      <c r="G778" s="296" t="s">
        <v>1664</v>
      </c>
      <c r="H778" s="296" t="s">
        <v>6143</v>
      </c>
      <c r="I778" s="296" t="s">
        <v>6116</v>
      </c>
      <c r="J778" s="296" t="s">
        <v>6151</v>
      </c>
      <c r="K778" s="296" t="s">
        <v>6152</v>
      </c>
      <c r="L778" s="296" t="s">
        <v>6153</v>
      </c>
      <c r="M778" s="296" t="s">
        <v>179</v>
      </c>
      <c r="N778" s="296" t="s">
        <v>6154</v>
      </c>
      <c r="O778" s="296" t="s">
        <v>183</v>
      </c>
      <c r="P778" s="296" t="s">
        <v>6155</v>
      </c>
      <c r="Q778" s="296" t="s">
        <v>183</v>
      </c>
      <c r="R778" s="296" t="s">
        <v>6156</v>
      </c>
      <c r="S778" s="296" t="s">
        <v>185</v>
      </c>
      <c r="T778" s="296" t="s">
        <v>185</v>
      </c>
      <c r="U778" s="296" t="s">
        <v>186</v>
      </c>
      <c r="V778" s="296" t="s">
        <v>187</v>
      </c>
      <c r="W778" s="296" t="s">
        <v>188</v>
      </c>
      <c r="X778" s="296" t="s">
        <v>189</v>
      </c>
      <c r="Y778" s="296" t="s">
        <v>183</v>
      </c>
      <c r="Z778" s="296" t="s">
        <v>183</v>
      </c>
      <c r="AA778" s="296" t="s">
        <v>183</v>
      </c>
      <c r="AB778" s="296" t="s">
        <v>183</v>
      </c>
      <c r="AC778" s="296" t="s">
        <v>6157</v>
      </c>
      <c r="AD778" s="296" t="s">
        <v>6158</v>
      </c>
      <c r="AE778" s="296" t="s">
        <v>192</v>
      </c>
      <c r="AF778" s="296" t="s">
        <v>193</v>
      </c>
      <c r="AG778" s="296">
        <v>0</v>
      </c>
      <c r="AH778" s="298">
        <v>40192</v>
      </c>
      <c r="AJ778" s="296" t="s">
        <v>194</v>
      </c>
      <c r="AK778" s="299">
        <f>COUNTIF($A$3:A$917,A778)</f>
        <v>2</v>
      </c>
    </row>
    <row r="779" spans="1:37" x14ac:dyDescent="0.25">
      <c r="A779" s="296">
        <v>107680253</v>
      </c>
      <c r="B779" s="296" t="s">
        <v>6159</v>
      </c>
      <c r="C779" s="296" t="s">
        <v>183</v>
      </c>
      <c r="D779" s="296" t="s">
        <v>183</v>
      </c>
      <c r="E779" s="296" t="s">
        <v>183</v>
      </c>
      <c r="F779" s="296" t="s">
        <v>6160</v>
      </c>
      <c r="G779" s="296" t="s">
        <v>183</v>
      </c>
      <c r="H779" s="296" t="s">
        <v>6161</v>
      </c>
      <c r="I779" s="296" t="s">
        <v>6162</v>
      </c>
      <c r="J779" s="296" t="s">
        <v>6163</v>
      </c>
      <c r="K779" s="296" t="s">
        <v>6164</v>
      </c>
      <c r="L779" s="296" t="s">
        <v>6159</v>
      </c>
      <c r="M779" s="296" t="s">
        <v>179</v>
      </c>
      <c r="N779" s="296" t="s">
        <v>6160</v>
      </c>
      <c r="O779" s="296" t="s">
        <v>183</v>
      </c>
      <c r="P779" s="296" t="s">
        <v>6161</v>
      </c>
      <c r="Q779" s="296" t="s">
        <v>183</v>
      </c>
      <c r="R779" s="296" t="s">
        <v>6165</v>
      </c>
      <c r="S779" s="296" t="s">
        <v>185</v>
      </c>
      <c r="T779" s="296" t="s">
        <v>185</v>
      </c>
      <c r="U779" s="296" t="s">
        <v>186</v>
      </c>
      <c r="V779" s="296" t="s">
        <v>187</v>
      </c>
      <c r="W779" s="296" t="s">
        <v>188</v>
      </c>
      <c r="X779" s="296" t="s">
        <v>256</v>
      </c>
      <c r="Y779" s="296" t="s">
        <v>183</v>
      </c>
      <c r="Z779" s="296" t="s">
        <v>183</v>
      </c>
      <c r="AA779" s="296" t="s">
        <v>183</v>
      </c>
      <c r="AB779" s="296" t="s">
        <v>183</v>
      </c>
      <c r="AC779" s="296" t="s">
        <v>6166</v>
      </c>
      <c r="AD779" s="296" t="s">
        <v>6167</v>
      </c>
      <c r="AE779" s="296" t="s">
        <v>192</v>
      </c>
      <c r="AF779" s="296" t="s">
        <v>193</v>
      </c>
      <c r="AG779" s="296">
        <v>0</v>
      </c>
      <c r="AH779" s="298">
        <v>45985</v>
      </c>
      <c r="AJ779" s="296" t="s">
        <v>194</v>
      </c>
      <c r="AK779" s="299">
        <f>COUNTIF($A$3:A$917,A779)</f>
        <v>1</v>
      </c>
    </row>
    <row r="780" spans="1:37" x14ac:dyDescent="0.25">
      <c r="A780" s="296">
        <v>112380200</v>
      </c>
      <c r="B780" s="296" t="s">
        <v>6168</v>
      </c>
      <c r="C780" s="296" t="s">
        <v>183</v>
      </c>
      <c r="D780" s="296" t="s">
        <v>183</v>
      </c>
      <c r="E780" s="296" t="s">
        <v>183</v>
      </c>
      <c r="F780" s="296" t="s">
        <v>6169</v>
      </c>
      <c r="G780" s="296" t="s">
        <v>6169</v>
      </c>
      <c r="H780" s="296" t="s">
        <v>6170</v>
      </c>
      <c r="I780" s="296" t="s">
        <v>6162</v>
      </c>
      <c r="J780" s="296" t="s">
        <v>6171</v>
      </c>
      <c r="K780" s="296" t="s">
        <v>6172</v>
      </c>
      <c r="L780" s="296" t="s">
        <v>6173</v>
      </c>
      <c r="M780" s="296" t="s">
        <v>179</v>
      </c>
      <c r="N780" s="296" t="s">
        <v>6174</v>
      </c>
      <c r="O780" s="296" t="s">
        <v>6174</v>
      </c>
      <c r="P780" s="296" t="s">
        <v>6175</v>
      </c>
      <c r="Q780" s="296" t="s">
        <v>183</v>
      </c>
      <c r="R780" s="296" t="s">
        <v>6176</v>
      </c>
      <c r="S780" s="296" t="s">
        <v>185</v>
      </c>
      <c r="T780" s="296" t="s">
        <v>185</v>
      </c>
      <c r="U780" s="296" t="s">
        <v>186</v>
      </c>
      <c r="V780" s="296" t="s">
        <v>187</v>
      </c>
      <c r="W780" s="296" t="s">
        <v>188</v>
      </c>
      <c r="X780" s="296" t="s">
        <v>256</v>
      </c>
      <c r="Y780" s="296" t="s">
        <v>183</v>
      </c>
      <c r="Z780" s="296" t="s">
        <v>183</v>
      </c>
      <c r="AA780" s="296" t="s">
        <v>183</v>
      </c>
      <c r="AB780" s="296" t="s">
        <v>183</v>
      </c>
      <c r="AC780" s="296" t="s">
        <v>6177</v>
      </c>
      <c r="AD780" s="296" t="s">
        <v>6178</v>
      </c>
      <c r="AE780" s="296" t="s">
        <v>192</v>
      </c>
      <c r="AF780" s="296" t="s">
        <v>193</v>
      </c>
      <c r="AG780" s="296">
        <v>0</v>
      </c>
      <c r="AH780" s="298">
        <v>45719</v>
      </c>
      <c r="AJ780" s="296" t="s">
        <v>194</v>
      </c>
      <c r="AK780" s="299">
        <f>COUNTIF($A$3:A$917,A780)</f>
        <v>3</v>
      </c>
    </row>
    <row r="781" spans="1:37" x14ac:dyDescent="0.25">
      <c r="A781" s="296">
        <v>504690797</v>
      </c>
      <c r="B781" s="296" t="s">
        <v>1866</v>
      </c>
      <c r="C781" s="296" t="s">
        <v>183</v>
      </c>
      <c r="D781" s="296" t="s">
        <v>183</v>
      </c>
      <c r="E781" s="296" t="s">
        <v>183</v>
      </c>
      <c r="F781" s="296" t="s">
        <v>1867</v>
      </c>
      <c r="G781" s="296" t="s">
        <v>1867</v>
      </c>
      <c r="H781" s="296" t="s">
        <v>1868</v>
      </c>
      <c r="I781" s="296" t="s">
        <v>6179</v>
      </c>
      <c r="J781" s="296" t="s">
        <v>1870</v>
      </c>
      <c r="K781" s="296" t="s">
        <v>1269</v>
      </c>
      <c r="L781" s="296" t="s">
        <v>1270</v>
      </c>
      <c r="M781" s="296" t="s">
        <v>179</v>
      </c>
      <c r="N781" s="296" t="s">
        <v>1271</v>
      </c>
      <c r="O781" s="296" t="s">
        <v>1272</v>
      </c>
      <c r="P781" s="296" t="s">
        <v>1273</v>
      </c>
      <c r="Q781" s="296" t="s">
        <v>183</v>
      </c>
      <c r="R781" s="296" t="s">
        <v>1871</v>
      </c>
      <c r="S781" s="296" t="s">
        <v>185</v>
      </c>
      <c r="T781" s="296" t="s">
        <v>185</v>
      </c>
      <c r="U781" s="296" t="s">
        <v>186</v>
      </c>
      <c r="V781" s="296" t="s">
        <v>187</v>
      </c>
      <c r="W781" s="296" t="s">
        <v>188</v>
      </c>
      <c r="X781" s="296" t="s">
        <v>189</v>
      </c>
      <c r="Y781" s="296" t="s">
        <v>183</v>
      </c>
      <c r="Z781" s="296" t="s">
        <v>183</v>
      </c>
      <c r="AA781" s="296" t="s">
        <v>183</v>
      </c>
      <c r="AB781" s="296" t="s">
        <v>183</v>
      </c>
      <c r="AC781" s="296" t="s">
        <v>1872</v>
      </c>
      <c r="AD781" s="296" t="s">
        <v>6180</v>
      </c>
      <c r="AE781" s="296" t="s">
        <v>192</v>
      </c>
      <c r="AF781" s="296" t="s">
        <v>193</v>
      </c>
      <c r="AG781" s="296">
        <v>0</v>
      </c>
      <c r="AH781" s="298">
        <v>45565</v>
      </c>
      <c r="AJ781" s="296" t="s">
        <v>194</v>
      </c>
      <c r="AK781" s="299">
        <f>COUNTIF($A$3:A$917,A781)</f>
        <v>3</v>
      </c>
    </row>
    <row r="782" spans="1:37" x14ac:dyDescent="0.25">
      <c r="A782" s="296">
        <v>504210481</v>
      </c>
      <c r="B782" s="296" t="s">
        <v>6181</v>
      </c>
      <c r="C782" s="296" t="s">
        <v>183</v>
      </c>
      <c r="D782" s="296" t="s">
        <v>183</v>
      </c>
      <c r="E782" s="296" t="s">
        <v>183</v>
      </c>
      <c r="F782" s="296" t="s">
        <v>6182</v>
      </c>
      <c r="G782" s="296" t="s">
        <v>278</v>
      </c>
      <c r="H782" s="296" t="s">
        <v>6183</v>
      </c>
      <c r="I782" s="296" t="s">
        <v>6179</v>
      </c>
      <c r="J782" s="296" t="s">
        <v>6184</v>
      </c>
      <c r="K782" s="296" t="s">
        <v>2864</v>
      </c>
      <c r="L782" s="296" t="s">
        <v>2862</v>
      </c>
      <c r="M782" s="296" t="s">
        <v>179</v>
      </c>
      <c r="N782" s="296" t="s">
        <v>906</v>
      </c>
      <c r="O782" s="296" t="s">
        <v>2865</v>
      </c>
      <c r="P782" s="296" t="s">
        <v>907</v>
      </c>
      <c r="Q782" s="296" t="s">
        <v>183</v>
      </c>
      <c r="R782" s="296" t="s">
        <v>2866</v>
      </c>
      <c r="S782" s="296" t="s">
        <v>185</v>
      </c>
      <c r="T782" s="296" t="s">
        <v>185</v>
      </c>
      <c r="U782" s="296" t="s">
        <v>186</v>
      </c>
      <c r="V782" s="296" t="s">
        <v>187</v>
      </c>
      <c r="W782" s="296" t="s">
        <v>188</v>
      </c>
      <c r="X782" s="296" t="s">
        <v>189</v>
      </c>
      <c r="Y782" s="296" t="s">
        <v>183</v>
      </c>
      <c r="Z782" s="296" t="s">
        <v>183</v>
      </c>
      <c r="AA782" s="296" t="s">
        <v>183</v>
      </c>
      <c r="AB782" s="296" t="s">
        <v>183</v>
      </c>
      <c r="AC782" s="296" t="s">
        <v>2867</v>
      </c>
      <c r="AD782" s="296" t="s">
        <v>6185</v>
      </c>
      <c r="AE782" s="296" t="s">
        <v>192</v>
      </c>
      <c r="AF782" s="296" t="s">
        <v>193</v>
      </c>
      <c r="AG782" s="296">
        <v>0</v>
      </c>
      <c r="AH782" s="298">
        <v>43614</v>
      </c>
      <c r="AJ782" s="296" t="s">
        <v>194</v>
      </c>
      <c r="AK782" s="299">
        <f>COUNTIF($A$3:A$917,A782)</f>
        <v>1</v>
      </c>
    </row>
    <row r="783" spans="1:37" x14ac:dyDescent="0.25">
      <c r="A783" s="296">
        <v>155807604700</v>
      </c>
      <c r="B783" s="296" t="s">
        <v>6186</v>
      </c>
      <c r="C783" s="296" t="s">
        <v>183</v>
      </c>
      <c r="D783" s="296" t="s">
        <v>183</v>
      </c>
      <c r="E783" s="296" t="s">
        <v>183</v>
      </c>
      <c r="F783" s="296" t="s">
        <v>6187</v>
      </c>
      <c r="G783" s="296" t="s">
        <v>278</v>
      </c>
      <c r="H783" s="296" t="s">
        <v>6188</v>
      </c>
      <c r="I783" s="296" t="s">
        <v>6179</v>
      </c>
      <c r="J783" s="296" t="s">
        <v>6189</v>
      </c>
      <c r="K783" s="296" t="s">
        <v>6190</v>
      </c>
      <c r="L783" s="296" t="s">
        <v>6191</v>
      </c>
      <c r="M783" s="296" t="s">
        <v>179</v>
      </c>
      <c r="N783" s="296" t="s">
        <v>6192</v>
      </c>
      <c r="O783" s="296" t="s">
        <v>278</v>
      </c>
      <c r="P783" s="296" t="s">
        <v>6193</v>
      </c>
      <c r="Q783" s="296" t="s">
        <v>183</v>
      </c>
      <c r="R783" s="296" t="s">
        <v>6194</v>
      </c>
      <c r="S783" s="296" t="s">
        <v>185</v>
      </c>
      <c r="T783" s="296" t="s">
        <v>185</v>
      </c>
      <c r="U783" s="296" t="s">
        <v>186</v>
      </c>
      <c r="V783" s="296" t="s">
        <v>187</v>
      </c>
      <c r="W783" s="296" t="s">
        <v>188</v>
      </c>
      <c r="X783" s="296" t="s">
        <v>189</v>
      </c>
      <c r="Y783" s="296" t="s">
        <v>183</v>
      </c>
      <c r="Z783" s="296" t="s">
        <v>183</v>
      </c>
      <c r="AA783" s="296" t="s">
        <v>183</v>
      </c>
      <c r="AB783" s="296" t="s">
        <v>183</v>
      </c>
      <c r="AC783" s="296" t="s">
        <v>1917</v>
      </c>
      <c r="AD783" s="296" t="s">
        <v>6195</v>
      </c>
      <c r="AE783" s="296" t="s">
        <v>192</v>
      </c>
      <c r="AF783" s="296" t="s">
        <v>193</v>
      </c>
      <c r="AG783" s="296">
        <v>0</v>
      </c>
      <c r="AH783" s="298">
        <v>40479</v>
      </c>
      <c r="AJ783" s="296" t="s">
        <v>194</v>
      </c>
      <c r="AK783" s="299">
        <f>COUNTIF($A$3:A$917,A783)</f>
        <v>1</v>
      </c>
    </row>
    <row r="784" spans="1:37" x14ac:dyDescent="0.25">
      <c r="A784" s="296">
        <v>503100564</v>
      </c>
      <c r="B784" s="296" t="s">
        <v>6196</v>
      </c>
      <c r="C784" s="296" t="s">
        <v>183</v>
      </c>
      <c r="D784" s="296" t="s">
        <v>183</v>
      </c>
      <c r="E784" s="296" t="s">
        <v>183</v>
      </c>
      <c r="F784" s="296" t="s">
        <v>6197</v>
      </c>
      <c r="G784" s="296" t="s">
        <v>6197</v>
      </c>
      <c r="H784" s="296" t="s">
        <v>6198</v>
      </c>
      <c r="I784" s="296" t="s">
        <v>6179</v>
      </c>
      <c r="J784" s="296" t="s">
        <v>6199</v>
      </c>
      <c r="K784" s="296" t="s">
        <v>177</v>
      </c>
      <c r="L784" s="296" t="s">
        <v>178</v>
      </c>
      <c r="M784" s="296" t="s">
        <v>179</v>
      </c>
      <c r="N784" s="296" t="s">
        <v>180</v>
      </c>
      <c r="O784" s="296" t="s">
        <v>181</v>
      </c>
      <c r="P784" s="296" t="s">
        <v>182</v>
      </c>
      <c r="Q784" s="296" t="s">
        <v>183</v>
      </c>
      <c r="R784" s="296" t="s">
        <v>1434</v>
      </c>
      <c r="S784" s="296" t="s">
        <v>185</v>
      </c>
      <c r="T784" s="296" t="s">
        <v>185</v>
      </c>
      <c r="U784" s="296" t="s">
        <v>186</v>
      </c>
      <c r="V784" s="296" t="s">
        <v>187</v>
      </c>
      <c r="W784" s="296" t="s">
        <v>188</v>
      </c>
      <c r="X784" s="296" t="s">
        <v>256</v>
      </c>
      <c r="Y784" s="296" t="s">
        <v>183</v>
      </c>
      <c r="Z784" s="296" t="s">
        <v>183</v>
      </c>
      <c r="AA784" s="296" t="s">
        <v>183</v>
      </c>
      <c r="AB784" s="296" t="s">
        <v>183</v>
      </c>
      <c r="AC784" s="296" t="s">
        <v>1435</v>
      </c>
      <c r="AD784" s="296" t="s">
        <v>6200</v>
      </c>
      <c r="AE784" s="296" t="s">
        <v>192</v>
      </c>
      <c r="AF784" s="296" t="s">
        <v>193</v>
      </c>
      <c r="AG784" s="296">
        <v>0</v>
      </c>
      <c r="AH784" s="298">
        <v>42436</v>
      </c>
      <c r="AJ784" s="296" t="s">
        <v>194</v>
      </c>
      <c r="AK784" s="299">
        <f>COUNTIF($A$3:A$917,A784)</f>
        <v>1</v>
      </c>
    </row>
    <row r="785" spans="1:37" x14ac:dyDescent="0.25">
      <c r="A785" s="296">
        <v>3102415459</v>
      </c>
      <c r="B785" s="296" t="s">
        <v>6201</v>
      </c>
      <c r="C785" s="296" t="s">
        <v>6202</v>
      </c>
      <c r="D785" s="296" t="s">
        <v>6203</v>
      </c>
      <c r="E785" s="296" t="s">
        <v>172</v>
      </c>
      <c r="F785" s="296" t="s">
        <v>6204</v>
      </c>
      <c r="G785" s="296" t="s">
        <v>183</v>
      </c>
      <c r="H785" s="296" t="s">
        <v>6205</v>
      </c>
      <c r="I785" s="296" t="s">
        <v>6179</v>
      </c>
      <c r="J785" s="296" t="s">
        <v>6206</v>
      </c>
      <c r="K785" s="296" t="s">
        <v>6207</v>
      </c>
      <c r="L785" s="296" t="s">
        <v>6208</v>
      </c>
      <c r="M785" s="296" t="s">
        <v>179</v>
      </c>
      <c r="N785" s="296" t="s">
        <v>6209</v>
      </c>
      <c r="O785" s="296" t="s">
        <v>6209</v>
      </c>
      <c r="P785" s="296" t="s">
        <v>6210</v>
      </c>
      <c r="Q785" s="296" t="s">
        <v>183</v>
      </c>
      <c r="R785" s="296" t="s">
        <v>6211</v>
      </c>
      <c r="S785" s="296" t="s">
        <v>185</v>
      </c>
      <c r="T785" s="296" t="s">
        <v>185</v>
      </c>
      <c r="U785" s="296" t="s">
        <v>186</v>
      </c>
      <c r="V785" s="296" t="s">
        <v>187</v>
      </c>
      <c r="W785" s="296" t="s">
        <v>188</v>
      </c>
      <c r="X785" s="296" t="s">
        <v>189</v>
      </c>
      <c r="Y785" s="296" t="s">
        <v>183</v>
      </c>
      <c r="Z785" s="296" t="s">
        <v>183</v>
      </c>
      <c r="AA785" s="296" t="s">
        <v>183</v>
      </c>
      <c r="AB785" s="296" t="s">
        <v>183</v>
      </c>
      <c r="AC785" s="296" t="s">
        <v>6212</v>
      </c>
      <c r="AD785" s="296" t="s">
        <v>6213</v>
      </c>
      <c r="AE785" s="296" t="s">
        <v>192</v>
      </c>
      <c r="AF785" s="296" t="s">
        <v>193</v>
      </c>
      <c r="AG785" s="296">
        <v>0</v>
      </c>
      <c r="AH785" s="298">
        <v>45777</v>
      </c>
      <c r="AJ785" s="296" t="s">
        <v>194</v>
      </c>
      <c r="AK785" s="299">
        <f>COUNTIF($A$3:A$917,A785)</f>
        <v>1</v>
      </c>
    </row>
    <row r="786" spans="1:37" x14ac:dyDescent="0.25">
      <c r="A786" s="296">
        <v>206310489</v>
      </c>
      <c r="B786" s="296" t="s">
        <v>6214</v>
      </c>
      <c r="C786" s="296" t="s">
        <v>183</v>
      </c>
      <c r="D786" s="296" t="s">
        <v>183</v>
      </c>
      <c r="E786" s="296" t="s">
        <v>183</v>
      </c>
      <c r="F786" s="296" t="s">
        <v>6215</v>
      </c>
      <c r="G786" s="296" t="s">
        <v>6215</v>
      </c>
      <c r="H786" s="296" t="s">
        <v>6216</v>
      </c>
      <c r="I786" s="296" t="s">
        <v>6179</v>
      </c>
      <c r="J786" s="296" t="s">
        <v>6217</v>
      </c>
      <c r="K786" s="296" t="s">
        <v>1269</v>
      </c>
      <c r="L786" s="296" t="s">
        <v>1270</v>
      </c>
      <c r="M786" s="296" t="s">
        <v>179</v>
      </c>
      <c r="N786" s="296" t="s">
        <v>1271</v>
      </c>
      <c r="O786" s="296" t="s">
        <v>1272</v>
      </c>
      <c r="P786" s="296" t="s">
        <v>1273</v>
      </c>
      <c r="Q786" s="296" t="s">
        <v>183</v>
      </c>
      <c r="R786" s="296" t="s">
        <v>1274</v>
      </c>
      <c r="S786" s="296" t="s">
        <v>185</v>
      </c>
      <c r="T786" s="296" t="s">
        <v>185</v>
      </c>
      <c r="U786" s="296" t="s">
        <v>186</v>
      </c>
      <c r="V786" s="296" t="s">
        <v>187</v>
      </c>
      <c r="W786" s="296" t="s">
        <v>188</v>
      </c>
      <c r="X786" s="296" t="s">
        <v>189</v>
      </c>
      <c r="Y786" s="296" t="s">
        <v>183</v>
      </c>
      <c r="Z786" s="296" t="s">
        <v>183</v>
      </c>
      <c r="AA786" s="296" t="s">
        <v>183</v>
      </c>
      <c r="AB786" s="296" t="s">
        <v>183</v>
      </c>
      <c r="AC786" s="296" t="s">
        <v>1275</v>
      </c>
      <c r="AD786" s="296" t="s">
        <v>6218</v>
      </c>
      <c r="AE786" s="296" t="s">
        <v>192</v>
      </c>
      <c r="AF786" s="296" t="s">
        <v>193</v>
      </c>
      <c r="AG786" s="296">
        <v>0</v>
      </c>
      <c r="AH786" s="298">
        <v>44601</v>
      </c>
      <c r="AJ786" s="296" t="s">
        <v>194</v>
      </c>
      <c r="AK786" s="299">
        <f>COUNTIF($A$3:A$917,A786)</f>
        <v>1</v>
      </c>
    </row>
    <row r="787" spans="1:37" x14ac:dyDescent="0.25">
      <c r="A787" s="296">
        <v>503770550</v>
      </c>
      <c r="B787" s="296" t="s">
        <v>6219</v>
      </c>
      <c r="C787" s="296" t="s">
        <v>183</v>
      </c>
      <c r="D787" s="296" t="s">
        <v>183</v>
      </c>
      <c r="E787" s="296" t="s">
        <v>183</v>
      </c>
      <c r="F787" s="296" t="s">
        <v>6220</v>
      </c>
      <c r="G787" s="296" t="s">
        <v>183</v>
      </c>
      <c r="H787" s="296" t="s">
        <v>6221</v>
      </c>
      <c r="I787" s="296" t="s">
        <v>6179</v>
      </c>
      <c r="J787" s="296" t="s">
        <v>6222</v>
      </c>
      <c r="K787" s="296" t="s">
        <v>6223</v>
      </c>
      <c r="L787" s="296" t="s">
        <v>6224</v>
      </c>
      <c r="M787" s="296" t="s">
        <v>179</v>
      </c>
      <c r="N787" s="296" t="s">
        <v>6225</v>
      </c>
      <c r="O787" s="296" t="s">
        <v>6225</v>
      </c>
      <c r="P787" s="296" t="s">
        <v>6226</v>
      </c>
      <c r="Q787" s="296" t="s">
        <v>183</v>
      </c>
      <c r="R787" s="296" t="s">
        <v>6227</v>
      </c>
      <c r="S787" s="296" t="s">
        <v>194</v>
      </c>
      <c r="T787" s="296" t="s">
        <v>185</v>
      </c>
      <c r="U787" s="296" t="s">
        <v>186</v>
      </c>
      <c r="V787" s="296" t="s">
        <v>187</v>
      </c>
      <c r="W787" s="296" t="s">
        <v>188</v>
      </c>
      <c r="X787" s="296" t="s">
        <v>189</v>
      </c>
      <c r="Y787" s="296" t="s">
        <v>183</v>
      </c>
      <c r="Z787" s="296" t="s">
        <v>183</v>
      </c>
      <c r="AA787" s="296" t="s">
        <v>183</v>
      </c>
      <c r="AB787" s="296" t="s">
        <v>183</v>
      </c>
      <c r="AC787" s="296" t="s">
        <v>6228</v>
      </c>
      <c r="AD787" s="296" t="s">
        <v>6229</v>
      </c>
      <c r="AE787" s="296" t="s">
        <v>192</v>
      </c>
      <c r="AF787" s="296" t="s">
        <v>193</v>
      </c>
      <c r="AG787" s="296">
        <v>0</v>
      </c>
      <c r="AH787" s="298">
        <v>44684</v>
      </c>
      <c r="AJ787" s="296" t="s">
        <v>194</v>
      </c>
      <c r="AK787" s="299">
        <f>COUNTIF($A$3:A$917,A787)</f>
        <v>1</v>
      </c>
    </row>
    <row r="788" spans="1:37" x14ac:dyDescent="0.25">
      <c r="A788" s="296">
        <v>504380876</v>
      </c>
      <c r="B788" s="296" t="s">
        <v>6230</v>
      </c>
      <c r="C788" s="296" t="s">
        <v>183</v>
      </c>
      <c r="D788" s="296" t="s">
        <v>183</v>
      </c>
      <c r="E788" s="296" t="s">
        <v>183</v>
      </c>
      <c r="F788" s="296" t="s">
        <v>6231</v>
      </c>
      <c r="G788" s="296" t="s">
        <v>183</v>
      </c>
      <c r="H788" s="296" t="s">
        <v>6232</v>
      </c>
      <c r="I788" s="296" t="s">
        <v>6179</v>
      </c>
      <c r="J788" s="296" t="s">
        <v>6233</v>
      </c>
      <c r="K788" s="296" t="s">
        <v>6234</v>
      </c>
      <c r="L788" s="296" t="s">
        <v>6235</v>
      </c>
      <c r="M788" s="296" t="s">
        <v>179</v>
      </c>
      <c r="N788" s="296" t="s">
        <v>6236</v>
      </c>
      <c r="O788" s="296" t="s">
        <v>183</v>
      </c>
      <c r="P788" s="296" t="s">
        <v>6237</v>
      </c>
      <c r="Q788" s="296" t="s">
        <v>183</v>
      </c>
      <c r="R788" s="296" t="s">
        <v>6238</v>
      </c>
      <c r="S788" s="296" t="s">
        <v>185</v>
      </c>
      <c r="T788" s="296" t="s">
        <v>185</v>
      </c>
      <c r="U788" s="296" t="s">
        <v>186</v>
      </c>
      <c r="V788" s="296" t="s">
        <v>187</v>
      </c>
      <c r="W788" s="296" t="s">
        <v>188</v>
      </c>
      <c r="X788" s="296" t="s">
        <v>189</v>
      </c>
      <c r="Y788" s="296" t="s">
        <v>183</v>
      </c>
      <c r="Z788" s="296" t="s">
        <v>183</v>
      </c>
      <c r="AA788" s="296" t="s">
        <v>183</v>
      </c>
      <c r="AB788" s="296" t="s">
        <v>183</v>
      </c>
      <c r="AC788" s="296" t="s">
        <v>6239</v>
      </c>
      <c r="AD788" s="296" t="s">
        <v>6240</v>
      </c>
      <c r="AE788" s="296" t="s">
        <v>192</v>
      </c>
      <c r="AF788" s="296" t="s">
        <v>193</v>
      </c>
      <c r="AG788" s="296">
        <v>0</v>
      </c>
      <c r="AH788" s="298">
        <v>45845</v>
      </c>
      <c r="AJ788" s="296" t="s">
        <v>194</v>
      </c>
      <c r="AK788" s="299">
        <f>COUNTIF($A$3:A$917,A788)</f>
        <v>1</v>
      </c>
    </row>
    <row r="789" spans="1:37" x14ac:dyDescent="0.25">
      <c r="A789" s="296">
        <v>110660725</v>
      </c>
      <c r="B789" s="296" t="s">
        <v>6241</v>
      </c>
      <c r="C789" s="296" t="s">
        <v>183</v>
      </c>
      <c r="D789" s="296" t="s">
        <v>183</v>
      </c>
      <c r="E789" s="296" t="s">
        <v>183</v>
      </c>
      <c r="F789" s="296" t="s">
        <v>3585</v>
      </c>
      <c r="G789" s="296" t="s">
        <v>6242</v>
      </c>
      <c r="H789" s="296" t="s">
        <v>6243</v>
      </c>
      <c r="I789" s="296" t="s">
        <v>6179</v>
      </c>
      <c r="J789" s="296" t="s">
        <v>6244</v>
      </c>
      <c r="K789" s="296" t="s">
        <v>6245</v>
      </c>
      <c r="L789" s="296" t="s">
        <v>6246</v>
      </c>
      <c r="M789" s="296" t="s">
        <v>179</v>
      </c>
      <c r="N789" s="296" t="s">
        <v>6247</v>
      </c>
      <c r="O789" s="296" t="s">
        <v>6248</v>
      </c>
      <c r="P789" s="296" t="s">
        <v>6249</v>
      </c>
      <c r="Q789" s="296" t="s">
        <v>183</v>
      </c>
      <c r="R789" s="296" t="s">
        <v>6250</v>
      </c>
      <c r="S789" s="296" t="s">
        <v>185</v>
      </c>
      <c r="T789" s="296" t="s">
        <v>185</v>
      </c>
      <c r="U789" s="296" t="s">
        <v>186</v>
      </c>
      <c r="V789" s="296" t="s">
        <v>187</v>
      </c>
      <c r="W789" s="296" t="s">
        <v>188</v>
      </c>
      <c r="X789" s="296" t="s">
        <v>189</v>
      </c>
      <c r="Y789" s="296" t="s">
        <v>183</v>
      </c>
      <c r="Z789" s="296" t="s">
        <v>183</v>
      </c>
      <c r="AA789" s="296" t="s">
        <v>183</v>
      </c>
      <c r="AB789" s="296" t="s">
        <v>183</v>
      </c>
      <c r="AC789" s="296" t="s">
        <v>6251</v>
      </c>
      <c r="AD789" s="296" t="s">
        <v>6252</v>
      </c>
      <c r="AE789" s="296" t="s">
        <v>192</v>
      </c>
      <c r="AF789" s="296" t="s">
        <v>193</v>
      </c>
      <c r="AG789" s="296">
        <v>0</v>
      </c>
      <c r="AH789" s="298">
        <v>45475</v>
      </c>
      <c r="AJ789" s="296" t="s">
        <v>194</v>
      </c>
      <c r="AK789" s="299">
        <f>COUNTIF($A$3:A$917,A789)</f>
        <v>1</v>
      </c>
    </row>
    <row r="790" spans="1:37" x14ac:dyDescent="0.25">
      <c r="A790" s="296">
        <v>3101738723</v>
      </c>
      <c r="B790" s="296" t="s">
        <v>6253</v>
      </c>
      <c r="C790" s="296" t="s">
        <v>183</v>
      </c>
      <c r="D790" s="296" t="s">
        <v>183</v>
      </c>
      <c r="E790" s="296" t="s">
        <v>183</v>
      </c>
      <c r="F790" s="296" t="s">
        <v>6254</v>
      </c>
      <c r="G790" s="296" t="s">
        <v>6254</v>
      </c>
      <c r="H790" s="296" t="s">
        <v>6255</v>
      </c>
      <c r="I790" s="296" t="s">
        <v>6179</v>
      </c>
      <c r="J790" s="296" t="s">
        <v>6256</v>
      </c>
      <c r="K790" s="296" t="s">
        <v>1048</v>
      </c>
      <c r="L790" s="296" t="s">
        <v>1049</v>
      </c>
      <c r="M790" s="296" t="s">
        <v>179</v>
      </c>
      <c r="N790" s="296" t="s">
        <v>1050</v>
      </c>
      <c r="O790" s="296" t="s">
        <v>278</v>
      </c>
      <c r="P790" s="296" t="s">
        <v>183</v>
      </c>
      <c r="Q790" s="296" t="s">
        <v>183</v>
      </c>
      <c r="R790" s="296" t="s">
        <v>1051</v>
      </c>
      <c r="S790" s="296" t="s">
        <v>185</v>
      </c>
      <c r="T790" s="296" t="s">
        <v>185</v>
      </c>
      <c r="U790" s="296" t="s">
        <v>186</v>
      </c>
      <c r="V790" s="296" t="s">
        <v>187</v>
      </c>
      <c r="W790" s="296" t="s">
        <v>188</v>
      </c>
      <c r="X790" s="296" t="s">
        <v>189</v>
      </c>
      <c r="Y790" s="296" t="s">
        <v>183</v>
      </c>
      <c r="Z790" s="296" t="s">
        <v>183</v>
      </c>
      <c r="AA790" s="296" t="s">
        <v>183</v>
      </c>
      <c r="AB790" s="296" t="s">
        <v>183</v>
      </c>
      <c r="AC790" s="296" t="s">
        <v>1052</v>
      </c>
      <c r="AD790" s="296" t="s">
        <v>6257</v>
      </c>
      <c r="AE790" s="296" t="s">
        <v>192</v>
      </c>
      <c r="AF790" s="296" t="s">
        <v>193</v>
      </c>
      <c r="AG790" s="296">
        <v>0</v>
      </c>
      <c r="AH790" s="298">
        <v>44699</v>
      </c>
      <c r="AJ790" s="296" t="s">
        <v>194</v>
      </c>
      <c r="AK790" s="299">
        <f>COUNTIF($A$3:A$917,A790)</f>
        <v>1</v>
      </c>
    </row>
    <row r="791" spans="1:37" x14ac:dyDescent="0.25">
      <c r="A791" s="296">
        <v>110780767</v>
      </c>
      <c r="B791" s="296" t="s">
        <v>6125</v>
      </c>
      <c r="C791" s="296" t="s">
        <v>183</v>
      </c>
      <c r="D791" s="296" t="s">
        <v>183</v>
      </c>
      <c r="E791" s="296" t="s">
        <v>183</v>
      </c>
      <c r="F791" s="296" t="s">
        <v>6126</v>
      </c>
      <c r="G791" s="296" t="s">
        <v>183</v>
      </c>
      <c r="H791" s="296" t="s">
        <v>6127</v>
      </c>
      <c r="I791" s="296" t="s">
        <v>6179</v>
      </c>
      <c r="J791" s="296" t="s">
        <v>6128</v>
      </c>
      <c r="K791" s="296" t="s">
        <v>4163</v>
      </c>
      <c r="L791" s="296" t="s">
        <v>4164</v>
      </c>
      <c r="M791" s="296" t="s">
        <v>179</v>
      </c>
      <c r="N791" s="296" t="s">
        <v>1643</v>
      </c>
      <c r="O791" s="296" t="s">
        <v>183</v>
      </c>
      <c r="P791" s="296" t="s">
        <v>4165</v>
      </c>
      <c r="Q791" s="296" t="s">
        <v>183</v>
      </c>
      <c r="R791" s="296" t="s">
        <v>4166</v>
      </c>
      <c r="S791" s="296" t="s">
        <v>185</v>
      </c>
      <c r="T791" s="296" t="s">
        <v>185</v>
      </c>
      <c r="U791" s="296" t="s">
        <v>186</v>
      </c>
      <c r="V791" s="296" t="s">
        <v>187</v>
      </c>
      <c r="W791" s="296" t="s">
        <v>188</v>
      </c>
      <c r="X791" s="296" t="s">
        <v>189</v>
      </c>
      <c r="Y791" s="296" t="s">
        <v>183</v>
      </c>
      <c r="Z791" s="296" t="s">
        <v>183</v>
      </c>
      <c r="AA791" s="296" t="s">
        <v>183</v>
      </c>
      <c r="AB791" s="296" t="s">
        <v>183</v>
      </c>
      <c r="AC791" s="296" t="s">
        <v>4167</v>
      </c>
      <c r="AD791" s="296" t="s">
        <v>6258</v>
      </c>
      <c r="AE791" s="296" t="s">
        <v>192</v>
      </c>
      <c r="AF791" s="296" t="s">
        <v>193</v>
      </c>
      <c r="AG791" s="296">
        <v>0</v>
      </c>
      <c r="AH791" s="298">
        <v>45327</v>
      </c>
      <c r="AJ791" s="296" t="s">
        <v>194</v>
      </c>
      <c r="AK791" s="299">
        <f>COUNTIF($A$3:A$917,A791)</f>
        <v>2</v>
      </c>
    </row>
    <row r="792" spans="1:37" x14ac:dyDescent="0.25">
      <c r="A792" s="296">
        <v>504610540</v>
      </c>
      <c r="B792" s="296" t="s">
        <v>1376</v>
      </c>
      <c r="C792" s="296" t="s">
        <v>183</v>
      </c>
      <c r="D792" s="296" t="s">
        <v>183</v>
      </c>
      <c r="E792" s="296" t="s">
        <v>183</v>
      </c>
      <c r="F792" s="296" t="s">
        <v>1377</v>
      </c>
      <c r="G792" s="296" t="s">
        <v>1377</v>
      </c>
      <c r="H792" s="296" t="s">
        <v>1378</v>
      </c>
      <c r="I792" s="296" t="s">
        <v>6179</v>
      </c>
      <c r="J792" s="296" t="s">
        <v>6259</v>
      </c>
      <c r="K792" s="296" t="s">
        <v>1380</v>
      </c>
      <c r="L792" s="296" t="s">
        <v>1381</v>
      </c>
      <c r="M792" s="296" t="s">
        <v>179</v>
      </c>
      <c r="N792" s="296" t="s">
        <v>1382</v>
      </c>
      <c r="O792" s="296" t="s">
        <v>1383</v>
      </c>
      <c r="P792" s="296" t="s">
        <v>1384</v>
      </c>
      <c r="Q792" s="296" t="s">
        <v>183</v>
      </c>
      <c r="R792" s="296" t="s">
        <v>1385</v>
      </c>
      <c r="S792" s="296" t="s">
        <v>185</v>
      </c>
      <c r="T792" s="296" t="s">
        <v>185</v>
      </c>
      <c r="U792" s="296" t="s">
        <v>186</v>
      </c>
      <c r="V792" s="296" t="s">
        <v>187</v>
      </c>
      <c r="W792" s="296" t="s">
        <v>188</v>
      </c>
      <c r="X792" s="296" t="s">
        <v>189</v>
      </c>
      <c r="Y792" s="296" t="s">
        <v>183</v>
      </c>
      <c r="Z792" s="296" t="s">
        <v>183</v>
      </c>
      <c r="AA792" s="296" t="s">
        <v>183</v>
      </c>
      <c r="AB792" s="296" t="s">
        <v>183</v>
      </c>
      <c r="AC792" s="296" t="s">
        <v>1386</v>
      </c>
      <c r="AD792" s="296" t="s">
        <v>6260</v>
      </c>
      <c r="AE792" s="296" t="s">
        <v>192</v>
      </c>
      <c r="AF792" s="296" t="s">
        <v>193</v>
      </c>
      <c r="AG792" s="296">
        <v>0</v>
      </c>
      <c r="AH792" s="298">
        <v>46010</v>
      </c>
      <c r="AJ792" s="296" t="s">
        <v>194</v>
      </c>
      <c r="AK792" s="299">
        <f>COUNTIF($A$3:A$917,A792)</f>
        <v>3</v>
      </c>
    </row>
    <row r="793" spans="1:37" x14ac:dyDescent="0.25">
      <c r="A793" s="296">
        <v>501680618</v>
      </c>
      <c r="B793" s="296" t="s">
        <v>6261</v>
      </c>
      <c r="C793" s="296" t="s">
        <v>183</v>
      </c>
      <c r="D793" s="296" t="s">
        <v>183</v>
      </c>
      <c r="E793" s="296" t="s">
        <v>183</v>
      </c>
      <c r="F793" s="296" t="s">
        <v>6262</v>
      </c>
      <c r="G793" s="296" t="s">
        <v>6262</v>
      </c>
      <c r="H793" s="296" t="s">
        <v>6263</v>
      </c>
      <c r="I793" s="296" t="s">
        <v>6179</v>
      </c>
      <c r="J793" s="296" t="s">
        <v>6264</v>
      </c>
      <c r="K793" s="296" t="s">
        <v>4376</v>
      </c>
      <c r="L793" s="296" t="s">
        <v>4377</v>
      </c>
      <c r="M793" s="296" t="s">
        <v>179</v>
      </c>
      <c r="N793" s="296" t="s">
        <v>1597</v>
      </c>
      <c r="O793" s="296" t="s">
        <v>1597</v>
      </c>
      <c r="P793" s="296" t="s">
        <v>4378</v>
      </c>
      <c r="Q793" s="296" t="s">
        <v>183</v>
      </c>
      <c r="R793" s="296" t="s">
        <v>4379</v>
      </c>
      <c r="S793" s="296" t="s">
        <v>185</v>
      </c>
      <c r="T793" s="296" t="s">
        <v>185</v>
      </c>
      <c r="U793" s="296" t="s">
        <v>186</v>
      </c>
      <c r="V793" s="296" t="s">
        <v>187</v>
      </c>
      <c r="W793" s="296" t="s">
        <v>188</v>
      </c>
      <c r="X793" s="296" t="s">
        <v>404</v>
      </c>
      <c r="Y793" s="296" t="s">
        <v>183</v>
      </c>
      <c r="Z793" s="296" t="s">
        <v>183</v>
      </c>
      <c r="AA793" s="296" t="s">
        <v>183</v>
      </c>
      <c r="AB793" s="296" t="s">
        <v>183</v>
      </c>
      <c r="AC793" s="296" t="s">
        <v>4380</v>
      </c>
      <c r="AD793" s="296" t="s">
        <v>6265</v>
      </c>
      <c r="AE793" s="296" t="s">
        <v>192</v>
      </c>
      <c r="AF793" s="296" t="s">
        <v>193</v>
      </c>
      <c r="AG793" s="296">
        <v>0</v>
      </c>
      <c r="AH793" s="298">
        <v>38308</v>
      </c>
      <c r="AJ793" s="296" t="s">
        <v>194</v>
      </c>
      <c r="AK793" s="299">
        <f>COUNTIF($A$3:A$917,A793)</f>
        <v>1</v>
      </c>
    </row>
    <row r="794" spans="1:37" x14ac:dyDescent="0.25">
      <c r="A794" s="296">
        <v>504340264</v>
      </c>
      <c r="B794" s="296" t="s">
        <v>6266</v>
      </c>
      <c r="C794" s="296" t="s">
        <v>183</v>
      </c>
      <c r="D794" s="296" t="s">
        <v>183</v>
      </c>
      <c r="E794" s="296" t="s">
        <v>183</v>
      </c>
      <c r="F794" s="296" t="s">
        <v>6267</v>
      </c>
      <c r="G794" s="296" t="s">
        <v>6267</v>
      </c>
      <c r="H794" s="296" t="s">
        <v>6268</v>
      </c>
      <c r="I794" s="296" t="s">
        <v>6179</v>
      </c>
      <c r="J794" s="296" t="s">
        <v>6269</v>
      </c>
      <c r="K794" s="296" t="s">
        <v>2197</v>
      </c>
      <c r="L794" s="296" t="s">
        <v>2198</v>
      </c>
      <c r="M794" s="296" t="s">
        <v>179</v>
      </c>
      <c r="N794" s="296" t="s">
        <v>910</v>
      </c>
      <c r="O794" s="296" t="s">
        <v>183</v>
      </c>
      <c r="P794" s="296" t="s">
        <v>2199</v>
      </c>
      <c r="Q794" s="296" t="s">
        <v>183</v>
      </c>
      <c r="R794" s="296" t="s">
        <v>5279</v>
      </c>
      <c r="S794" s="296" t="s">
        <v>185</v>
      </c>
      <c r="T794" s="296" t="s">
        <v>185</v>
      </c>
      <c r="U794" s="296" t="s">
        <v>186</v>
      </c>
      <c r="V794" s="296" t="s">
        <v>187</v>
      </c>
      <c r="W794" s="296" t="s">
        <v>188</v>
      </c>
      <c r="X794" s="296" t="s">
        <v>189</v>
      </c>
      <c r="Y794" s="296" t="s">
        <v>183</v>
      </c>
      <c r="Z794" s="296" t="s">
        <v>183</v>
      </c>
      <c r="AA794" s="296" t="s">
        <v>183</v>
      </c>
      <c r="AB794" s="296" t="s">
        <v>183</v>
      </c>
      <c r="AC794" s="296" t="s">
        <v>5280</v>
      </c>
      <c r="AD794" s="296" t="s">
        <v>6270</v>
      </c>
      <c r="AE794" s="296" t="s">
        <v>192</v>
      </c>
      <c r="AF794" s="296" t="s">
        <v>193</v>
      </c>
      <c r="AG794" s="296">
        <v>0</v>
      </c>
      <c r="AH794" s="298">
        <v>44176</v>
      </c>
      <c r="AJ794" s="296" t="s">
        <v>194</v>
      </c>
      <c r="AK794" s="299">
        <f>COUNTIF($A$3:A$917,A794)</f>
        <v>1</v>
      </c>
    </row>
    <row r="795" spans="1:37" x14ac:dyDescent="0.25">
      <c r="A795" s="296">
        <v>3102894873</v>
      </c>
      <c r="B795" s="296" t="s">
        <v>4937</v>
      </c>
      <c r="C795" s="296" t="s">
        <v>4938</v>
      </c>
      <c r="D795" s="296" t="s">
        <v>4939</v>
      </c>
      <c r="E795" s="296" t="s">
        <v>172</v>
      </c>
      <c r="F795" s="296" t="s">
        <v>4940</v>
      </c>
      <c r="G795" s="296" t="s">
        <v>4941</v>
      </c>
      <c r="H795" s="296" t="s">
        <v>4942</v>
      </c>
      <c r="I795" s="296" t="s">
        <v>6179</v>
      </c>
      <c r="J795" s="296" t="s">
        <v>4943</v>
      </c>
      <c r="K795" s="296" t="s">
        <v>4944</v>
      </c>
      <c r="L795" s="296" t="s">
        <v>4945</v>
      </c>
      <c r="M795" s="296" t="s">
        <v>179</v>
      </c>
      <c r="N795" s="296" t="s">
        <v>4946</v>
      </c>
      <c r="O795" s="296" t="s">
        <v>4946</v>
      </c>
      <c r="P795" s="296" t="s">
        <v>4947</v>
      </c>
      <c r="Q795" s="296" t="s">
        <v>183</v>
      </c>
      <c r="R795" s="296" t="s">
        <v>4948</v>
      </c>
      <c r="S795" s="296" t="s">
        <v>185</v>
      </c>
      <c r="T795" s="296" t="s">
        <v>185</v>
      </c>
      <c r="U795" s="296" t="s">
        <v>186</v>
      </c>
      <c r="V795" s="296" t="s">
        <v>187</v>
      </c>
      <c r="W795" s="296" t="s">
        <v>188</v>
      </c>
      <c r="X795" s="296" t="s">
        <v>189</v>
      </c>
      <c r="Y795" s="296" t="s">
        <v>183</v>
      </c>
      <c r="Z795" s="296" t="s">
        <v>183</v>
      </c>
      <c r="AA795" s="296" t="s">
        <v>183</v>
      </c>
      <c r="AB795" s="296" t="s">
        <v>183</v>
      </c>
      <c r="AC795" s="296" t="s">
        <v>4949</v>
      </c>
      <c r="AD795" s="296" t="s">
        <v>6271</v>
      </c>
      <c r="AE795" s="296" t="s">
        <v>192</v>
      </c>
      <c r="AF795" s="296" t="s">
        <v>193</v>
      </c>
      <c r="AG795" s="296">
        <v>0</v>
      </c>
      <c r="AH795" s="298">
        <v>45412</v>
      </c>
      <c r="AJ795" s="296" t="s">
        <v>194</v>
      </c>
      <c r="AK795" s="299">
        <f>COUNTIF($A$3:A$917,A795)</f>
        <v>2</v>
      </c>
    </row>
    <row r="796" spans="1:37" x14ac:dyDescent="0.25">
      <c r="A796" s="296">
        <v>503740100</v>
      </c>
      <c r="B796" s="296" t="s">
        <v>6272</v>
      </c>
      <c r="C796" s="296" t="s">
        <v>183</v>
      </c>
      <c r="D796" s="296" t="s">
        <v>183</v>
      </c>
      <c r="E796" s="296" t="s">
        <v>183</v>
      </c>
      <c r="F796" s="296" t="s">
        <v>6273</v>
      </c>
      <c r="G796" s="296" t="s">
        <v>183</v>
      </c>
      <c r="H796" s="296" t="s">
        <v>6274</v>
      </c>
      <c r="I796" s="296" t="s">
        <v>6179</v>
      </c>
      <c r="J796" s="296" t="s">
        <v>6275</v>
      </c>
      <c r="K796" s="296" t="s">
        <v>6276</v>
      </c>
      <c r="L796" s="296" t="s">
        <v>6277</v>
      </c>
      <c r="M796" s="296" t="s">
        <v>179</v>
      </c>
      <c r="N796" s="296" t="s">
        <v>3104</v>
      </c>
      <c r="O796" s="296" t="s">
        <v>183</v>
      </c>
      <c r="P796" s="296" t="s">
        <v>6278</v>
      </c>
      <c r="Q796" s="296" t="s">
        <v>183</v>
      </c>
      <c r="R796" s="296" t="s">
        <v>6279</v>
      </c>
      <c r="S796" s="296" t="s">
        <v>185</v>
      </c>
      <c r="T796" s="296" t="s">
        <v>185</v>
      </c>
      <c r="U796" s="296" t="s">
        <v>186</v>
      </c>
      <c r="V796" s="296" t="s">
        <v>187</v>
      </c>
      <c r="W796" s="296" t="s">
        <v>188</v>
      </c>
      <c r="X796" s="296" t="s">
        <v>256</v>
      </c>
      <c r="Y796" s="296" t="s">
        <v>183</v>
      </c>
      <c r="Z796" s="296" t="s">
        <v>183</v>
      </c>
      <c r="AA796" s="296" t="s">
        <v>183</v>
      </c>
      <c r="AB796" s="296" t="s">
        <v>183</v>
      </c>
      <c r="AC796" s="296" t="s">
        <v>6280</v>
      </c>
      <c r="AD796" s="296" t="s">
        <v>6281</v>
      </c>
      <c r="AE796" s="296" t="s">
        <v>192</v>
      </c>
      <c r="AF796" s="296" t="s">
        <v>193</v>
      </c>
      <c r="AG796" s="296">
        <v>0</v>
      </c>
      <c r="AH796" s="298">
        <v>45476</v>
      </c>
      <c r="AJ796" s="296" t="s">
        <v>194</v>
      </c>
      <c r="AK796" s="299">
        <f>COUNTIF($A$3:A$917,A796)</f>
        <v>1</v>
      </c>
    </row>
    <row r="797" spans="1:37" x14ac:dyDescent="0.25">
      <c r="A797" s="296">
        <v>503330089</v>
      </c>
      <c r="B797" s="296" t="s">
        <v>6282</v>
      </c>
      <c r="C797" s="296" t="s">
        <v>183</v>
      </c>
      <c r="D797" s="296" t="s">
        <v>183</v>
      </c>
      <c r="E797" s="296" t="s">
        <v>183</v>
      </c>
      <c r="F797" s="296" t="s">
        <v>6283</v>
      </c>
      <c r="G797" s="296" t="s">
        <v>6283</v>
      </c>
      <c r="H797" s="296" t="s">
        <v>6284</v>
      </c>
      <c r="I797" s="296" t="s">
        <v>6179</v>
      </c>
      <c r="J797" s="296" t="s">
        <v>6285</v>
      </c>
      <c r="K797" s="296" t="s">
        <v>1453</v>
      </c>
      <c r="L797" s="296" t="s">
        <v>1454</v>
      </c>
      <c r="M797" s="296" t="s">
        <v>179</v>
      </c>
      <c r="N797" s="296" t="s">
        <v>1455</v>
      </c>
      <c r="O797" s="296" t="s">
        <v>183</v>
      </c>
      <c r="P797" s="296" t="s">
        <v>1456</v>
      </c>
      <c r="Q797" s="296" t="s">
        <v>183</v>
      </c>
      <c r="R797" s="296" t="s">
        <v>1457</v>
      </c>
      <c r="S797" s="296" t="s">
        <v>185</v>
      </c>
      <c r="T797" s="296" t="s">
        <v>185</v>
      </c>
      <c r="U797" s="296" t="s">
        <v>186</v>
      </c>
      <c r="V797" s="296" t="s">
        <v>187</v>
      </c>
      <c r="W797" s="296" t="s">
        <v>188</v>
      </c>
      <c r="X797" s="296" t="s">
        <v>189</v>
      </c>
      <c r="Y797" s="296" t="s">
        <v>183</v>
      </c>
      <c r="Z797" s="296" t="s">
        <v>183</v>
      </c>
      <c r="AA797" s="296" t="s">
        <v>183</v>
      </c>
      <c r="AB797" s="296" t="s">
        <v>183</v>
      </c>
      <c r="AC797" s="296" t="s">
        <v>1386</v>
      </c>
      <c r="AD797" s="296" t="s">
        <v>6286</v>
      </c>
      <c r="AE797" s="296" t="s">
        <v>192</v>
      </c>
      <c r="AF797" s="296" t="s">
        <v>193</v>
      </c>
      <c r="AG797" s="296">
        <v>0</v>
      </c>
      <c r="AH797" s="298">
        <v>45594</v>
      </c>
      <c r="AJ797" s="296" t="s">
        <v>194</v>
      </c>
      <c r="AK797" s="299">
        <f>COUNTIF($A$3:A$917,A797)</f>
        <v>1</v>
      </c>
    </row>
    <row r="798" spans="1:37" x14ac:dyDescent="0.25">
      <c r="A798" s="296">
        <v>503270613</v>
      </c>
      <c r="B798" s="296" t="s">
        <v>6287</v>
      </c>
      <c r="C798" s="296" t="s">
        <v>183</v>
      </c>
      <c r="D798" s="296" t="s">
        <v>183</v>
      </c>
      <c r="E798" s="296" t="s">
        <v>183</v>
      </c>
      <c r="F798" s="296" t="s">
        <v>6288</v>
      </c>
      <c r="G798" s="296" t="s">
        <v>278</v>
      </c>
      <c r="H798" s="296" t="s">
        <v>6289</v>
      </c>
      <c r="I798" s="296" t="s">
        <v>6179</v>
      </c>
      <c r="J798" s="296" t="s">
        <v>6290</v>
      </c>
      <c r="K798" s="296" t="s">
        <v>659</v>
      </c>
      <c r="L798" s="296" t="s">
        <v>655</v>
      </c>
      <c r="M798" s="296" t="s">
        <v>179</v>
      </c>
      <c r="N798" s="296" t="s">
        <v>656</v>
      </c>
      <c r="O798" s="296" t="s">
        <v>656</v>
      </c>
      <c r="P798" s="296" t="s">
        <v>657</v>
      </c>
      <c r="Q798" s="296" t="s">
        <v>183</v>
      </c>
      <c r="R798" s="296" t="s">
        <v>660</v>
      </c>
      <c r="S798" s="296" t="s">
        <v>185</v>
      </c>
      <c r="T798" s="296" t="s">
        <v>185</v>
      </c>
      <c r="U798" s="296" t="s">
        <v>186</v>
      </c>
      <c r="V798" s="296" t="s">
        <v>187</v>
      </c>
      <c r="W798" s="296" t="s">
        <v>188</v>
      </c>
      <c r="X798" s="296" t="s">
        <v>189</v>
      </c>
      <c r="Y798" s="296" t="s">
        <v>183</v>
      </c>
      <c r="Z798" s="296" t="s">
        <v>183</v>
      </c>
      <c r="AA798" s="296" t="s">
        <v>183</v>
      </c>
      <c r="AB798" s="296" t="s">
        <v>183</v>
      </c>
      <c r="AC798" s="296" t="s">
        <v>661</v>
      </c>
      <c r="AD798" s="296" t="s">
        <v>6291</v>
      </c>
      <c r="AE798" s="296" t="s">
        <v>192</v>
      </c>
      <c r="AF798" s="296" t="s">
        <v>193</v>
      </c>
      <c r="AG798" s="296">
        <v>0</v>
      </c>
      <c r="AH798" s="298">
        <v>45541</v>
      </c>
      <c r="AJ798" s="296" t="s">
        <v>194</v>
      </c>
      <c r="AK798" s="299">
        <f>COUNTIF($A$3:A$917,A798)</f>
        <v>1</v>
      </c>
    </row>
    <row r="799" spans="1:37" x14ac:dyDescent="0.25">
      <c r="A799" s="296">
        <v>503300655</v>
      </c>
      <c r="B799" s="296" t="s">
        <v>552</v>
      </c>
      <c r="C799" s="296" t="s">
        <v>183</v>
      </c>
      <c r="D799" s="296" t="s">
        <v>183</v>
      </c>
      <c r="E799" s="296" t="s">
        <v>183</v>
      </c>
      <c r="F799" s="296" t="s">
        <v>554</v>
      </c>
      <c r="G799" s="296" t="s">
        <v>183</v>
      </c>
      <c r="H799" s="296" t="s">
        <v>555</v>
      </c>
      <c r="I799" s="296" t="s">
        <v>6179</v>
      </c>
      <c r="J799" s="296" t="s">
        <v>1414</v>
      </c>
      <c r="K799" s="296" t="s">
        <v>553</v>
      </c>
      <c r="L799" s="296" t="s">
        <v>552</v>
      </c>
      <c r="M799" s="296" t="s">
        <v>179</v>
      </c>
      <c r="N799" s="296" t="s">
        <v>554</v>
      </c>
      <c r="O799" s="296" t="s">
        <v>183</v>
      </c>
      <c r="P799" s="296" t="s">
        <v>555</v>
      </c>
      <c r="Q799" s="296" t="s">
        <v>183</v>
      </c>
      <c r="R799" s="296" t="s">
        <v>1415</v>
      </c>
      <c r="S799" s="296" t="s">
        <v>185</v>
      </c>
      <c r="T799" s="296" t="s">
        <v>185</v>
      </c>
      <c r="U799" s="296" t="s">
        <v>186</v>
      </c>
      <c r="V799" s="296" t="s">
        <v>187</v>
      </c>
      <c r="W799" s="296" t="s">
        <v>188</v>
      </c>
      <c r="X799" s="296" t="s">
        <v>246</v>
      </c>
      <c r="Y799" s="296" t="s">
        <v>183</v>
      </c>
      <c r="Z799" s="296" t="s">
        <v>183</v>
      </c>
      <c r="AA799" s="296" t="s">
        <v>183</v>
      </c>
      <c r="AB799" s="296" t="s">
        <v>183</v>
      </c>
      <c r="AC799" s="296" t="s">
        <v>1416</v>
      </c>
      <c r="AD799" s="296" t="s">
        <v>6292</v>
      </c>
      <c r="AE799" s="296" t="s">
        <v>192</v>
      </c>
      <c r="AF799" s="296" t="s">
        <v>193</v>
      </c>
      <c r="AG799" s="296">
        <v>0</v>
      </c>
      <c r="AH799" s="298">
        <v>45873</v>
      </c>
      <c r="AJ799" s="296" t="s">
        <v>194</v>
      </c>
      <c r="AK799" s="299">
        <f>COUNTIF($A$3:A$917,A799)</f>
        <v>2</v>
      </c>
    </row>
    <row r="800" spans="1:37" x14ac:dyDescent="0.25">
      <c r="A800" s="296">
        <v>602980106</v>
      </c>
      <c r="B800" s="296" t="s">
        <v>6293</v>
      </c>
      <c r="C800" s="296" t="s">
        <v>183</v>
      </c>
      <c r="D800" s="296" t="s">
        <v>183</v>
      </c>
      <c r="E800" s="296" t="s">
        <v>183</v>
      </c>
      <c r="F800" s="296" t="s">
        <v>6294</v>
      </c>
      <c r="G800" s="296" t="s">
        <v>6294</v>
      </c>
      <c r="H800" s="296" t="s">
        <v>6295</v>
      </c>
      <c r="I800" s="296" t="s">
        <v>6179</v>
      </c>
      <c r="J800" s="296" t="s">
        <v>6296</v>
      </c>
      <c r="K800" s="296" t="s">
        <v>4615</v>
      </c>
      <c r="L800" s="296" t="s">
        <v>4616</v>
      </c>
      <c r="M800" s="296" t="s">
        <v>179</v>
      </c>
      <c r="N800" s="296" t="s">
        <v>4617</v>
      </c>
      <c r="O800" s="296" t="s">
        <v>4617</v>
      </c>
      <c r="P800" s="296" t="s">
        <v>4618</v>
      </c>
      <c r="Q800" s="296" t="s">
        <v>183</v>
      </c>
      <c r="R800" s="296" t="s">
        <v>4619</v>
      </c>
      <c r="S800" s="296" t="s">
        <v>185</v>
      </c>
      <c r="T800" s="296" t="s">
        <v>185</v>
      </c>
      <c r="U800" s="296" t="s">
        <v>186</v>
      </c>
      <c r="V800" s="296" t="s">
        <v>187</v>
      </c>
      <c r="W800" s="296" t="s">
        <v>188</v>
      </c>
      <c r="X800" s="296" t="s">
        <v>256</v>
      </c>
      <c r="Y800" s="296" t="s">
        <v>183</v>
      </c>
      <c r="Z800" s="296" t="s">
        <v>183</v>
      </c>
      <c r="AA800" s="296" t="s">
        <v>183</v>
      </c>
      <c r="AB800" s="296" t="s">
        <v>183</v>
      </c>
      <c r="AC800" s="296" t="s">
        <v>4620</v>
      </c>
      <c r="AD800" s="296" t="s">
        <v>6297</v>
      </c>
      <c r="AE800" s="296" t="s">
        <v>192</v>
      </c>
      <c r="AF800" s="296" t="s">
        <v>193</v>
      </c>
      <c r="AG800" s="296">
        <v>13995</v>
      </c>
      <c r="AH800" s="298">
        <v>43017</v>
      </c>
      <c r="AJ800" s="296" t="s">
        <v>194</v>
      </c>
      <c r="AK800" s="299">
        <f>COUNTIF($A$3:A$917,A800)</f>
        <v>1</v>
      </c>
    </row>
    <row r="801" spans="1:37" x14ac:dyDescent="0.25">
      <c r="A801" s="296">
        <v>504210167</v>
      </c>
      <c r="B801" s="296" t="s">
        <v>6298</v>
      </c>
      <c r="C801" s="296" t="s">
        <v>183</v>
      </c>
      <c r="D801" s="296" t="s">
        <v>183</v>
      </c>
      <c r="E801" s="296" t="s">
        <v>183</v>
      </c>
      <c r="F801" s="296" t="s">
        <v>6299</v>
      </c>
      <c r="G801" s="296" t="s">
        <v>183</v>
      </c>
      <c r="H801" s="296" t="s">
        <v>6300</v>
      </c>
      <c r="I801" s="296" t="s">
        <v>6179</v>
      </c>
      <c r="J801" s="296" t="s">
        <v>6301</v>
      </c>
      <c r="K801" s="296" t="s">
        <v>2923</v>
      </c>
      <c r="L801" s="296" t="s">
        <v>2924</v>
      </c>
      <c r="M801" s="296" t="s">
        <v>179</v>
      </c>
      <c r="N801" s="296" t="s">
        <v>2925</v>
      </c>
      <c r="O801" s="296" t="s">
        <v>2926</v>
      </c>
      <c r="P801" s="296" t="s">
        <v>2927</v>
      </c>
      <c r="Q801" s="296" t="s">
        <v>183</v>
      </c>
      <c r="R801" s="296" t="s">
        <v>2928</v>
      </c>
      <c r="S801" s="296" t="s">
        <v>194</v>
      </c>
      <c r="T801" s="296" t="s">
        <v>185</v>
      </c>
      <c r="U801" s="296" t="s">
        <v>186</v>
      </c>
      <c r="V801" s="296" t="s">
        <v>187</v>
      </c>
      <c r="W801" s="296" t="s">
        <v>188</v>
      </c>
      <c r="X801" s="296" t="s">
        <v>189</v>
      </c>
      <c r="Y801" s="296" t="s">
        <v>183</v>
      </c>
      <c r="Z801" s="296" t="s">
        <v>183</v>
      </c>
      <c r="AA801" s="296" t="s">
        <v>183</v>
      </c>
      <c r="AB801" s="296" t="s">
        <v>183</v>
      </c>
      <c r="AC801" s="296" t="s">
        <v>2929</v>
      </c>
      <c r="AD801" s="296" t="s">
        <v>6302</v>
      </c>
      <c r="AE801" s="296" t="s">
        <v>192</v>
      </c>
      <c r="AF801" s="296" t="s">
        <v>193</v>
      </c>
      <c r="AG801" s="296">
        <v>0</v>
      </c>
      <c r="AH801" s="298">
        <v>45951</v>
      </c>
      <c r="AJ801" s="296" t="s">
        <v>194</v>
      </c>
      <c r="AK801" s="299">
        <f>COUNTIF($A$3:A$917,A801)</f>
        <v>1</v>
      </c>
    </row>
    <row r="802" spans="1:37" x14ac:dyDescent="0.25">
      <c r="A802" s="296">
        <v>603580797</v>
      </c>
      <c r="B802" s="296" t="s">
        <v>6303</v>
      </c>
      <c r="C802" s="296" t="s">
        <v>183</v>
      </c>
      <c r="D802" s="296" t="s">
        <v>183</v>
      </c>
      <c r="E802" s="296" t="s">
        <v>183</v>
      </c>
      <c r="F802" s="296" t="s">
        <v>6304</v>
      </c>
      <c r="G802" s="296" t="s">
        <v>6304</v>
      </c>
      <c r="H802" s="296" t="s">
        <v>6305</v>
      </c>
      <c r="I802" s="296" t="s">
        <v>6179</v>
      </c>
      <c r="J802" s="296" t="s">
        <v>6306</v>
      </c>
      <c r="K802" s="296" t="s">
        <v>2603</v>
      </c>
      <c r="L802" s="296" t="s">
        <v>2604</v>
      </c>
      <c r="M802" s="296" t="s">
        <v>179</v>
      </c>
      <c r="N802" s="296" t="s">
        <v>2605</v>
      </c>
      <c r="O802" s="296" t="s">
        <v>2605</v>
      </c>
      <c r="P802" s="296" t="s">
        <v>2606</v>
      </c>
      <c r="Q802" s="296" t="s">
        <v>183</v>
      </c>
      <c r="R802" s="296" t="s">
        <v>2607</v>
      </c>
      <c r="S802" s="296" t="s">
        <v>185</v>
      </c>
      <c r="T802" s="296" t="s">
        <v>185</v>
      </c>
      <c r="U802" s="296" t="s">
        <v>186</v>
      </c>
      <c r="V802" s="296" t="s">
        <v>187</v>
      </c>
      <c r="W802" s="296" t="s">
        <v>188</v>
      </c>
      <c r="X802" s="296" t="s">
        <v>189</v>
      </c>
      <c r="Y802" s="296" t="s">
        <v>183</v>
      </c>
      <c r="Z802" s="296" t="s">
        <v>183</v>
      </c>
      <c r="AA802" s="296" t="s">
        <v>183</v>
      </c>
      <c r="AB802" s="296" t="s">
        <v>183</v>
      </c>
      <c r="AC802" s="296" t="s">
        <v>2608</v>
      </c>
      <c r="AD802" s="296" t="s">
        <v>6307</v>
      </c>
      <c r="AE802" s="296" t="s">
        <v>192</v>
      </c>
      <c r="AF802" s="296" t="s">
        <v>193</v>
      </c>
      <c r="AG802" s="296">
        <v>11830.25</v>
      </c>
      <c r="AH802" s="298">
        <v>44263</v>
      </c>
      <c r="AJ802" s="296" t="s">
        <v>194</v>
      </c>
      <c r="AK802" s="299">
        <f>COUNTIF($A$3:A$917,A802)</f>
        <v>1</v>
      </c>
    </row>
    <row r="803" spans="1:37" x14ac:dyDescent="0.25">
      <c r="A803" s="296">
        <v>504010516</v>
      </c>
      <c r="B803" s="296" t="s">
        <v>6308</v>
      </c>
      <c r="C803" s="296" t="s">
        <v>183</v>
      </c>
      <c r="D803" s="296" t="s">
        <v>183</v>
      </c>
      <c r="E803" s="296" t="s">
        <v>183</v>
      </c>
      <c r="F803" s="296" t="s">
        <v>6309</v>
      </c>
      <c r="G803" s="296" t="s">
        <v>183</v>
      </c>
      <c r="H803" s="296" t="s">
        <v>6310</v>
      </c>
      <c r="I803" s="296" t="s">
        <v>6179</v>
      </c>
      <c r="J803" s="296" t="s">
        <v>6311</v>
      </c>
      <c r="K803" s="296" t="s">
        <v>3798</v>
      </c>
      <c r="L803" s="296" t="s">
        <v>3799</v>
      </c>
      <c r="M803" s="296" t="s">
        <v>503</v>
      </c>
      <c r="N803" s="296" t="s">
        <v>3800</v>
      </c>
      <c r="O803" s="296" t="s">
        <v>278</v>
      </c>
      <c r="P803" s="296" t="s">
        <v>3801</v>
      </c>
      <c r="Q803" s="296" t="s">
        <v>183</v>
      </c>
      <c r="R803" s="296" t="s">
        <v>3802</v>
      </c>
      <c r="S803" s="296" t="s">
        <v>185</v>
      </c>
      <c r="T803" s="296" t="s">
        <v>185</v>
      </c>
      <c r="U803" s="296" t="s">
        <v>186</v>
      </c>
      <c r="V803" s="296" t="s">
        <v>187</v>
      </c>
      <c r="W803" s="296" t="s">
        <v>188</v>
      </c>
      <c r="X803" s="296" t="s">
        <v>189</v>
      </c>
      <c r="Y803" s="296" t="s">
        <v>183</v>
      </c>
      <c r="Z803" s="296" t="s">
        <v>183</v>
      </c>
      <c r="AA803" s="296" t="s">
        <v>183</v>
      </c>
      <c r="AB803" s="296" t="s">
        <v>183</v>
      </c>
      <c r="AC803" s="296" t="s">
        <v>3803</v>
      </c>
      <c r="AD803" s="296" t="s">
        <v>6312</v>
      </c>
      <c r="AE803" s="296" t="s">
        <v>192</v>
      </c>
      <c r="AF803" s="296" t="s">
        <v>193</v>
      </c>
      <c r="AG803" s="296">
        <v>0</v>
      </c>
      <c r="AH803" s="298">
        <v>44067</v>
      </c>
      <c r="AJ803" s="296" t="s">
        <v>194</v>
      </c>
      <c r="AK803" s="299">
        <f>COUNTIF($A$3:A$917,A803)</f>
        <v>1</v>
      </c>
    </row>
    <row r="804" spans="1:37" x14ac:dyDescent="0.25">
      <c r="A804" s="296">
        <v>502450018</v>
      </c>
      <c r="B804" s="296" t="s">
        <v>6313</v>
      </c>
      <c r="C804" s="296" t="s">
        <v>183</v>
      </c>
      <c r="D804" s="296" t="s">
        <v>183</v>
      </c>
      <c r="E804" s="296" t="s">
        <v>183</v>
      </c>
      <c r="F804" s="296" t="s">
        <v>6314</v>
      </c>
      <c r="G804" s="296" t="s">
        <v>183</v>
      </c>
      <c r="H804" s="296" t="s">
        <v>6315</v>
      </c>
      <c r="I804" s="296" t="s">
        <v>6179</v>
      </c>
      <c r="J804" s="296" t="s">
        <v>6316</v>
      </c>
      <c r="K804" s="296" t="s">
        <v>862</v>
      </c>
      <c r="L804" s="296" t="s">
        <v>863</v>
      </c>
      <c r="M804" s="296" t="s">
        <v>179</v>
      </c>
      <c r="N804" s="296" t="s">
        <v>465</v>
      </c>
      <c r="O804" s="296" t="s">
        <v>864</v>
      </c>
      <c r="P804" s="296" t="s">
        <v>865</v>
      </c>
      <c r="Q804" s="296" t="s">
        <v>183</v>
      </c>
      <c r="R804" s="296" t="s">
        <v>6317</v>
      </c>
      <c r="S804" s="296" t="s">
        <v>185</v>
      </c>
      <c r="T804" s="296" t="s">
        <v>185</v>
      </c>
      <c r="U804" s="296" t="s">
        <v>186</v>
      </c>
      <c r="V804" s="296" t="s">
        <v>187</v>
      </c>
      <c r="W804" s="296" t="s">
        <v>188</v>
      </c>
      <c r="X804" s="296" t="s">
        <v>189</v>
      </c>
      <c r="Y804" s="296" t="s">
        <v>183</v>
      </c>
      <c r="Z804" s="296" t="s">
        <v>183</v>
      </c>
      <c r="AA804" s="296" t="s">
        <v>183</v>
      </c>
      <c r="AB804" s="296" t="s">
        <v>183</v>
      </c>
      <c r="AC804" s="296" t="s">
        <v>6318</v>
      </c>
      <c r="AD804" s="296" t="s">
        <v>6319</v>
      </c>
      <c r="AE804" s="296" t="s">
        <v>192</v>
      </c>
      <c r="AF804" s="296" t="s">
        <v>193</v>
      </c>
      <c r="AG804" s="296">
        <v>0</v>
      </c>
      <c r="AH804" s="298">
        <v>39545</v>
      </c>
      <c r="AJ804" s="296" t="s">
        <v>194</v>
      </c>
      <c r="AK804" s="299">
        <f>COUNTIF($A$3:A$917,A804)</f>
        <v>1</v>
      </c>
    </row>
    <row r="805" spans="1:37" x14ac:dyDescent="0.25">
      <c r="A805" s="296">
        <v>207560549</v>
      </c>
      <c r="B805" s="296" t="s">
        <v>6320</v>
      </c>
      <c r="C805" s="296" t="s">
        <v>183</v>
      </c>
      <c r="D805" s="296" t="s">
        <v>183</v>
      </c>
      <c r="E805" s="296" t="s">
        <v>183</v>
      </c>
      <c r="F805" s="296" t="s">
        <v>6321</v>
      </c>
      <c r="G805" s="296" t="s">
        <v>183</v>
      </c>
      <c r="H805" s="296" t="s">
        <v>6322</v>
      </c>
      <c r="I805" s="296" t="s">
        <v>6179</v>
      </c>
      <c r="J805" s="296" t="s">
        <v>6323</v>
      </c>
      <c r="K805" s="296" t="s">
        <v>1330</v>
      </c>
      <c r="L805" s="296" t="s">
        <v>1331</v>
      </c>
      <c r="M805" s="296" t="s">
        <v>179</v>
      </c>
      <c r="N805" s="296" t="s">
        <v>1332</v>
      </c>
      <c r="O805" s="296" t="s">
        <v>183</v>
      </c>
      <c r="P805" s="296" t="s">
        <v>1333</v>
      </c>
      <c r="Q805" s="296" t="s">
        <v>183</v>
      </c>
      <c r="R805" s="296" t="s">
        <v>1334</v>
      </c>
      <c r="S805" s="296" t="s">
        <v>194</v>
      </c>
      <c r="T805" s="296" t="s">
        <v>185</v>
      </c>
      <c r="U805" s="296" t="s">
        <v>186</v>
      </c>
      <c r="V805" s="296" t="s">
        <v>187</v>
      </c>
      <c r="W805" s="296" t="s">
        <v>188</v>
      </c>
      <c r="X805" s="296" t="s">
        <v>189</v>
      </c>
      <c r="Y805" s="296" t="s">
        <v>183</v>
      </c>
      <c r="Z805" s="296" t="s">
        <v>183</v>
      </c>
      <c r="AA805" s="296" t="s">
        <v>183</v>
      </c>
      <c r="AB805" s="296" t="s">
        <v>183</v>
      </c>
      <c r="AC805" s="296" t="s">
        <v>1335</v>
      </c>
      <c r="AD805" s="296" t="s">
        <v>6324</v>
      </c>
      <c r="AE805" s="296" t="s">
        <v>192</v>
      </c>
      <c r="AF805" s="296" t="s">
        <v>193</v>
      </c>
      <c r="AG805" s="296">
        <v>0</v>
      </c>
      <c r="AH805" s="298">
        <v>44887</v>
      </c>
      <c r="AJ805" s="296" t="s">
        <v>194</v>
      </c>
      <c r="AK805" s="299">
        <f>COUNTIF($A$3:A$917,A805)</f>
        <v>1</v>
      </c>
    </row>
    <row r="806" spans="1:37" x14ac:dyDescent="0.25">
      <c r="A806" s="296">
        <v>900930813</v>
      </c>
      <c r="B806" s="296" t="s">
        <v>6325</v>
      </c>
      <c r="C806" s="296" t="s">
        <v>183</v>
      </c>
      <c r="D806" s="296" t="s">
        <v>183</v>
      </c>
      <c r="E806" s="296" t="s">
        <v>183</v>
      </c>
      <c r="F806" s="296" t="s">
        <v>6326</v>
      </c>
      <c r="G806" s="296" t="s">
        <v>6327</v>
      </c>
      <c r="H806" s="296" t="s">
        <v>6328</v>
      </c>
      <c r="I806" s="296" t="s">
        <v>6179</v>
      </c>
      <c r="J806" s="296" t="s">
        <v>6329</v>
      </c>
      <c r="K806" s="296" t="s">
        <v>6330</v>
      </c>
      <c r="L806" s="296" t="s">
        <v>6331</v>
      </c>
      <c r="M806" s="296" t="s">
        <v>179</v>
      </c>
      <c r="N806" s="296" t="s">
        <v>6332</v>
      </c>
      <c r="O806" s="296" t="s">
        <v>6333</v>
      </c>
      <c r="P806" s="296" t="s">
        <v>6334</v>
      </c>
      <c r="Q806" s="296" t="s">
        <v>183</v>
      </c>
      <c r="R806" s="296" t="s">
        <v>6335</v>
      </c>
      <c r="S806" s="296" t="s">
        <v>185</v>
      </c>
      <c r="T806" s="296" t="s">
        <v>185</v>
      </c>
      <c r="U806" s="296" t="s">
        <v>186</v>
      </c>
      <c r="V806" s="296" t="s">
        <v>187</v>
      </c>
      <c r="W806" s="296" t="s">
        <v>188</v>
      </c>
      <c r="X806" s="296" t="s">
        <v>189</v>
      </c>
      <c r="Y806" s="296" t="s">
        <v>183</v>
      </c>
      <c r="Z806" s="296" t="s">
        <v>183</v>
      </c>
      <c r="AA806" s="296" t="s">
        <v>183</v>
      </c>
      <c r="AB806" s="296" t="s">
        <v>183</v>
      </c>
      <c r="AC806" s="296" t="s">
        <v>6336</v>
      </c>
      <c r="AD806" s="296" t="s">
        <v>6337</v>
      </c>
      <c r="AE806" s="296" t="s">
        <v>192</v>
      </c>
      <c r="AF806" s="296" t="s">
        <v>193</v>
      </c>
      <c r="AG806" s="296">
        <v>0</v>
      </c>
      <c r="AH806" s="298">
        <v>39304</v>
      </c>
      <c r="AJ806" s="296" t="s">
        <v>194</v>
      </c>
      <c r="AK806" s="299">
        <f>COUNTIF($A$3:A$917,A806)</f>
        <v>1</v>
      </c>
    </row>
    <row r="807" spans="1:37" x14ac:dyDescent="0.25">
      <c r="A807" s="296">
        <v>3101122443</v>
      </c>
      <c r="B807" s="296" t="s">
        <v>6338</v>
      </c>
      <c r="C807" s="296" t="s">
        <v>183</v>
      </c>
      <c r="D807" s="296" t="s">
        <v>183</v>
      </c>
      <c r="E807" s="296" t="s">
        <v>183</v>
      </c>
      <c r="F807" s="296" t="s">
        <v>6339</v>
      </c>
      <c r="G807" s="296" t="s">
        <v>6339</v>
      </c>
      <c r="H807" s="296" t="s">
        <v>6340</v>
      </c>
      <c r="I807" s="296" t="s">
        <v>6179</v>
      </c>
      <c r="J807" s="296" t="s">
        <v>6341</v>
      </c>
      <c r="K807" s="296" t="s">
        <v>3871</v>
      </c>
      <c r="L807" s="296" t="s">
        <v>3872</v>
      </c>
      <c r="M807" s="296" t="s">
        <v>179</v>
      </c>
      <c r="N807" s="296" t="s">
        <v>1570</v>
      </c>
      <c r="O807" s="296" t="s">
        <v>1570</v>
      </c>
      <c r="P807" s="296" t="s">
        <v>3873</v>
      </c>
      <c r="Q807" s="296" t="s">
        <v>183</v>
      </c>
      <c r="R807" s="296" t="s">
        <v>3874</v>
      </c>
      <c r="S807" s="296" t="s">
        <v>185</v>
      </c>
      <c r="T807" s="296" t="s">
        <v>185</v>
      </c>
      <c r="U807" s="296" t="s">
        <v>186</v>
      </c>
      <c r="V807" s="296" t="s">
        <v>187</v>
      </c>
      <c r="W807" s="296" t="s">
        <v>188</v>
      </c>
      <c r="X807" s="296" t="s">
        <v>189</v>
      </c>
      <c r="Y807" s="296" t="s">
        <v>183</v>
      </c>
      <c r="Z807" s="296" t="s">
        <v>183</v>
      </c>
      <c r="AA807" s="296" t="s">
        <v>183</v>
      </c>
      <c r="AB807" s="296" t="s">
        <v>183</v>
      </c>
      <c r="AC807" s="296" t="s">
        <v>3875</v>
      </c>
      <c r="AD807" s="296" t="s">
        <v>6342</v>
      </c>
      <c r="AE807" s="296" t="s">
        <v>192</v>
      </c>
      <c r="AF807" s="296" t="s">
        <v>193</v>
      </c>
      <c r="AG807" s="296">
        <v>0</v>
      </c>
      <c r="AH807" s="298">
        <v>44021</v>
      </c>
      <c r="AJ807" s="296" t="s">
        <v>194</v>
      </c>
      <c r="AK807" s="299">
        <f>COUNTIF($A$3:A$917,A807)</f>
        <v>1</v>
      </c>
    </row>
    <row r="808" spans="1:37" x14ac:dyDescent="0.25">
      <c r="A808" s="296">
        <v>107620807</v>
      </c>
      <c r="B808" s="296" t="s">
        <v>2577</v>
      </c>
      <c r="C808" s="296" t="s">
        <v>183</v>
      </c>
      <c r="D808" s="296" t="s">
        <v>183</v>
      </c>
      <c r="E808" s="296" t="s">
        <v>183</v>
      </c>
      <c r="F808" s="296" t="s">
        <v>2578</v>
      </c>
      <c r="G808" s="296" t="s">
        <v>183</v>
      </c>
      <c r="H808" s="296" t="s">
        <v>2579</v>
      </c>
      <c r="I808" s="296" t="s">
        <v>6179</v>
      </c>
      <c r="J808" s="296" t="s">
        <v>6343</v>
      </c>
      <c r="K808" s="296" t="s">
        <v>2582</v>
      </c>
      <c r="L808" s="296" t="s">
        <v>2583</v>
      </c>
      <c r="M808" s="296" t="s">
        <v>179</v>
      </c>
      <c r="N808" s="296" t="s">
        <v>2584</v>
      </c>
      <c r="O808" s="296" t="s">
        <v>2584</v>
      </c>
      <c r="P808" s="296" t="s">
        <v>2585</v>
      </c>
      <c r="Q808" s="296" t="s">
        <v>183</v>
      </c>
      <c r="R808" s="296" t="s">
        <v>2586</v>
      </c>
      <c r="S808" s="296" t="s">
        <v>185</v>
      </c>
      <c r="T808" s="296" t="s">
        <v>185</v>
      </c>
      <c r="U808" s="296" t="s">
        <v>186</v>
      </c>
      <c r="V808" s="296" t="s">
        <v>187</v>
      </c>
      <c r="W808" s="296" t="s">
        <v>188</v>
      </c>
      <c r="X808" s="296" t="s">
        <v>189</v>
      </c>
      <c r="Y808" s="296" t="s">
        <v>183</v>
      </c>
      <c r="Z808" s="296" t="s">
        <v>183</v>
      </c>
      <c r="AA808" s="296" t="s">
        <v>183</v>
      </c>
      <c r="AB808" s="296" t="s">
        <v>183</v>
      </c>
      <c r="AC808" s="296" t="s">
        <v>2587</v>
      </c>
      <c r="AD808" s="296" t="s">
        <v>6344</v>
      </c>
      <c r="AE808" s="296" t="s">
        <v>192</v>
      </c>
      <c r="AF808" s="296" t="s">
        <v>193</v>
      </c>
      <c r="AG808" s="296">
        <v>0</v>
      </c>
      <c r="AH808" s="298">
        <v>44438</v>
      </c>
      <c r="AJ808" s="296" t="s">
        <v>194</v>
      </c>
      <c r="AK808" s="299">
        <f>COUNTIF($A$3:A$917,A808)</f>
        <v>2</v>
      </c>
    </row>
    <row r="809" spans="1:37" x14ac:dyDescent="0.25">
      <c r="A809" s="296">
        <v>502720082</v>
      </c>
      <c r="B809" s="296" t="s">
        <v>6345</v>
      </c>
      <c r="C809" s="296" t="s">
        <v>183</v>
      </c>
      <c r="D809" s="296" t="s">
        <v>183</v>
      </c>
      <c r="E809" s="296" t="s">
        <v>183</v>
      </c>
      <c r="F809" s="296" t="s">
        <v>6346</v>
      </c>
      <c r="G809" s="296" t="s">
        <v>6347</v>
      </c>
      <c r="H809" s="296" t="s">
        <v>6348</v>
      </c>
      <c r="I809" s="296" t="s">
        <v>6179</v>
      </c>
      <c r="J809" s="296" t="s">
        <v>6349</v>
      </c>
      <c r="K809" s="296" t="s">
        <v>6350</v>
      </c>
      <c r="L809" s="296" t="s">
        <v>6351</v>
      </c>
      <c r="M809" s="296" t="s">
        <v>179</v>
      </c>
      <c r="N809" s="296" t="s">
        <v>6352</v>
      </c>
      <c r="O809" s="296" t="s">
        <v>6352</v>
      </c>
      <c r="P809" s="296" t="s">
        <v>6353</v>
      </c>
      <c r="Q809" s="296" t="s">
        <v>183</v>
      </c>
      <c r="R809" s="296" t="s">
        <v>6354</v>
      </c>
      <c r="S809" s="296" t="s">
        <v>185</v>
      </c>
      <c r="T809" s="296" t="s">
        <v>185</v>
      </c>
      <c r="U809" s="296" t="s">
        <v>186</v>
      </c>
      <c r="V809" s="296" t="s">
        <v>187</v>
      </c>
      <c r="W809" s="296" t="s">
        <v>188</v>
      </c>
      <c r="X809" s="296" t="s">
        <v>189</v>
      </c>
      <c r="Y809" s="296" t="s">
        <v>183</v>
      </c>
      <c r="Z809" s="296" t="s">
        <v>183</v>
      </c>
      <c r="AA809" s="296" t="s">
        <v>183</v>
      </c>
      <c r="AB809" s="296" t="s">
        <v>183</v>
      </c>
      <c r="AC809" s="296" t="s">
        <v>6355</v>
      </c>
      <c r="AD809" s="296" t="s">
        <v>6356</v>
      </c>
      <c r="AE809" s="296" t="s">
        <v>192</v>
      </c>
      <c r="AF809" s="296" t="s">
        <v>193</v>
      </c>
      <c r="AG809" s="296">
        <v>0</v>
      </c>
      <c r="AH809" s="298">
        <v>45408</v>
      </c>
      <c r="AJ809" s="296" t="s">
        <v>194</v>
      </c>
      <c r="AK809" s="299">
        <f>COUNTIF($A$3:A$917,A809)</f>
        <v>1</v>
      </c>
    </row>
    <row r="810" spans="1:37" x14ac:dyDescent="0.25">
      <c r="A810" s="296">
        <v>117530019</v>
      </c>
      <c r="B810" s="296" t="s">
        <v>6141</v>
      </c>
      <c r="C810" s="296" t="s">
        <v>183</v>
      </c>
      <c r="D810" s="296" t="s">
        <v>183</v>
      </c>
      <c r="E810" s="296" t="s">
        <v>183</v>
      </c>
      <c r="F810" s="296" t="s">
        <v>1664</v>
      </c>
      <c r="G810" s="296" t="s">
        <v>6142</v>
      </c>
      <c r="H810" s="296" t="s">
        <v>6143</v>
      </c>
      <c r="I810" s="296" t="s">
        <v>6179</v>
      </c>
      <c r="J810" s="296" t="s">
        <v>6357</v>
      </c>
      <c r="K810" s="296" t="s">
        <v>6145</v>
      </c>
      <c r="L810" s="296" t="s">
        <v>6146</v>
      </c>
      <c r="M810" s="296" t="s">
        <v>179</v>
      </c>
      <c r="N810" s="296" t="s">
        <v>1664</v>
      </c>
      <c r="O810" s="296" t="s">
        <v>183</v>
      </c>
      <c r="P810" s="296" t="s">
        <v>6143</v>
      </c>
      <c r="Q810" s="296" t="s">
        <v>183</v>
      </c>
      <c r="R810" s="296" t="s">
        <v>6147</v>
      </c>
      <c r="S810" s="296" t="s">
        <v>185</v>
      </c>
      <c r="T810" s="296" t="s">
        <v>185</v>
      </c>
      <c r="U810" s="296" t="s">
        <v>186</v>
      </c>
      <c r="V810" s="296" t="s">
        <v>187</v>
      </c>
      <c r="W810" s="296" t="s">
        <v>188</v>
      </c>
      <c r="X810" s="296" t="s">
        <v>189</v>
      </c>
      <c r="Y810" s="296" t="s">
        <v>183</v>
      </c>
      <c r="Z810" s="296" t="s">
        <v>183</v>
      </c>
      <c r="AA810" s="296" t="s">
        <v>183</v>
      </c>
      <c r="AB810" s="296" t="s">
        <v>183</v>
      </c>
      <c r="AC810" s="296" t="s">
        <v>6148</v>
      </c>
      <c r="AD810" s="296" t="s">
        <v>6358</v>
      </c>
      <c r="AE810" s="296" t="s">
        <v>192</v>
      </c>
      <c r="AF810" s="296" t="s">
        <v>193</v>
      </c>
      <c r="AG810" s="296">
        <v>0</v>
      </c>
      <c r="AH810" s="298">
        <v>45734</v>
      </c>
      <c r="AJ810" s="296" t="s">
        <v>194</v>
      </c>
      <c r="AK810" s="299">
        <f>COUNTIF($A$3:A$917,A810)</f>
        <v>2</v>
      </c>
    </row>
    <row r="811" spans="1:37" x14ac:dyDescent="0.25">
      <c r="A811" s="296">
        <v>501800309</v>
      </c>
      <c r="B811" s="296" t="s">
        <v>6359</v>
      </c>
      <c r="C811" s="296" t="s">
        <v>183</v>
      </c>
      <c r="D811" s="296" t="s">
        <v>183</v>
      </c>
      <c r="E811" s="296" t="s">
        <v>183</v>
      </c>
      <c r="F811" s="296" t="s">
        <v>2319</v>
      </c>
      <c r="G811" s="296" t="s">
        <v>2319</v>
      </c>
      <c r="H811" s="296" t="s">
        <v>6360</v>
      </c>
      <c r="I811" s="296" t="s">
        <v>6179</v>
      </c>
      <c r="J811" s="296" t="s">
        <v>6361</v>
      </c>
      <c r="K811" s="296" t="s">
        <v>5773</v>
      </c>
      <c r="L811" s="296" t="s">
        <v>5768</v>
      </c>
      <c r="M811" s="296" t="s">
        <v>503</v>
      </c>
      <c r="N811" s="296" t="s">
        <v>5769</v>
      </c>
      <c r="O811" s="296" t="s">
        <v>5770</v>
      </c>
      <c r="P811" s="296" t="s">
        <v>5771</v>
      </c>
      <c r="Q811" s="296" t="s">
        <v>183</v>
      </c>
      <c r="R811" s="296" t="s">
        <v>5774</v>
      </c>
      <c r="S811" s="296" t="s">
        <v>185</v>
      </c>
      <c r="T811" s="296" t="s">
        <v>185</v>
      </c>
      <c r="U811" s="296" t="s">
        <v>186</v>
      </c>
      <c r="V811" s="296" t="s">
        <v>187</v>
      </c>
      <c r="W811" s="296" t="s">
        <v>188</v>
      </c>
      <c r="X811" s="296" t="s">
        <v>404</v>
      </c>
      <c r="Y811" s="296" t="s">
        <v>183</v>
      </c>
      <c r="Z811" s="296" t="s">
        <v>183</v>
      </c>
      <c r="AA811" s="296" t="s">
        <v>183</v>
      </c>
      <c r="AB811" s="296" t="s">
        <v>183</v>
      </c>
      <c r="AC811" s="296" t="s">
        <v>5775</v>
      </c>
      <c r="AD811" s="296" t="s">
        <v>6362</v>
      </c>
      <c r="AE811" s="296" t="s">
        <v>192</v>
      </c>
      <c r="AF811" s="296" t="s">
        <v>193</v>
      </c>
      <c r="AG811" s="296">
        <v>16369.25</v>
      </c>
      <c r="AH811" s="298">
        <v>43615</v>
      </c>
      <c r="AJ811" s="296" t="s">
        <v>194</v>
      </c>
      <c r="AK811" s="299">
        <f>COUNTIF($A$3:A$917,A811)</f>
        <v>1</v>
      </c>
    </row>
    <row r="812" spans="1:37" x14ac:dyDescent="0.25">
      <c r="A812" s="296">
        <v>3102918873</v>
      </c>
      <c r="B812" s="296" t="s">
        <v>6363</v>
      </c>
      <c r="C812" s="296" t="s">
        <v>6364</v>
      </c>
      <c r="D812" s="296" t="s">
        <v>6365</v>
      </c>
      <c r="E812" s="296" t="s">
        <v>172</v>
      </c>
      <c r="F812" s="296" t="s">
        <v>6366</v>
      </c>
      <c r="G812" s="296" t="s">
        <v>278</v>
      </c>
      <c r="H812" s="296" t="s">
        <v>6367</v>
      </c>
      <c r="I812" s="296" t="s">
        <v>6179</v>
      </c>
      <c r="J812" s="296" t="s">
        <v>6368</v>
      </c>
      <c r="K812" s="296" t="s">
        <v>812</v>
      </c>
      <c r="L812" s="296" t="s">
        <v>813</v>
      </c>
      <c r="M812" s="296" t="s">
        <v>179</v>
      </c>
      <c r="N812" s="296" t="s">
        <v>604</v>
      </c>
      <c r="O812" s="296" t="s">
        <v>604</v>
      </c>
      <c r="P812" s="296" t="s">
        <v>605</v>
      </c>
      <c r="Q812" s="296" t="s">
        <v>183</v>
      </c>
      <c r="R812" s="296" t="s">
        <v>3718</v>
      </c>
      <c r="S812" s="296" t="s">
        <v>185</v>
      </c>
      <c r="T812" s="296" t="s">
        <v>185</v>
      </c>
      <c r="U812" s="296" t="s">
        <v>186</v>
      </c>
      <c r="V812" s="296" t="s">
        <v>187</v>
      </c>
      <c r="W812" s="296" t="s">
        <v>188</v>
      </c>
      <c r="X812" s="296" t="s">
        <v>189</v>
      </c>
      <c r="Y812" s="296" t="s">
        <v>183</v>
      </c>
      <c r="Z812" s="296" t="s">
        <v>183</v>
      </c>
      <c r="AA812" s="296" t="s">
        <v>183</v>
      </c>
      <c r="AB812" s="296" t="s">
        <v>183</v>
      </c>
      <c r="AC812" s="296" t="s">
        <v>3719</v>
      </c>
      <c r="AD812" s="296" t="s">
        <v>6369</v>
      </c>
      <c r="AE812" s="296" t="s">
        <v>192</v>
      </c>
      <c r="AF812" s="296" t="s">
        <v>193</v>
      </c>
      <c r="AG812" s="296">
        <v>22716</v>
      </c>
      <c r="AH812" s="298">
        <v>40512</v>
      </c>
      <c r="AJ812" s="296" t="s">
        <v>194</v>
      </c>
      <c r="AK812" s="299">
        <f>COUNTIF($A$3:A$917,A812)</f>
        <v>1</v>
      </c>
    </row>
    <row r="813" spans="1:37" x14ac:dyDescent="0.25">
      <c r="A813" s="296">
        <v>204440399</v>
      </c>
      <c r="B813" s="296" t="s">
        <v>6370</v>
      </c>
      <c r="C813" s="296" t="s">
        <v>183</v>
      </c>
      <c r="D813" s="296" t="s">
        <v>183</v>
      </c>
      <c r="E813" s="296" t="s">
        <v>183</v>
      </c>
      <c r="F813" s="296" t="s">
        <v>6371</v>
      </c>
      <c r="G813" s="296" t="s">
        <v>6372</v>
      </c>
      <c r="H813" s="296" t="s">
        <v>6373</v>
      </c>
      <c r="I813" s="296" t="s">
        <v>6179</v>
      </c>
      <c r="J813" s="296" t="s">
        <v>6374</v>
      </c>
      <c r="K813" s="296" t="s">
        <v>812</v>
      </c>
      <c r="L813" s="296" t="s">
        <v>813</v>
      </c>
      <c r="M813" s="296" t="s">
        <v>179</v>
      </c>
      <c r="N813" s="296" t="s">
        <v>604</v>
      </c>
      <c r="O813" s="296" t="s">
        <v>604</v>
      </c>
      <c r="P813" s="296" t="s">
        <v>605</v>
      </c>
      <c r="Q813" s="296" t="s">
        <v>183</v>
      </c>
      <c r="R813" s="296" t="s">
        <v>814</v>
      </c>
      <c r="S813" s="296" t="s">
        <v>185</v>
      </c>
      <c r="T813" s="296" t="s">
        <v>185</v>
      </c>
      <c r="U813" s="296" t="s">
        <v>186</v>
      </c>
      <c r="V813" s="296" t="s">
        <v>187</v>
      </c>
      <c r="W813" s="296" t="s">
        <v>188</v>
      </c>
      <c r="X813" s="296" t="s">
        <v>189</v>
      </c>
      <c r="Y813" s="296" t="s">
        <v>183</v>
      </c>
      <c r="Z813" s="296" t="s">
        <v>183</v>
      </c>
      <c r="AA813" s="296" t="s">
        <v>183</v>
      </c>
      <c r="AB813" s="296" t="s">
        <v>183</v>
      </c>
      <c r="AC813" s="296" t="s">
        <v>815</v>
      </c>
      <c r="AD813" s="296" t="s">
        <v>6375</v>
      </c>
      <c r="AE813" s="296" t="s">
        <v>192</v>
      </c>
      <c r="AF813" s="296" t="s">
        <v>193</v>
      </c>
      <c r="AG813" s="296">
        <v>19703.8</v>
      </c>
      <c r="AH813" s="298">
        <v>41368</v>
      </c>
      <c r="AJ813" s="296" t="s">
        <v>194</v>
      </c>
      <c r="AK813" s="299">
        <f>COUNTIF($A$3:A$917,A813)</f>
        <v>1</v>
      </c>
    </row>
    <row r="814" spans="1:37" x14ac:dyDescent="0.25">
      <c r="A814" s="296">
        <v>502540856</v>
      </c>
      <c r="B814" s="296" t="s">
        <v>6150</v>
      </c>
      <c r="C814" s="296" t="s">
        <v>183</v>
      </c>
      <c r="D814" s="296" t="s">
        <v>183</v>
      </c>
      <c r="E814" s="296" t="s">
        <v>183</v>
      </c>
      <c r="F814" s="296" t="s">
        <v>1664</v>
      </c>
      <c r="G814" s="296" t="s">
        <v>1664</v>
      </c>
      <c r="H814" s="296" t="s">
        <v>6143</v>
      </c>
      <c r="I814" s="296" t="s">
        <v>6179</v>
      </c>
      <c r="J814" s="296" t="s">
        <v>6151</v>
      </c>
      <c r="K814" s="296" t="s">
        <v>6152</v>
      </c>
      <c r="L814" s="296" t="s">
        <v>6153</v>
      </c>
      <c r="M814" s="296" t="s">
        <v>179</v>
      </c>
      <c r="N814" s="296" t="s">
        <v>6154</v>
      </c>
      <c r="O814" s="296" t="s">
        <v>183</v>
      </c>
      <c r="P814" s="296" t="s">
        <v>6155</v>
      </c>
      <c r="Q814" s="296" t="s">
        <v>183</v>
      </c>
      <c r="R814" s="296" t="s">
        <v>6156</v>
      </c>
      <c r="S814" s="296" t="s">
        <v>185</v>
      </c>
      <c r="T814" s="296" t="s">
        <v>185</v>
      </c>
      <c r="U814" s="296" t="s">
        <v>186</v>
      </c>
      <c r="V814" s="296" t="s">
        <v>187</v>
      </c>
      <c r="W814" s="296" t="s">
        <v>188</v>
      </c>
      <c r="X814" s="296" t="s">
        <v>189</v>
      </c>
      <c r="Y814" s="296" t="s">
        <v>183</v>
      </c>
      <c r="Z814" s="296" t="s">
        <v>183</v>
      </c>
      <c r="AA814" s="296" t="s">
        <v>183</v>
      </c>
      <c r="AB814" s="296" t="s">
        <v>183</v>
      </c>
      <c r="AC814" s="296" t="s">
        <v>6157</v>
      </c>
      <c r="AD814" s="296" t="s">
        <v>6376</v>
      </c>
      <c r="AE814" s="296" t="s">
        <v>192</v>
      </c>
      <c r="AF814" s="296" t="s">
        <v>193</v>
      </c>
      <c r="AG814" s="296">
        <v>0</v>
      </c>
      <c r="AH814" s="298">
        <v>40192</v>
      </c>
      <c r="AJ814" s="296" t="s">
        <v>194</v>
      </c>
      <c r="AK814" s="299">
        <f>COUNTIF($A$3:A$917,A814)</f>
        <v>2</v>
      </c>
    </row>
    <row r="815" spans="1:37" x14ac:dyDescent="0.25">
      <c r="A815" s="296">
        <v>3101815038</v>
      </c>
      <c r="B815" s="296" t="s">
        <v>6377</v>
      </c>
      <c r="C815" s="296" t="s">
        <v>183</v>
      </c>
      <c r="D815" s="296" t="s">
        <v>183</v>
      </c>
      <c r="E815" s="296" t="s">
        <v>183</v>
      </c>
      <c r="F815" s="296" t="s">
        <v>278</v>
      </c>
      <c r="G815" s="296" t="s">
        <v>278</v>
      </c>
      <c r="H815" s="296" t="s">
        <v>6378</v>
      </c>
      <c r="I815" s="296" t="s">
        <v>6179</v>
      </c>
      <c r="J815" s="296" t="s">
        <v>6379</v>
      </c>
      <c r="K815" s="296" t="s">
        <v>6380</v>
      </c>
      <c r="L815" s="296" t="s">
        <v>6381</v>
      </c>
      <c r="M815" s="296" t="s">
        <v>179</v>
      </c>
      <c r="N815" s="296" t="s">
        <v>1945</v>
      </c>
      <c r="O815" s="296" t="s">
        <v>278</v>
      </c>
      <c r="P815" s="296" t="s">
        <v>6382</v>
      </c>
      <c r="Q815" s="296" t="s">
        <v>183</v>
      </c>
      <c r="R815" s="296" t="s">
        <v>6383</v>
      </c>
      <c r="S815" s="296" t="s">
        <v>185</v>
      </c>
      <c r="T815" s="296" t="s">
        <v>185</v>
      </c>
      <c r="U815" s="296" t="s">
        <v>186</v>
      </c>
      <c r="V815" s="296" t="s">
        <v>187</v>
      </c>
      <c r="W815" s="296" t="s">
        <v>188</v>
      </c>
      <c r="X815" s="296" t="s">
        <v>189</v>
      </c>
      <c r="Y815" s="296" t="s">
        <v>183</v>
      </c>
      <c r="Z815" s="296" t="s">
        <v>183</v>
      </c>
      <c r="AA815" s="296" t="s">
        <v>183</v>
      </c>
      <c r="AB815" s="296" t="s">
        <v>183</v>
      </c>
      <c r="AC815" s="296" t="s">
        <v>6384</v>
      </c>
      <c r="AD815" s="296" t="s">
        <v>6385</v>
      </c>
      <c r="AE815" s="296" t="s">
        <v>192</v>
      </c>
      <c r="AF815" s="296" t="s">
        <v>193</v>
      </c>
      <c r="AG815" s="296">
        <v>0</v>
      </c>
      <c r="AH815" s="298">
        <v>44369</v>
      </c>
      <c r="AJ815" s="296" t="s">
        <v>194</v>
      </c>
      <c r="AK815" s="299">
        <f>COUNTIF($A$3:A$917,A815)</f>
        <v>1</v>
      </c>
    </row>
    <row r="816" spans="1:37" x14ac:dyDescent="0.25">
      <c r="A816" s="296">
        <v>603000724</v>
      </c>
      <c r="B816" s="296" t="s">
        <v>6386</v>
      </c>
      <c r="C816" s="296" t="s">
        <v>183</v>
      </c>
      <c r="D816" s="296" t="s">
        <v>183</v>
      </c>
      <c r="E816" s="296" t="s">
        <v>183</v>
      </c>
      <c r="F816" s="296" t="s">
        <v>6387</v>
      </c>
      <c r="G816" s="296" t="s">
        <v>183</v>
      </c>
      <c r="H816" s="296" t="s">
        <v>6388</v>
      </c>
      <c r="I816" s="296" t="s">
        <v>6179</v>
      </c>
      <c r="J816" s="296" t="s">
        <v>6389</v>
      </c>
      <c r="K816" s="296" t="s">
        <v>2603</v>
      </c>
      <c r="L816" s="296" t="s">
        <v>2604</v>
      </c>
      <c r="M816" s="296" t="s">
        <v>179</v>
      </c>
      <c r="N816" s="296" t="s">
        <v>2605</v>
      </c>
      <c r="O816" s="296" t="s">
        <v>2605</v>
      </c>
      <c r="P816" s="296" t="s">
        <v>2606</v>
      </c>
      <c r="Q816" s="296" t="s">
        <v>183</v>
      </c>
      <c r="R816" s="296" t="s">
        <v>2607</v>
      </c>
      <c r="S816" s="296" t="s">
        <v>185</v>
      </c>
      <c r="T816" s="296" t="s">
        <v>185</v>
      </c>
      <c r="U816" s="296" t="s">
        <v>186</v>
      </c>
      <c r="V816" s="296" t="s">
        <v>187</v>
      </c>
      <c r="W816" s="296" t="s">
        <v>188</v>
      </c>
      <c r="X816" s="296" t="s">
        <v>189</v>
      </c>
      <c r="Y816" s="296" t="s">
        <v>183</v>
      </c>
      <c r="Z816" s="296" t="s">
        <v>183</v>
      </c>
      <c r="AA816" s="296" t="s">
        <v>183</v>
      </c>
      <c r="AB816" s="296" t="s">
        <v>183</v>
      </c>
      <c r="AC816" s="296" t="s">
        <v>2608</v>
      </c>
      <c r="AD816" s="296" t="s">
        <v>6390</v>
      </c>
      <c r="AE816" s="296" t="s">
        <v>192</v>
      </c>
      <c r="AF816" s="296" t="s">
        <v>193</v>
      </c>
      <c r="AG816" s="296">
        <v>0</v>
      </c>
      <c r="AH816" s="298">
        <v>45939</v>
      </c>
      <c r="AJ816" s="296" t="s">
        <v>194</v>
      </c>
      <c r="AK816" s="299">
        <f>COUNTIF($A$3:A$917,A816)</f>
        <v>1</v>
      </c>
    </row>
    <row r="817" spans="1:37" x14ac:dyDescent="0.25">
      <c r="A817" s="296">
        <v>3101704629</v>
      </c>
      <c r="B817" s="296" t="s">
        <v>6391</v>
      </c>
      <c r="C817" s="296" t="s">
        <v>6392</v>
      </c>
      <c r="D817" s="296" t="s">
        <v>6393</v>
      </c>
      <c r="E817" s="296" t="s">
        <v>172</v>
      </c>
      <c r="F817" s="296" t="s">
        <v>6394</v>
      </c>
      <c r="G817" s="296" t="s">
        <v>183</v>
      </c>
      <c r="H817" s="296" t="s">
        <v>6395</v>
      </c>
      <c r="I817" s="296" t="s">
        <v>6396</v>
      </c>
      <c r="J817" s="296" t="s">
        <v>6397</v>
      </c>
      <c r="K817" s="296" t="s">
        <v>6398</v>
      </c>
      <c r="L817" s="296" t="s">
        <v>6399</v>
      </c>
      <c r="M817" s="296" t="s">
        <v>179</v>
      </c>
      <c r="N817" s="296" t="s">
        <v>6400</v>
      </c>
      <c r="O817" s="296" t="s">
        <v>6401</v>
      </c>
      <c r="P817" s="296" t="s">
        <v>6402</v>
      </c>
      <c r="Q817" s="296" t="s">
        <v>183</v>
      </c>
      <c r="R817" s="296" t="s">
        <v>6403</v>
      </c>
      <c r="S817" s="296" t="s">
        <v>185</v>
      </c>
      <c r="T817" s="296" t="s">
        <v>185</v>
      </c>
      <c r="U817" s="296" t="s">
        <v>186</v>
      </c>
      <c r="V817" s="296" t="s">
        <v>187</v>
      </c>
      <c r="W817" s="296" t="s">
        <v>188</v>
      </c>
      <c r="X817" s="296" t="s">
        <v>189</v>
      </c>
      <c r="Y817" s="296" t="s">
        <v>183</v>
      </c>
      <c r="Z817" s="296" t="s">
        <v>183</v>
      </c>
      <c r="AA817" s="296" t="s">
        <v>183</v>
      </c>
      <c r="AB817" s="296" t="s">
        <v>183</v>
      </c>
      <c r="AC817" s="296" t="s">
        <v>6404</v>
      </c>
      <c r="AD817" s="296" t="s">
        <v>6405</v>
      </c>
      <c r="AE817" s="296" t="s">
        <v>192</v>
      </c>
      <c r="AF817" s="296" t="s">
        <v>193</v>
      </c>
      <c r="AG817" s="296">
        <v>0</v>
      </c>
      <c r="AH817" s="298">
        <v>45632</v>
      </c>
      <c r="AJ817" s="296" t="s">
        <v>194</v>
      </c>
      <c r="AK817" s="299">
        <f>COUNTIF($A$3:A$917,A817)</f>
        <v>1</v>
      </c>
    </row>
    <row r="818" spans="1:37" x14ac:dyDescent="0.25">
      <c r="A818" s="296">
        <v>3102800015</v>
      </c>
      <c r="B818" s="296" t="s">
        <v>6406</v>
      </c>
      <c r="C818" s="296" t="s">
        <v>183</v>
      </c>
      <c r="D818" s="296" t="s">
        <v>183</v>
      </c>
      <c r="E818" s="296" t="s">
        <v>183</v>
      </c>
      <c r="F818" s="296" t="s">
        <v>6407</v>
      </c>
      <c r="G818" s="296" t="s">
        <v>278</v>
      </c>
      <c r="H818" s="296" t="s">
        <v>6408</v>
      </c>
      <c r="I818" s="296" t="s">
        <v>6396</v>
      </c>
      <c r="J818" s="296" t="s">
        <v>6409</v>
      </c>
      <c r="K818" s="296" t="s">
        <v>6410</v>
      </c>
      <c r="L818" s="296" t="s">
        <v>6411</v>
      </c>
      <c r="M818" s="296" t="s">
        <v>179</v>
      </c>
      <c r="N818" s="296" t="s">
        <v>6407</v>
      </c>
      <c r="O818" s="296" t="s">
        <v>183</v>
      </c>
      <c r="P818" s="296" t="s">
        <v>6412</v>
      </c>
      <c r="Q818" s="296" t="s">
        <v>183</v>
      </c>
      <c r="R818" s="296" t="s">
        <v>6413</v>
      </c>
      <c r="S818" s="296" t="s">
        <v>185</v>
      </c>
      <c r="T818" s="296" t="s">
        <v>185</v>
      </c>
      <c r="U818" s="296" t="s">
        <v>186</v>
      </c>
      <c r="V818" s="296" t="s">
        <v>187</v>
      </c>
      <c r="W818" s="296" t="s">
        <v>188</v>
      </c>
      <c r="X818" s="296" t="s">
        <v>189</v>
      </c>
      <c r="Y818" s="296" t="s">
        <v>183</v>
      </c>
      <c r="Z818" s="296" t="s">
        <v>183</v>
      </c>
      <c r="AA818" s="296" t="s">
        <v>183</v>
      </c>
      <c r="AB818" s="296" t="s">
        <v>183</v>
      </c>
      <c r="AC818" s="296" t="s">
        <v>6414</v>
      </c>
      <c r="AD818" s="296" t="s">
        <v>6415</v>
      </c>
      <c r="AE818" s="296" t="s">
        <v>192</v>
      </c>
      <c r="AF818" s="296" t="s">
        <v>193</v>
      </c>
      <c r="AG818" s="296">
        <v>0</v>
      </c>
      <c r="AH818" s="298">
        <v>44727</v>
      </c>
      <c r="AJ818" s="296" t="s">
        <v>194</v>
      </c>
      <c r="AK818" s="299">
        <f>COUNTIF($A$3:A$917,A818)</f>
        <v>1</v>
      </c>
    </row>
    <row r="819" spans="1:37" x14ac:dyDescent="0.25">
      <c r="A819" s="296">
        <v>502330556</v>
      </c>
      <c r="B819" s="296" t="s">
        <v>6416</v>
      </c>
      <c r="C819" s="296" t="s">
        <v>183</v>
      </c>
      <c r="D819" s="296" t="s">
        <v>183</v>
      </c>
      <c r="E819" s="296" t="s">
        <v>183</v>
      </c>
      <c r="F819" s="296" t="s">
        <v>6417</v>
      </c>
      <c r="G819" s="296" t="s">
        <v>6418</v>
      </c>
      <c r="H819" s="296" t="s">
        <v>6419</v>
      </c>
      <c r="I819" s="296" t="s">
        <v>6420</v>
      </c>
      <c r="J819" s="296" t="s">
        <v>6421</v>
      </c>
      <c r="K819" s="296" t="s">
        <v>183</v>
      </c>
      <c r="L819" s="296" t="s">
        <v>183</v>
      </c>
      <c r="M819" s="296" t="s">
        <v>183</v>
      </c>
      <c r="N819" s="296" t="s">
        <v>1615</v>
      </c>
      <c r="O819" s="296" t="s">
        <v>183</v>
      </c>
      <c r="P819" s="296" t="s">
        <v>183</v>
      </c>
      <c r="Q819" s="296" t="s">
        <v>183</v>
      </c>
      <c r="R819" s="296" t="s">
        <v>183</v>
      </c>
      <c r="S819" s="296" t="s">
        <v>183</v>
      </c>
      <c r="T819" s="296" t="s">
        <v>183</v>
      </c>
      <c r="U819" s="296" t="s">
        <v>183</v>
      </c>
      <c r="V819" s="296" t="s">
        <v>183</v>
      </c>
      <c r="W819" s="296" t="s">
        <v>183</v>
      </c>
      <c r="X819" s="296" t="s">
        <v>183</v>
      </c>
      <c r="Y819" s="296" t="s">
        <v>183</v>
      </c>
      <c r="Z819" s="296" t="s">
        <v>183</v>
      </c>
      <c r="AA819" s="296" t="s">
        <v>183</v>
      </c>
      <c r="AB819" s="296" t="s">
        <v>183</v>
      </c>
      <c r="AC819" s="296" t="s">
        <v>183</v>
      </c>
      <c r="AD819" s="296" t="s">
        <v>6422</v>
      </c>
      <c r="AE819" s="296" t="s">
        <v>192</v>
      </c>
      <c r="AF819" s="296" t="s">
        <v>193</v>
      </c>
      <c r="AG819" s="296">
        <v>0</v>
      </c>
      <c r="AH819" s="298">
        <v>45588</v>
      </c>
      <c r="AJ819" s="296" t="s">
        <v>194</v>
      </c>
      <c r="AK819" s="299">
        <f>COUNTIF($A$3:A$917,A819)</f>
        <v>1</v>
      </c>
    </row>
    <row r="820" spans="1:37" x14ac:dyDescent="0.25">
      <c r="A820" s="296">
        <v>503760124</v>
      </c>
      <c r="B820" s="296" t="s">
        <v>6423</v>
      </c>
      <c r="C820" s="296" t="s">
        <v>183</v>
      </c>
      <c r="D820" s="296" t="s">
        <v>183</v>
      </c>
      <c r="E820" s="296" t="s">
        <v>183</v>
      </c>
      <c r="F820" s="296" t="s">
        <v>6424</v>
      </c>
      <c r="G820" s="296" t="s">
        <v>6424</v>
      </c>
      <c r="H820" s="296" t="s">
        <v>6425</v>
      </c>
      <c r="I820" s="296" t="s">
        <v>6420</v>
      </c>
      <c r="J820" s="296" t="s">
        <v>6426</v>
      </c>
      <c r="K820" s="296" t="s">
        <v>183</v>
      </c>
      <c r="L820" s="296" t="s">
        <v>183</v>
      </c>
      <c r="M820" s="296" t="s">
        <v>183</v>
      </c>
      <c r="N820" s="296" t="s">
        <v>3310</v>
      </c>
      <c r="O820" s="296" t="s">
        <v>183</v>
      </c>
      <c r="P820" s="296" t="s">
        <v>183</v>
      </c>
      <c r="Q820" s="296" t="s">
        <v>183</v>
      </c>
      <c r="R820" s="296" t="s">
        <v>183</v>
      </c>
      <c r="S820" s="296" t="s">
        <v>183</v>
      </c>
      <c r="T820" s="296" t="s">
        <v>183</v>
      </c>
      <c r="U820" s="296" t="s">
        <v>183</v>
      </c>
      <c r="V820" s="296" t="s">
        <v>183</v>
      </c>
      <c r="W820" s="296" t="s">
        <v>183</v>
      </c>
      <c r="X820" s="296" t="s">
        <v>183</v>
      </c>
      <c r="Y820" s="296" t="s">
        <v>183</v>
      </c>
      <c r="Z820" s="296" t="s">
        <v>183</v>
      </c>
      <c r="AA820" s="296" t="s">
        <v>183</v>
      </c>
      <c r="AB820" s="296" t="s">
        <v>183</v>
      </c>
      <c r="AC820" s="296" t="s">
        <v>183</v>
      </c>
      <c r="AD820" s="296" t="s">
        <v>6427</v>
      </c>
      <c r="AE820" s="296" t="s">
        <v>192</v>
      </c>
      <c r="AF820" s="296" t="s">
        <v>193</v>
      </c>
      <c r="AG820" s="296">
        <v>0</v>
      </c>
      <c r="AH820" s="298">
        <v>45065</v>
      </c>
      <c r="AJ820" s="296" t="s">
        <v>194</v>
      </c>
      <c r="AK820" s="299">
        <f>COUNTIF($A$3:A$917,A820)</f>
        <v>1</v>
      </c>
    </row>
    <row r="821" spans="1:37" x14ac:dyDescent="0.25">
      <c r="A821" s="296">
        <v>401220212</v>
      </c>
      <c r="B821" s="296" t="s">
        <v>6428</v>
      </c>
      <c r="C821" s="296" t="s">
        <v>183</v>
      </c>
      <c r="D821" s="296" t="s">
        <v>183</v>
      </c>
      <c r="E821" s="296" t="s">
        <v>183</v>
      </c>
      <c r="F821" s="296" t="s">
        <v>6429</v>
      </c>
      <c r="G821" s="296" t="s">
        <v>183</v>
      </c>
      <c r="H821" s="296" t="s">
        <v>6430</v>
      </c>
      <c r="I821" s="296" t="s">
        <v>6420</v>
      </c>
      <c r="J821" s="296" t="s">
        <v>6431</v>
      </c>
      <c r="K821" s="296" t="s">
        <v>183</v>
      </c>
      <c r="L821" s="296" t="s">
        <v>183</v>
      </c>
      <c r="M821" s="296" t="s">
        <v>183</v>
      </c>
      <c r="N821" s="296" t="s">
        <v>1956</v>
      </c>
      <c r="O821" s="296" t="s">
        <v>183</v>
      </c>
      <c r="P821" s="296" t="s">
        <v>183</v>
      </c>
      <c r="Q821" s="296" t="s">
        <v>183</v>
      </c>
      <c r="R821" s="296" t="s">
        <v>183</v>
      </c>
      <c r="S821" s="296" t="s">
        <v>183</v>
      </c>
      <c r="T821" s="296" t="s">
        <v>183</v>
      </c>
      <c r="U821" s="296" t="s">
        <v>183</v>
      </c>
      <c r="V821" s="296" t="s">
        <v>183</v>
      </c>
      <c r="W821" s="296" t="s">
        <v>183</v>
      </c>
      <c r="X821" s="296" t="s">
        <v>183</v>
      </c>
      <c r="Y821" s="296" t="s">
        <v>183</v>
      </c>
      <c r="Z821" s="296" t="s">
        <v>183</v>
      </c>
      <c r="AA821" s="296" t="s">
        <v>183</v>
      </c>
      <c r="AB821" s="296" t="s">
        <v>183</v>
      </c>
      <c r="AC821" s="296" t="s">
        <v>183</v>
      </c>
      <c r="AD821" s="296" t="s">
        <v>6432</v>
      </c>
      <c r="AE821" s="296" t="s">
        <v>192</v>
      </c>
      <c r="AF821" s="296" t="s">
        <v>193</v>
      </c>
      <c r="AG821" s="296">
        <v>0</v>
      </c>
      <c r="AH821" s="298">
        <v>45394</v>
      </c>
      <c r="AJ821" s="296" t="s">
        <v>194</v>
      </c>
      <c r="AK821" s="299">
        <f>COUNTIF($A$3:A$917,A821)</f>
        <v>1</v>
      </c>
    </row>
    <row r="822" spans="1:37" x14ac:dyDescent="0.25">
      <c r="A822" s="296">
        <v>801530490</v>
      </c>
      <c r="B822" s="296" t="s">
        <v>6433</v>
      </c>
      <c r="C822" s="296" t="s">
        <v>183</v>
      </c>
      <c r="D822" s="296" t="s">
        <v>183</v>
      </c>
      <c r="E822" s="296" t="s">
        <v>183</v>
      </c>
      <c r="F822" s="296" t="s">
        <v>6434</v>
      </c>
      <c r="G822" s="296" t="s">
        <v>6434</v>
      </c>
      <c r="H822" s="296" t="s">
        <v>6435</v>
      </c>
      <c r="I822" s="296" t="s">
        <v>6420</v>
      </c>
      <c r="J822" s="296" t="s">
        <v>6436</v>
      </c>
      <c r="K822" s="296" t="s">
        <v>183</v>
      </c>
      <c r="L822" s="296" t="s">
        <v>183</v>
      </c>
      <c r="M822" s="296" t="s">
        <v>183</v>
      </c>
      <c r="N822" s="296" t="s">
        <v>1901</v>
      </c>
      <c r="O822" s="296" t="s">
        <v>183</v>
      </c>
      <c r="P822" s="296" t="s">
        <v>183</v>
      </c>
      <c r="Q822" s="296" t="s">
        <v>183</v>
      </c>
      <c r="R822" s="296" t="s">
        <v>183</v>
      </c>
      <c r="S822" s="296" t="s">
        <v>183</v>
      </c>
      <c r="T822" s="296" t="s">
        <v>183</v>
      </c>
      <c r="U822" s="296" t="s">
        <v>183</v>
      </c>
      <c r="V822" s="296" t="s">
        <v>183</v>
      </c>
      <c r="W822" s="296" t="s">
        <v>183</v>
      </c>
      <c r="X822" s="296" t="s">
        <v>183</v>
      </c>
      <c r="Y822" s="296" t="s">
        <v>183</v>
      </c>
      <c r="Z822" s="296" t="s">
        <v>183</v>
      </c>
      <c r="AA822" s="296" t="s">
        <v>183</v>
      </c>
      <c r="AB822" s="296" t="s">
        <v>183</v>
      </c>
      <c r="AC822" s="296" t="s">
        <v>183</v>
      </c>
      <c r="AD822" s="296" t="s">
        <v>6437</v>
      </c>
      <c r="AE822" s="296" t="s">
        <v>192</v>
      </c>
      <c r="AF822" s="296" t="s">
        <v>193</v>
      </c>
      <c r="AG822" s="296">
        <v>0</v>
      </c>
      <c r="AH822" s="298">
        <v>44974</v>
      </c>
      <c r="AJ822" s="296" t="s">
        <v>194</v>
      </c>
      <c r="AK822" s="299">
        <f>COUNTIF($A$3:A$917,A822)</f>
        <v>1</v>
      </c>
    </row>
    <row r="823" spans="1:37" x14ac:dyDescent="0.25">
      <c r="A823" s="296">
        <v>115890721</v>
      </c>
      <c r="B823" s="296" t="s">
        <v>6438</v>
      </c>
      <c r="C823" s="296" t="s">
        <v>183</v>
      </c>
      <c r="D823" s="296" t="s">
        <v>183</v>
      </c>
      <c r="E823" s="296" t="s">
        <v>183</v>
      </c>
      <c r="F823" s="296" t="s">
        <v>6439</v>
      </c>
      <c r="G823" s="296" t="s">
        <v>6440</v>
      </c>
      <c r="H823" s="296" t="s">
        <v>6441</v>
      </c>
      <c r="I823" s="296" t="s">
        <v>6420</v>
      </c>
      <c r="J823" s="296" t="s">
        <v>6442</v>
      </c>
      <c r="K823" s="296" t="s">
        <v>183</v>
      </c>
      <c r="L823" s="296" t="s">
        <v>183</v>
      </c>
      <c r="M823" s="296" t="s">
        <v>183</v>
      </c>
      <c r="N823" s="296" t="s">
        <v>6443</v>
      </c>
      <c r="O823" s="296" t="s">
        <v>183</v>
      </c>
      <c r="P823" s="296" t="s">
        <v>183</v>
      </c>
      <c r="Q823" s="296" t="s">
        <v>183</v>
      </c>
      <c r="R823" s="296" t="s">
        <v>183</v>
      </c>
      <c r="S823" s="296" t="s">
        <v>183</v>
      </c>
      <c r="T823" s="296" t="s">
        <v>183</v>
      </c>
      <c r="U823" s="296" t="s">
        <v>183</v>
      </c>
      <c r="V823" s="296" t="s">
        <v>183</v>
      </c>
      <c r="W823" s="296" t="s">
        <v>183</v>
      </c>
      <c r="X823" s="296" t="s">
        <v>183</v>
      </c>
      <c r="Y823" s="296" t="s">
        <v>183</v>
      </c>
      <c r="Z823" s="296" t="s">
        <v>183</v>
      </c>
      <c r="AA823" s="296" t="s">
        <v>183</v>
      </c>
      <c r="AB823" s="296" t="s">
        <v>183</v>
      </c>
      <c r="AC823" s="296" t="s">
        <v>183</v>
      </c>
      <c r="AD823" s="296" t="s">
        <v>6444</v>
      </c>
      <c r="AE823" s="296" t="s">
        <v>192</v>
      </c>
      <c r="AF823" s="296" t="s">
        <v>193</v>
      </c>
      <c r="AG823" s="296">
        <v>0</v>
      </c>
      <c r="AH823" s="298">
        <v>44482</v>
      </c>
      <c r="AJ823" s="296" t="s">
        <v>194</v>
      </c>
      <c r="AK823" s="299">
        <f>COUNTIF($A$3:A$917,A823)</f>
        <v>1</v>
      </c>
    </row>
    <row r="824" spans="1:37" x14ac:dyDescent="0.25">
      <c r="A824" s="296">
        <v>205440518</v>
      </c>
      <c r="B824" s="296" t="s">
        <v>6445</v>
      </c>
      <c r="C824" s="296" t="s">
        <v>183</v>
      </c>
      <c r="D824" s="296" t="s">
        <v>183</v>
      </c>
      <c r="E824" s="296" t="s">
        <v>183</v>
      </c>
      <c r="F824" s="296" t="s">
        <v>6446</v>
      </c>
      <c r="G824" s="296" t="s">
        <v>6446</v>
      </c>
      <c r="H824" s="296" t="s">
        <v>6447</v>
      </c>
      <c r="I824" s="296" t="s">
        <v>6420</v>
      </c>
      <c r="J824" s="296" t="s">
        <v>6448</v>
      </c>
      <c r="K824" s="296" t="s">
        <v>183</v>
      </c>
      <c r="L824" s="296" t="s">
        <v>183</v>
      </c>
      <c r="M824" s="296" t="s">
        <v>183</v>
      </c>
      <c r="N824" s="296" t="s">
        <v>6209</v>
      </c>
      <c r="O824" s="296" t="s">
        <v>183</v>
      </c>
      <c r="P824" s="296" t="s">
        <v>183</v>
      </c>
      <c r="Q824" s="296" t="s">
        <v>183</v>
      </c>
      <c r="R824" s="296" t="s">
        <v>183</v>
      </c>
      <c r="S824" s="296" t="s">
        <v>183</v>
      </c>
      <c r="T824" s="296" t="s">
        <v>183</v>
      </c>
      <c r="U824" s="296" t="s">
        <v>183</v>
      </c>
      <c r="V824" s="296" t="s">
        <v>183</v>
      </c>
      <c r="W824" s="296" t="s">
        <v>183</v>
      </c>
      <c r="X824" s="296" t="s">
        <v>183</v>
      </c>
      <c r="Y824" s="296" t="s">
        <v>183</v>
      </c>
      <c r="Z824" s="296" t="s">
        <v>183</v>
      </c>
      <c r="AA824" s="296" t="s">
        <v>183</v>
      </c>
      <c r="AB824" s="296" t="s">
        <v>183</v>
      </c>
      <c r="AC824" s="296" t="s">
        <v>183</v>
      </c>
      <c r="AD824" s="296" t="s">
        <v>6449</v>
      </c>
      <c r="AE824" s="296" t="s">
        <v>192</v>
      </c>
      <c r="AF824" s="296" t="s">
        <v>193</v>
      </c>
      <c r="AG824" s="296">
        <v>0</v>
      </c>
      <c r="AH824" s="298">
        <v>45790</v>
      </c>
      <c r="AJ824" s="296" t="s">
        <v>194</v>
      </c>
      <c r="AK824" s="299">
        <f>COUNTIF($A$3:A$917,A824)</f>
        <v>1</v>
      </c>
    </row>
    <row r="825" spans="1:37" x14ac:dyDescent="0.25">
      <c r="A825" s="296">
        <v>502520740</v>
      </c>
      <c r="B825" s="296" t="s">
        <v>6450</v>
      </c>
      <c r="C825" s="296" t="s">
        <v>183</v>
      </c>
      <c r="D825" s="296" t="s">
        <v>183</v>
      </c>
      <c r="E825" s="296" t="s">
        <v>183</v>
      </c>
      <c r="F825" s="296" t="s">
        <v>6451</v>
      </c>
      <c r="G825" s="296" t="s">
        <v>6452</v>
      </c>
      <c r="H825" s="296" t="s">
        <v>6453</v>
      </c>
      <c r="I825" s="296" t="s">
        <v>6420</v>
      </c>
      <c r="J825" s="296" t="s">
        <v>6420</v>
      </c>
      <c r="K825" s="296" t="s">
        <v>183</v>
      </c>
      <c r="L825" s="296" t="s">
        <v>183</v>
      </c>
      <c r="M825" s="296" t="s">
        <v>183</v>
      </c>
      <c r="N825" s="296" t="s">
        <v>2557</v>
      </c>
      <c r="O825" s="296" t="s">
        <v>183</v>
      </c>
      <c r="P825" s="296" t="s">
        <v>183</v>
      </c>
      <c r="Q825" s="296" t="s">
        <v>183</v>
      </c>
      <c r="R825" s="296" t="s">
        <v>183</v>
      </c>
      <c r="S825" s="296" t="s">
        <v>183</v>
      </c>
      <c r="T825" s="296" t="s">
        <v>183</v>
      </c>
      <c r="U825" s="296" t="s">
        <v>183</v>
      </c>
      <c r="V825" s="296" t="s">
        <v>183</v>
      </c>
      <c r="W825" s="296" t="s">
        <v>183</v>
      </c>
      <c r="X825" s="296" t="s">
        <v>183</v>
      </c>
      <c r="Y825" s="296" t="s">
        <v>183</v>
      </c>
      <c r="Z825" s="296" t="s">
        <v>183</v>
      </c>
      <c r="AA825" s="296" t="s">
        <v>183</v>
      </c>
      <c r="AB825" s="296" t="s">
        <v>183</v>
      </c>
      <c r="AC825" s="296" t="s">
        <v>183</v>
      </c>
      <c r="AD825" s="296" t="s">
        <v>6454</v>
      </c>
      <c r="AE825" s="296" t="s">
        <v>192</v>
      </c>
      <c r="AF825" s="296" t="s">
        <v>193</v>
      </c>
      <c r="AG825" s="296">
        <v>0</v>
      </c>
      <c r="AH825" s="298">
        <v>40851</v>
      </c>
      <c r="AJ825" s="296" t="s">
        <v>194</v>
      </c>
      <c r="AK825" s="299">
        <f>COUNTIF($A$3:A$917,A825)</f>
        <v>1</v>
      </c>
    </row>
    <row r="826" spans="1:37" x14ac:dyDescent="0.25">
      <c r="A826" s="296">
        <v>3102768312</v>
      </c>
      <c r="B826" s="296" t="s">
        <v>551</v>
      </c>
      <c r="C826" s="296" t="s">
        <v>552</v>
      </c>
      <c r="D826" s="296" t="s">
        <v>553</v>
      </c>
      <c r="E826" s="296" t="s">
        <v>172</v>
      </c>
      <c r="F826" s="296" t="s">
        <v>554</v>
      </c>
      <c r="G826" s="296" t="s">
        <v>183</v>
      </c>
      <c r="H826" s="296" t="s">
        <v>555</v>
      </c>
      <c r="I826" s="296" t="s">
        <v>6420</v>
      </c>
      <c r="J826" s="296" t="s">
        <v>556</v>
      </c>
      <c r="K826" s="296" t="s">
        <v>183</v>
      </c>
      <c r="L826" s="296" t="s">
        <v>183</v>
      </c>
      <c r="M826" s="296" t="s">
        <v>183</v>
      </c>
      <c r="N826" s="296" t="s">
        <v>2769</v>
      </c>
      <c r="O826" s="296" t="s">
        <v>183</v>
      </c>
      <c r="P826" s="296" t="s">
        <v>183</v>
      </c>
      <c r="Q826" s="296" t="s">
        <v>183</v>
      </c>
      <c r="R826" s="296" t="s">
        <v>183</v>
      </c>
      <c r="S826" s="296" t="s">
        <v>183</v>
      </c>
      <c r="T826" s="296" t="s">
        <v>183</v>
      </c>
      <c r="U826" s="296" t="s">
        <v>183</v>
      </c>
      <c r="V826" s="296" t="s">
        <v>183</v>
      </c>
      <c r="W826" s="296" t="s">
        <v>183</v>
      </c>
      <c r="X826" s="296" t="s">
        <v>183</v>
      </c>
      <c r="Y826" s="296" t="s">
        <v>183</v>
      </c>
      <c r="Z826" s="296" t="s">
        <v>183</v>
      </c>
      <c r="AA826" s="296" t="s">
        <v>183</v>
      </c>
      <c r="AB826" s="296" t="s">
        <v>183</v>
      </c>
      <c r="AC826" s="296" t="s">
        <v>183</v>
      </c>
      <c r="AD826" s="296" t="s">
        <v>6455</v>
      </c>
      <c r="AE826" s="296" t="s">
        <v>192</v>
      </c>
      <c r="AF826" s="296" t="s">
        <v>193</v>
      </c>
      <c r="AG826" s="296">
        <v>0</v>
      </c>
      <c r="AH826" s="298">
        <v>44734</v>
      </c>
      <c r="AJ826" s="296" t="s">
        <v>194</v>
      </c>
      <c r="AK826" s="299">
        <f>COUNTIF($A$3:A$917,A826)</f>
        <v>3</v>
      </c>
    </row>
    <row r="827" spans="1:37" x14ac:dyDescent="0.25">
      <c r="A827" s="296">
        <v>3102875413</v>
      </c>
      <c r="B827" s="296" t="s">
        <v>6456</v>
      </c>
      <c r="C827" s="296" t="s">
        <v>6457</v>
      </c>
      <c r="D827" s="296" t="s">
        <v>6458</v>
      </c>
      <c r="E827" s="296" t="s">
        <v>172</v>
      </c>
      <c r="F827" s="296" t="s">
        <v>6459</v>
      </c>
      <c r="G827" s="296" t="s">
        <v>278</v>
      </c>
      <c r="H827" s="296" t="s">
        <v>6460</v>
      </c>
      <c r="I827" s="296" t="s">
        <v>6420</v>
      </c>
      <c r="J827" s="296" t="s">
        <v>6461</v>
      </c>
      <c r="K827" s="296" t="s">
        <v>183</v>
      </c>
      <c r="L827" s="296" t="s">
        <v>183</v>
      </c>
      <c r="M827" s="296" t="s">
        <v>183</v>
      </c>
      <c r="N827" s="296" t="s">
        <v>1319</v>
      </c>
      <c r="O827" s="296" t="s">
        <v>183</v>
      </c>
      <c r="P827" s="296" t="s">
        <v>183</v>
      </c>
      <c r="Q827" s="296" t="s">
        <v>183</v>
      </c>
      <c r="R827" s="296" t="s">
        <v>183</v>
      </c>
      <c r="S827" s="296" t="s">
        <v>183</v>
      </c>
      <c r="T827" s="296" t="s">
        <v>183</v>
      </c>
      <c r="U827" s="296" t="s">
        <v>183</v>
      </c>
      <c r="V827" s="296" t="s">
        <v>183</v>
      </c>
      <c r="W827" s="296" t="s">
        <v>183</v>
      </c>
      <c r="X827" s="296" t="s">
        <v>183</v>
      </c>
      <c r="Y827" s="296" t="s">
        <v>183</v>
      </c>
      <c r="Z827" s="296" t="s">
        <v>183</v>
      </c>
      <c r="AA827" s="296" t="s">
        <v>183</v>
      </c>
      <c r="AB827" s="296" t="s">
        <v>183</v>
      </c>
      <c r="AC827" s="296" t="s">
        <v>183</v>
      </c>
      <c r="AD827" s="296" t="s">
        <v>6462</v>
      </c>
      <c r="AE827" s="296" t="s">
        <v>192</v>
      </c>
      <c r="AF827" s="296" t="s">
        <v>193</v>
      </c>
      <c r="AG827" s="296">
        <v>0</v>
      </c>
      <c r="AH827" s="298">
        <v>45160</v>
      </c>
      <c r="AJ827" s="296" t="s">
        <v>194</v>
      </c>
      <c r="AK827" s="299">
        <f>COUNTIF($A$3:A$917,A827)</f>
        <v>1</v>
      </c>
    </row>
    <row r="828" spans="1:37" x14ac:dyDescent="0.25">
      <c r="A828" s="296">
        <v>603930307</v>
      </c>
      <c r="B828" s="296" t="s">
        <v>6463</v>
      </c>
      <c r="C828" s="296" t="s">
        <v>183</v>
      </c>
      <c r="D828" s="296" t="s">
        <v>183</v>
      </c>
      <c r="E828" s="296" t="s">
        <v>183</v>
      </c>
      <c r="F828" s="296" t="s">
        <v>6464</v>
      </c>
      <c r="G828" s="296" t="s">
        <v>183</v>
      </c>
      <c r="H828" s="296" t="s">
        <v>6465</v>
      </c>
      <c r="I828" s="296" t="s">
        <v>6466</v>
      </c>
      <c r="J828" s="296" t="s">
        <v>6467</v>
      </c>
      <c r="K828" s="296" t="s">
        <v>6468</v>
      </c>
      <c r="L828" s="296" t="s">
        <v>6469</v>
      </c>
      <c r="M828" s="296" t="s">
        <v>179</v>
      </c>
      <c r="N828" s="296" t="s">
        <v>6470</v>
      </c>
      <c r="O828" s="296" t="s">
        <v>6470</v>
      </c>
      <c r="P828" s="296" t="s">
        <v>6471</v>
      </c>
      <c r="Q828" s="296" t="s">
        <v>183</v>
      </c>
      <c r="R828" s="296" t="s">
        <v>6472</v>
      </c>
      <c r="S828" s="296" t="s">
        <v>185</v>
      </c>
      <c r="T828" s="296" t="s">
        <v>185</v>
      </c>
      <c r="U828" s="296" t="s">
        <v>186</v>
      </c>
      <c r="V828" s="296" t="s">
        <v>187</v>
      </c>
      <c r="W828" s="296" t="s">
        <v>188</v>
      </c>
      <c r="X828" s="296" t="s">
        <v>189</v>
      </c>
      <c r="Y828" s="296" t="s">
        <v>183</v>
      </c>
      <c r="Z828" s="296" t="s">
        <v>183</v>
      </c>
      <c r="AA828" s="296" t="s">
        <v>183</v>
      </c>
      <c r="AB828" s="296" t="s">
        <v>183</v>
      </c>
      <c r="AC828" s="296" t="s">
        <v>6473</v>
      </c>
      <c r="AD828" s="296" t="s">
        <v>6474</v>
      </c>
      <c r="AE828" s="296" t="s">
        <v>192</v>
      </c>
      <c r="AF828" s="296" t="s">
        <v>193</v>
      </c>
      <c r="AG828" s="296">
        <v>0</v>
      </c>
      <c r="AH828" s="298">
        <v>43276</v>
      </c>
      <c r="AJ828" s="296" t="s">
        <v>194</v>
      </c>
      <c r="AK828" s="299">
        <f>COUNTIF($A$3:A$917,A828)</f>
        <v>2</v>
      </c>
    </row>
    <row r="829" spans="1:37" x14ac:dyDescent="0.25">
      <c r="A829" s="296">
        <v>202811059</v>
      </c>
      <c r="B829" s="296" t="s">
        <v>6475</v>
      </c>
      <c r="C829" s="296" t="s">
        <v>183</v>
      </c>
      <c r="D829" s="296" t="s">
        <v>183</v>
      </c>
      <c r="E829" s="296" t="s">
        <v>183</v>
      </c>
      <c r="F829" s="296" t="s">
        <v>6476</v>
      </c>
      <c r="G829" s="296" t="s">
        <v>6477</v>
      </c>
      <c r="H829" s="296" t="s">
        <v>6478</v>
      </c>
      <c r="I829" s="296" t="s">
        <v>6466</v>
      </c>
      <c r="J829" s="296" t="s">
        <v>6479</v>
      </c>
      <c r="K829" s="296" t="s">
        <v>6480</v>
      </c>
      <c r="L829" s="296" t="s">
        <v>6475</v>
      </c>
      <c r="M829" s="296" t="s">
        <v>179</v>
      </c>
      <c r="N829" s="296" t="s">
        <v>6476</v>
      </c>
      <c r="O829" s="296" t="s">
        <v>6477</v>
      </c>
      <c r="P829" s="296" t="s">
        <v>6478</v>
      </c>
      <c r="Q829" s="296" t="s">
        <v>183</v>
      </c>
      <c r="R829" s="296" t="s">
        <v>6481</v>
      </c>
      <c r="S829" s="296" t="s">
        <v>185</v>
      </c>
      <c r="T829" s="296" t="s">
        <v>185</v>
      </c>
      <c r="U829" s="296" t="s">
        <v>186</v>
      </c>
      <c r="V829" s="296" t="s">
        <v>187</v>
      </c>
      <c r="W829" s="296" t="s">
        <v>188</v>
      </c>
      <c r="X829" s="296" t="s">
        <v>189</v>
      </c>
      <c r="Y829" s="296" t="s">
        <v>183</v>
      </c>
      <c r="Z829" s="296" t="s">
        <v>183</v>
      </c>
      <c r="AA829" s="296" t="s">
        <v>183</v>
      </c>
      <c r="AB829" s="296" t="s">
        <v>183</v>
      </c>
      <c r="AC829" s="296" t="s">
        <v>6482</v>
      </c>
      <c r="AD829" s="296" t="s">
        <v>6483</v>
      </c>
      <c r="AE829" s="296" t="s">
        <v>192</v>
      </c>
      <c r="AF829" s="296" t="s">
        <v>193</v>
      </c>
      <c r="AG829" s="296">
        <v>0</v>
      </c>
      <c r="AH829" s="298">
        <v>44474</v>
      </c>
      <c r="AJ829" s="296" t="s">
        <v>194</v>
      </c>
      <c r="AK829" s="299">
        <f>COUNTIF($A$3:A$917,A829)</f>
        <v>1</v>
      </c>
    </row>
    <row r="830" spans="1:37" x14ac:dyDescent="0.25">
      <c r="A830" s="296">
        <v>3101767647</v>
      </c>
      <c r="B830" s="296" t="s">
        <v>6484</v>
      </c>
      <c r="C830" s="296" t="s">
        <v>183</v>
      </c>
      <c r="D830" s="296" t="s">
        <v>183</v>
      </c>
      <c r="E830" s="296" t="s">
        <v>183</v>
      </c>
      <c r="F830" s="296" t="s">
        <v>3570</v>
      </c>
      <c r="G830" s="296" t="s">
        <v>278</v>
      </c>
      <c r="H830" s="296" t="s">
        <v>3571</v>
      </c>
      <c r="I830" s="296" t="s">
        <v>6485</v>
      </c>
      <c r="J830" s="296" t="s">
        <v>6486</v>
      </c>
      <c r="K830" s="296" t="s">
        <v>3574</v>
      </c>
      <c r="L830" s="296" t="s">
        <v>3575</v>
      </c>
      <c r="M830" s="296" t="s">
        <v>179</v>
      </c>
      <c r="N830" s="296" t="s">
        <v>3576</v>
      </c>
      <c r="O830" s="296" t="s">
        <v>3570</v>
      </c>
      <c r="P830" s="296" t="s">
        <v>3571</v>
      </c>
      <c r="Q830" s="296" t="s">
        <v>183</v>
      </c>
      <c r="R830" s="296" t="s">
        <v>3577</v>
      </c>
      <c r="S830" s="296" t="s">
        <v>185</v>
      </c>
      <c r="T830" s="296" t="s">
        <v>185</v>
      </c>
      <c r="U830" s="296" t="s">
        <v>186</v>
      </c>
      <c r="V830" s="296" t="s">
        <v>187</v>
      </c>
      <c r="W830" s="296" t="s">
        <v>188</v>
      </c>
      <c r="X830" s="296" t="s">
        <v>189</v>
      </c>
      <c r="Y830" s="296" t="s">
        <v>183</v>
      </c>
      <c r="Z830" s="296" t="s">
        <v>183</v>
      </c>
      <c r="AA830" s="296" t="s">
        <v>183</v>
      </c>
      <c r="AB830" s="296" t="s">
        <v>183</v>
      </c>
      <c r="AC830" s="296" t="s">
        <v>3578</v>
      </c>
      <c r="AD830" s="296" t="s">
        <v>6487</v>
      </c>
      <c r="AE830" s="296" t="s">
        <v>192</v>
      </c>
      <c r="AF830" s="296" t="s">
        <v>193</v>
      </c>
      <c r="AG830" s="296">
        <v>0</v>
      </c>
      <c r="AH830" s="298">
        <v>43861</v>
      </c>
      <c r="AJ830" s="296" t="s">
        <v>194</v>
      </c>
      <c r="AK830" s="299">
        <f>COUNTIF($A$3:A$917,A830)</f>
        <v>1</v>
      </c>
    </row>
    <row r="831" spans="1:37" x14ac:dyDescent="0.25">
      <c r="A831" s="296">
        <v>502140059</v>
      </c>
      <c r="B831" s="296" t="s">
        <v>6488</v>
      </c>
      <c r="C831" s="296" t="s">
        <v>183</v>
      </c>
      <c r="D831" s="296" t="s">
        <v>183</v>
      </c>
      <c r="E831" s="296" t="s">
        <v>183</v>
      </c>
      <c r="F831" s="296" t="s">
        <v>6489</v>
      </c>
      <c r="G831" s="296" t="s">
        <v>183</v>
      </c>
      <c r="H831" s="296" t="s">
        <v>6490</v>
      </c>
      <c r="I831" s="296" t="s">
        <v>6485</v>
      </c>
      <c r="J831" s="296" t="s">
        <v>6491</v>
      </c>
      <c r="K831" s="296" t="s">
        <v>6492</v>
      </c>
      <c r="L831" s="296" t="s">
        <v>6493</v>
      </c>
      <c r="M831" s="296" t="s">
        <v>179</v>
      </c>
      <c r="N831" s="296" t="s">
        <v>6489</v>
      </c>
      <c r="O831" s="296" t="s">
        <v>6489</v>
      </c>
      <c r="P831" s="296" t="s">
        <v>6494</v>
      </c>
      <c r="Q831" s="296" t="s">
        <v>183</v>
      </c>
      <c r="R831" s="296" t="s">
        <v>6495</v>
      </c>
      <c r="S831" s="296" t="s">
        <v>185</v>
      </c>
      <c r="T831" s="296" t="s">
        <v>185</v>
      </c>
      <c r="U831" s="296" t="s">
        <v>186</v>
      </c>
      <c r="V831" s="296" t="s">
        <v>187</v>
      </c>
      <c r="W831" s="296" t="s">
        <v>188</v>
      </c>
      <c r="X831" s="296" t="s">
        <v>246</v>
      </c>
      <c r="Y831" s="296" t="s">
        <v>183</v>
      </c>
      <c r="Z831" s="296" t="s">
        <v>183</v>
      </c>
      <c r="AA831" s="296" t="s">
        <v>183</v>
      </c>
      <c r="AB831" s="296" t="s">
        <v>183</v>
      </c>
      <c r="AC831" s="296" t="s">
        <v>6496</v>
      </c>
      <c r="AD831" s="296" t="s">
        <v>6497</v>
      </c>
      <c r="AE831" s="296" t="s">
        <v>192</v>
      </c>
      <c r="AF831" s="296" t="s">
        <v>193</v>
      </c>
      <c r="AG831" s="296">
        <v>0</v>
      </c>
      <c r="AH831" s="298">
        <v>44789</v>
      </c>
      <c r="AJ831" s="296" t="s">
        <v>194</v>
      </c>
      <c r="AK831" s="299">
        <f>COUNTIF($A$3:A$917,A831)</f>
        <v>1</v>
      </c>
    </row>
    <row r="832" spans="1:37" x14ac:dyDescent="0.25">
      <c r="A832" s="296">
        <v>3002056564</v>
      </c>
      <c r="B832" s="296" t="s">
        <v>1003</v>
      </c>
      <c r="C832" s="296" t="s">
        <v>1004</v>
      </c>
      <c r="D832" s="296" t="s">
        <v>1005</v>
      </c>
      <c r="E832" s="296" t="s">
        <v>172</v>
      </c>
      <c r="F832" s="296" t="s">
        <v>1006</v>
      </c>
      <c r="G832" s="296" t="s">
        <v>278</v>
      </c>
      <c r="H832" s="296" t="s">
        <v>1007</v>
      </c>
      <c r="I832" s="296" t="s">
        <v>6498</v>
      </c>
      <c r="J832" s="296" t="s">
        <v>6499</v>
      </c>
      <c r="K832" s="296" t="s">
        <v>1009</v>
      </c>
      <c r="L832" s="296" t="s">
        <v>1003</v>
      </c>
      <c r="M832" s="296" t="s">
        <v>179</v>
      </c>
      <c r="N832" s="296" t="s">
        <v>1006</v>
      </c>
      <c r="O832" s="296" t="s">
        <v>1010</v>
      </c>
      <c r="P832" s="296" t="s">
        <v>1011</v>
      </c>
      <c r="Q832" s="296" t="s">
        <v>183</v>
      </c>
      <c r="R832" s="296" t="s">
        <v>1012</v>
      </c>
      <c r="S832" s="296" t="s">
        <v>185</v>
      </c>
      <c r="T832" s="296" t="s">
        <v>185</v>
      </c>
      <c r="U832" s="296" t="s">
        <v>186</v>
      </c>
      <c r="V832" s="296" t="s">
        <v>187</v>
      </c>
      <c r="W832" s="296" t="s">
        <v>188</v>
      </c>
      <c r="X832" s="296" t="s">
        <v>189</v>
      </c>
      <c r="Y832" s="296" t="s">
        <v>183</v>
      </c>
      <c r="Z832" s="296" t="s">
        <v>183</v>
      </c>
      <c r="AA832" s="296" t="s">
        <v>183</v>
      </c>
      <c r="AB832" s="296" t="s">
        <v>183</v>
      </c>
      <c r="AC832" s="296" t="s">
        <v>1013</v>
      </c>
      <c r="AD832" s="296" t="s">
        <v>6500</v>
      </c>
      <c r="AE832" s="296" t="s">
        <v>192</v>
      </c>
      <c r="AF832" s="296" t="s">
        <v>193</v>
      </c>
      <c r="AG832" s="296">
        <v>0</v>
      </c>
      <c r="AH832" s="298">
        <v>45425</v>
      </c>
      <c r="AJ832" s="296" t="s">
        <v>194</v>
      </c>
      <c r="AK832" s="299">
        <f>COUNTIF($A$3:A$917,A832)</f>
        <v>4</v>
      </c>
    </row>
    <row r="833" spans="1:37" x14ac:dyDescent="0.25">
      <c r="A833" s="296">
        <v>501540572</v>
      </c>
      <c r="B833" s="296" t="s">
        <v>6501</v>
      </c>
      <c r="C833" s="296" t="s">
        <v>183</v>
      </c>
      <c r="D833" s="296" t="s">
        <v>183</v>
      </c>
      <c r="E833" s="296" t="s">
        <v>183</v>
      </c>
      <c r="F833" s="296" t="s">
        <v>6502</v>
      </c>
      <c r="G833" s="296" t="s">
        <v>6503</v>
      </c>
      <c r="H833" s="296" t="s">
        <v>6504</v>
      </c>
      <c r="I833" s="296" t="s">
        <v>6498</v>
      </c>
      <c r="J833" s="296" t="s">
        <v>6505</v>
      </c>
      <c r="K833" s="296" t="s">
        <v>1532</v>
      </c>
      <c r="L833" s="296" t="s">
        <v>1533</v>
      </c>
      <c r="M833" s="296" t="s">
        <v>179</v>
      </c>
      <c r="N833" s="296" t="s">
        <v>1534</v>
      </c>
      <c r="O833" s="296" t="s">
        <v>1534</v>
      </c>
      <c r="P833" s="296" t="s">
        <v>1535</v>
      </c>
      <c r="Q833" s="296" t="s">
        <v>183</v>
      </c>
      <c r="R833" s="296" t="s">
        <v>1536</v>
      </c>
      <c r="S833" s="296" t="s">
        <v>185</v>
      </c>
      <c r="T833" s="296" t="s">
        <v>185</v>
      </c>
      <c r="U833" s="296" t="s">
        <v>186</v>
      </c>
      <c r="V833" s="296" t="s">
        <v>187</v>
      </c>
      <c r="W833" s="296" t="s">
        <v>188</v>
      </c>
      <c r="X833" s="296" t="s">
        <v>256</v>
      </c>
      <c r="Y833" s="296" t="s">
        <v>183</v>
      </c>
      <c r="Z833" s="296" t="s">
        <v>183</v>
      </c>
      <c r="AA833" s="296" t="s">
        <v>183</v>
      </c>
      <c r="AB833" s="296" t="s">
        <v>183</v>
      </c>
      <c r="AC833" s="296" t="s">
        <v>1537</v>
      </c>
      <c r="AD833" s="296" t="s">
        <v>6506</v>
      </c>
      <c r="AE833" s="296" t="s">
        <v>192</v>
      </c>
      <c r="AF833" s="296" t="s">
        <v>193</v>
      </c>
      <c r="AG833" s="296">
        <v>0</v>
      </c>
      <c r="AH833" s="298">
        <v>36573</v>
      </c>
      <c r="AJ833" s="296" t="s">
        <v>194</v>
      </c>
      <c r="AK833" s="299">
        <f>COUNTIF($A$3:A$917,A833)</f>
        <v>1</v>
      </c>
    </row>
    <row r="834" spans="1:37" x14ac:dyDescent="0.25">
      <c r="A834" s="296">
        <v>3101866506</v>
      </c>
      <c r="B834" s="296" t="s">
        <v>3279</v>
      </c>
      <c r="C834" s="296" t="s">
        <v>3280</v>
      </c>
      <c r="D834" s="296" t="s">
        <v>3281</v>
      </c>
      <c r="E834" s="296" t="s">
        <v>172</v>
      </c>
      <c r="F834" s="296" t="s">
        <v>3282</v>
      </c>
      <c r="G834" s="296" t="s">
        <v>183</v>
      </c>
      <c r="H834" s="296" t="s">
        <v>3283</v>
      </c>
      <c r="I834" s="296" t="s">
        <v>6498</v>
      </c>
      <c r="J834" s="296" t="s">
        <v>6507</v>
      </c>
      <c r="K834" s="296" t="s">
        <v>3285</v>
      </c>
      <c r="L834" s="296" t="s">
        <v>3286</v>
      </c>
      <c r="M834" s="296" t="s">
        <v>179</v>
      </c>
      <c r="N834" s="296" t="s">
        <v>3287</v>
      </c>
      <c r="O834" s="296" t="s">
        <v>278</v>
      </c>
      <c r="P834" s="296" t="s">
        <v>3288</v>
      </c>
      <c r="Q834" s="296" t="s">
        <v>183</v>
      </c>
      <c r="R834" s="296" t="s">
        <v>3289</v>
      </c>
      <c r="S834" s="296" t="s">
        <v>185</v>
      </c>
      <c r="T834" s="296" t="s">
        <v>185</v>
      </c>
      <c r="U834" s="296" t="s">
        <v>186</v>
      </c>
      <c r="V834" s="296" t="s">
        <v>187</v>
      </c>
      <c r="W834" s="296" t="s">
        <v>188</v>
      </c>
      <c r="X834" s="296" t="s">
        <v>189</v>
      </c>
      <c r="Y834" s="296" t="s">
        <v>183</v>
      </c>
      <c r="Z834" s="296" t="s">
        <v>183</v>
      </c>
      <c r="AA834" s="296" t="s">
        <v>183</v>
      </c>
      <c r="AB834" s="296" t="s">
        <v>183</v>
      </c>
      <c r="AC834" s="296" t="s">
        <v>3290</v>
      </c>
      <c r="AD834" s="296" t="s">
        <v>6508</v>
      </c>
      <c r="AE834" s="296" t="s">
        <v>192</v>
      </c>
      <c r="AF834" s="296" t="s">
        <v>193</v>
      </c>
      <c r="AG834" s="296">
        <v>0</v>
      </c>
      <c r="AH834" s="298">
        <v>45344</v>
      </c>
      <c r="AJ834" s="296" t="s">
        <v>194</v>
      </c>
      <c r="AK834" s="299">
        <f>COUNTIF($A$3:A$917,A834)</f>
        <v>3</v>
      </c>
    </row>
    <row r="835" spans="1:37" x14ac:dyDescent="0.25">
      <c r="A835" s="296">
        <v>504190072</v>
      </c>
      <c r="B835" s="296" t="s">
        <v>6509</v>
      </c>
      <c r="C835" s="296" t="s">
        <v>183</v>
      </c>
      <c r="D835" s="296" t="s">
        <v>183</v>
      </c>
      <c r="E835" s="296" t="s">
        <v>183</v>
      </c>
      <c r="F835" s="296" t="s">
        <v>6510</v>
      </c>
      <c r="G835" s="296" t="s">
        <v>183</v>
      </c>
      <c r="H835" s="296" t="s">
        <v>6511</v>
      </c>
      <c r="I835" s="296" t="s">
        <v>6498</v>
      </c>
      <c r="J835" s="296" t="s">
        <v>6512</v>
      </c>
      <c r="K835" s="296" t="s">
        <v>6513</v>
      </c>
      <c r="L835" s="296" t="s">
        <v>6514</v>
      </c>
      <c r="M835" s="296" t="s">
        <v>179</v>
      </c>
      <c r="N835" s="296" t="s">
        <v>6515</v>
      </c>
      <c r="O835" s="296" t="s">
        <v>183</v>
      </c>
      <c r="P835" s="296" t="s">
        <v>6516</v>
      </c>
      <c r="Q835" s="296" t="s">
        <v>183</v>
      </c>
      <c r="R835" s="296" t="s">
        <v>6517</v>
      </c>
      <c r="S835" s="296" t="s">
        <v>185</v>
      </c>
      <c r="T835" s="296" t="s">
        <v>185</v>
      </c>
      <c r="U835" s="296" t="s">
        <v>186</v>
      </c>
      <c r="V835" s="296" t="s">
        <v>187</v>
      </c>
      <c r="W835" s="296" t="s">
        <v>188</v>
      </c>
      <c r="X835" s="296" t="s">
        <v>188</v>
      </c>
      <c r="Y835" s="296" t="s">
        <v>183</v>
      </c>
      <c r="Z835" s="296" t="s">
        <v>183</v>
      </c>
      <c r="AA835" s="296" t="s">
        <v>183</v>
      </c>
      <c r="AB835" s="296" t="s">
        <v>183</v>
      </c>
      <c r="AC835" s="296" t="s">
        <v>6518</v>
      </c>
      <c r="AD835" s="296" t="s">
        <v>6519</v>
      </c>
      <c r="AE835" s="296" t="s">
        <v>192</v>
      </c>
      <c r="AF835" s="296" t="s">
        <v>193</v>
      </c>
      <c r="AG835" s="296">
        <v>0</v>
      </c>
      <c r="AH835" s="298">
        <v>46009</v>
      </c>
      <c r="AJ835" s="296" t="s">
        <v>194</v>
      </c>
      <c r="AK835" s="299">
        <f>COUNTIF($A$3:A$917,A835)</f>
        <v>2</v>
      </c>
    </row>
    <row r="836" spans="1:37" x14ac:dyDescent="0.25">
      <c r="A836" s="296">
        <v>503740970</v>
      </c>
      <c r="B836" s="296" t="s">
        <v>6520</v>
      </c>
      <c r="C836" s="296" t="s">
        <v>183</v>
      </c>
      <c r="D836" s="296" t="s">
        <v>183</v>
      </c>
      <c r="E836" s="296" t="s">
        <v>183</v>
      </c>
      <c r="F836" s="296" t="s">
        <v>6521</v>
      </c>
      <c r="G836" s="296" t="s">
        <v>6521</v>
      </c>
      <c r="H836" s="296" t="s">
        <v>6522</v>
      </c>
      <c r="I836" s="296" t="s">
        <v>6498</v>
      </c>
      <c r="J836" s="296" t="s">
        <v>6523</v>
      </c>
      <c r="K836" s="296" t="s">
        <v>6524</v>
      </c>
      <c r="L836" s="296" t="s">
        <v>6525</v>
      </c>
      <c r="M836" s="296" t="s">
        <v>179</v>
      </c>
      <c r="N836" s="296" t="s">
        <v>3489</v>
      </c>
      <c r="O836" s="296" t="s">
        <v>6526</v>
      </c>
      <c r="P836" s="296" t="s">
        <v>6527</v>
      </c>
      <c r="Q836" s="296" t="s">
        <v>183</v>
      </c>
      <c r="R836" s="296" t="s">
        <v>6528</v>
      </c>
      <c r="S836" s="296" t="s">
        <v>185</v>
      </c>
      <c r="T836" s="296" t="s">
        <v>185</v>
      </c>
      <c r="U836" s="296" t="s">
        <v>186</v>
      </c>
      <c r="V836" s="296" t="s">
        <v>187</v>
      </c>
      <c r="W836" s="296" t="s">
        <v>188</v>
      </c>
      <c r="X836" s="296" t="s">
        <v>189</v>
      </c>
      <c r="Y836" s="296" t="s">
        <v>183</v>
      </c>
      <c r="Z836" s="296" t="s">
        <v>183</v>
      </c>
      <c r="AA836" s="296" t="s">
        <v>183</v>
      </c>
      <c r="AB836" s="296" t="s">
        <v>183</v>
      </c>
      <c r="AC836" s="296" t="s">
        <v>6529</v>
      </c>
      <c r="AD836" s="296" t="s">
        <v>6530</v>
      </c>
      <c r="AE836" s="296" t="s">
        <v>192</v>
      </c>
      <c r="AF836" s="296" t="s">
        <v>193</v>
      </c>
      <c r="AG836" s="296">
        <v>80561.75</v>
      </c>
      <c r="AH836" s="298">
        <v>41900</v>
      </c>
      <c r="AJ836" s="296" t="s">
        <v>194</v>
      </c>
      <c r="AK836" s="299">
        <f>COUNTIF($A$3:A$917,A836)</f>
        <v>1</v>
      </c>
    </row>
    <row r="837" spans="1:37" x14ac:dyDescent="0.25">
      <c r="A837" s="296">
        <v>110560694</v>
      </c>
      <c r="B837" s="296" t="s">
        <v>6531</v>
      </c>
      <c r="C837" s="296" t="s">
        <v>183</v>
      </c>
      <c r="D837" s="296" t="s">
        <v>183</v>
      </c>
      <c r="E837" s="296" t="s">
        <v>183</v>
      </c>
      <c r="F837" s="296" t="s">
        <v>6532</v>
      </c>
      <c r="G837" s="296" t="s">
        <v>6533</v>
      </c>
      <c r="H837" s="296" t="s">
        <v>6534</v>
      </c>
      <c r="I837" s="296" t="s">
        <v>6498</v>
      </c>
      <c r="J837" s="296" t="s">
        <v>6535</v>
      </c>
      <c r="K837" s="296" t="s">
        <v>6536</v>
      </c>
      <c r="L837" s="296" t="s">
        <v>3514</v>
      </c>
      <c r="M837" s="296" t="s">
        <v>179</v>
      </c>
      <c r="N837" s="296" t="s">
        <v>3515</v>
      </c>
      <c r="O837" s="296" t="s">
        <v>3516</v>
      </c>
      <c r="P837" s="296" t="s">
        <v>3517</v>
      </c>
      <c r="Q837" s="296" t="s">
        <v>183</v>
      </c>
      <c r="R837" s="296" t="s">
        <v>6537</v>
      </c>
      <c r="S837" s="296" t="s">
        <v>185</v>
      </c>
      <c r="T837" s="296" t="s">
        <v>185</v>
      </c>
      <c r="U837" s="296" t="s">
        <v>186</v>
      </c>
      <c r="V837" s="296" t="s">
        <v>187</v>
      </c>
      <c r="W837" s="296" t="s">
        <v>188</v>
      </c>
      <c r="X837" s="296" t="s">
        <v>188</v>
      </c>
      <c r="Y837" s="296" t="s">
        <v>183</v>
      </c>
      <c r="Z837" s="296" t="s">
        <v>183</v>
      </c>
      <c r="AA837" s="296" t="s">
        <v>183</v>
      </c>
      <c r="AB837" s="296" t="s">
        <v>183</v>
      </c>
      <c r="AC837" s="296" t="s">
        <v>6538</v>
      </c>
      <c r="AD837" s="296" t="s">
        <v>6539</v>
      </c>
      <c r="AE837" s="296" t="s">
        <v>192</v>
      </c>
      <c r="AF837" s="296" t="s">
        <v>193</v>
      </c>
      <c r="AG837" s="296">
        <v>0</v>
      </c>
      <c r="AH837" s="298">
        <v>45113</v>
      </c>
      <c r="AJ837" s="296" t="s">
        <v>194</v>
      </c>
      <c r="AK837" s="299">
        <f>COUNTIF($A$3:A$917,A837)</f>
        <v>3</v>
      </c>
    </row>
    <row r="838" spans="1:37" x14ac:dyDescent="0.25">
      <c r="A838" s="296">
        <v>110560694</v>
      </c>
      <c r="B838" s="296" t="s">
        <v>6531</v>
      </c>
      <c r="C838" s="296" t="s">
        <v>183</v>
      </c>
      <c r="D838" s="296" t="s">
        <v>183</v>
      </c>
      <c r="E838" s="296" t="s">
        <v>183</v>
      </c>
      <c r="F838" s="296" t="s">
        <v>6532</v>
      </c>
      <c r="G838" s="296" t="s">
        <v>6533</v>
      </c>
      <c r="H838" s="296" t="s">
        <v>6534</v>
      </c>
      <c r="I838" s="296" t="s">
        <v>6498</v>
      </c>
      <c r="J838" s="296" t="s">
        <v>6540</v>
      </c>
      <c r="K838" s="296" t="s">
        <v>6541</v>
      </c>
      <c r="L838" s="296" t="s">
        <v>6542</v>
      </c>
      <c r="M838" s="296" t="s">
        <v>179</v>
      </c>
      <c r="N838" s="296" t="s">
        <v>6543</v>
      </c>
      <c r="O838" s="296" t="s">
        <v>6544</v>
      </c>
      <c r="P838" s="296" t="s">
        <v>6545</v>
      </c>
      <c r="Q838" s="296" t="s">
        <v>183</v>
      </c>
      <c r="R838" s="296" t="s">
        <v>6546</v>
      </c>
      <c r="S838" s="296" t="s">
        <v>185</v>
      </c>
      <c r="T838" s="296" t="s">
        <v>185</v>
      </c>
      <c r="U838" s="296" t="s">
        <v>186</v>
      </c>
      <c r="V838" s="296" t="s">
        <v>187</v>
      </c>
      <c r="W838" s="296" t="s">
        <v>188</v>
      </c>
      <c r="X838" s="296" t="s">
        <v>246</v>
      </c>
      <c r="Y838" s="296" t="s">
        <v>183</v>
      </c>
      <c r="Z838" s="296" t="s">
        <v>183</v>
      </c>
      <c r="AA838" s="296" t="s">
        <v>183</v>
      </c>
      <c r="AB838" s="296" t="s">
        <v>183</v>
      </c>
      <c r="AC838" s="296" t="s">
        <v>6547</v>
      </c>
      <c r="AD838" s="296" t="s">
        <v>6548</v>
      </c>
      <c r="AE838" s="296" t="s">
        <v>192</v>
      </c>
      <c r="AF838" s="296" t="s">
        <v>193</v>
      </c>
      <c r="AG838" s="296">
        <v>0</v>
      </c>
      <c r="AH838" s="298">
        <v>45436</v>
      </c>
      <c r="AJ838" s="296" t="s">
        <v>194</v>
      </c>
      <c r="AK838" s="299">
        <f>COUNTIF($A$3:A$917,A838)</f>
        <v>3</v>
      </c>
    </row>
    <row r="839" spans="1:37" x14ac:dyDescent="0.25">
      <c r="A839" s="296">
        <v>112380200</v>
      </c>
      <c r="B839" s="296" t="s">
        <v>6168</v>
      </c>
      <c r="C839" s="296" t="s">
        <v>183</v>
      </c>
      <c r="D839" s="296" t="s">
        <v>183</v>
      </c>
      <c r="E839" s="296" t="s">
        <v>183</v>
      </c>
      <c r="F839" s="296" t="s">
        <v>6169</v>
      </c>
      <c r="G839" s="296" t="s">
        <v>6169</v>
      </c>
      <c r="H839" s="296" t="s">
        <v>6170</v>
      </c>
      <c r="I839" s="296" t="s">
        <v>6498</v>
      </c>
      <c r="J839" s="296" t="s">
        <v>6171</v>
      </c>
      <c r="K839" s="296" t="s">
        <v>6172</v>
      </c>
      <c r="L839" s="296" t="s">
        <v>6173</v>
      </c>
      <c r="M839" s="296" t="s">
        <v>179</v>
      </c>
      <c r="N839" s="296" t="s">
        <v>6174</v>
      </c>
      <c r="O839" s="296" t="s">
        <v>6174</v>
      </c>
      <c r="P839" s="296" t="s">
        <v>6175</v>
      </c>
      <c r="Q839" s="296" t="s">
        <v>183</v>
      </c>
      <c r="R839" s="296" t="s">
        <v>6176</v>
      </c>
      <c r="S839" s="296" t="s">
        <v>185</v>
      </c>
      <c r="T839" s="296" t="s">
        <v>185</v>
      </c>
      <c r="U839" s="296" t="s">
        <v>186</v>
      </c>
      <c r="V839" s="296" t="s">
        <v>187</v>
      </c>
      <c r="W839" s="296" t="s">
        <v>188</v>
      </c>
      <c r="X839" s="296" t="s">
        <v>256</v>
      </c>
      <c r="Y839" s="296" t="s">
        <v>183</v>
      </c>
      <c r="Z839" s="296" t="s">
        <v>183</v>
      </c>
      <c r="AA839" s="296" t="s">
        <v>183</v>
      </c>
      <c r="AB839" s="296" t="s">
        <v>183</v>
      </c>
      <c r="AC839" s="296" t="s">
        <v>6177</v>
      </c>
      <c r="AD839" s="296" t="s">
        <v>6549</v>
      </c>
      <c r="AE839" s="296" t="s">
        <v>192</v>
      </c>
      <c r="AF839" s="296" t="s">
        <v>193</v>
      </c>
      <c r="AG839" s="296">
        <v>0</v>
      </c>
      <c r="AH839" s="298">
        <v>45719</v>
      </c>
      <c r="AJ839" s="296" t="s">
        <v>194</v>
      </c>
      <c r="AK839" s="299">
        <f>COUNTIF($A$3:A$917,A839)</f>
        <v>3</v>
      </c>
    </row>
    <row r="840" spans="1:37" x14ac:dyDescent="0.25">
      <c r="A840" s="296">
        <v>602920547</v>
      </c>
      <c r="B840" s="296" t="s">
        <v>6550</v>
      </c>
      <c r="C840" s="296" t="s">
        <v>183</v>
      </c>
      <c r="D840" s="296" t="s">
        <v>183</v>
      </c>
      <c r="E840" s="296" t="s">
        <v>183</v>
      </c>
      <c r="F840" s="296" t="s">
        <v>6551</v>
      </c>
      <c r="G840" s="296" t="s">
        <v>6551</v>
      </c>
      <c r="H840" s="296" t="s">
        <v>6552</v>
      </c>
      <c r="I840" s="296" t="s">
        <v>6498</v>
      </c>
      <c r="J840" s="296" t="s">
        <v>6553</v>
      </c>
      <c r="K840" s="296" t="s">
        <v>6554</v>
      </c>
      <c r="L840" s="296" t="s">
        <v>6550</v>
      </c>
      <c r="M840" s="296" t="s">
        <v>179</v>
      </c>
      <c r="N840" s="296" t="s">
        <v>6551</v>
      </c>
      <c r="O840" s="296" t="s">
        <v>6551</v>
      </c>
      <c r="P840" s="296" t="s">
        <v>6552</v>
      </c>
      <c r="Q840" s="296" t="s">
        <v>183</v>
      </c>
      <c r="R840" s="296" t="s">
        <v>6555</v>
      </c>
      <c r="S840" s="296" t="s">
        <v>185</v>
      </c>
      <c r="T840" s="296" t="s">
        <v>185</v>
      </c>
      <c r="U840" s="296" t="s">
        <v>186</v>
      </c>
      <c r="V840" s="296" t="s">
        <v>187</v>
      </c>
      <c r="W840" s="296" t="s">
        <v>188</v>
      </c>
      <c r="X840" s="296" t="s">
        <v>246</v>
      </c>
      <c r="Y840" s="296" t="s">
        <v>183</v>
      </c>
      <c r="Z840" s="296" t="s">
        <v>183</v>
      </c>
      <c r="AA840" s="296" t="s">
        <v>183</v>
      </c>
      <c r="AB840" s="296" t="s">
        <v>183</v>
      </c>
      <c r="AC840" s="296" t="s">
        <v>6556</v>
      </c>
      <c r="AD840" s="296" t="s">
        <v>6557</v>
      </c>
      <c r="AE840" s="296" t="s">
        <v>192</v>
      </c>
      <c r="AF840" s="296" t="s">
        <v>193</v>
      </c>
      <c r="AG840" s="296">
        <v>16396</v>
      </c>
      <c r="AH840" s="298">
        <v>43181</v>
      </c>
      <c r="AJ840" s="296" t="s">
        <v>194</v>
      </c>
      <c r="AK840" s="299">
        <f>COUNTIF($A$3:A$917,A840)</f>
        <v>1</v>
      </c>
    </row>
    <row r="841" spans="1:37" x14ac:dyDescent="0.25">
      <c r="A841" s="296">
        <v>503500273</v>
      </c>
      <c r="B841" s="296" t="s">
        <v>2562</v>
      </c>
      <c r="C841" s="296" t="s">
        <v>183</v>
      </c>
      <c r="D841" s="296" t="s">
        <v>183</v>
      </c>
      <c r="E841" s="296" t="s">
        <v>183</v>
      </c>
      <c r="F841" s="296" t="s">
        <v>2563</v>
      </c>
      <c r="G841" s="296" t="s">
        <v>2563</v>
      </c>
      <c r="H841" s="296" t="s">
        <v>2564</v>
      </c>
      <c r="I841" s="296" t="s">
        <v>6498</v>
      </c>
      <c r="J841" s="296" t="s">
        <v>6558</v>
      </c>
      <c r="K841" s="296" t="s">
        <v>2566</v>
      </c>
      <c r="L841" s="296" t="s">
        <v>2562</v>
      </c>
      <c r="M841" s="296" t="s">
        <v>179</v>
      </c>
      <c r="N841" s="296" t="s">
        <v>2563</v>
      </c>
      <c r="O841" s="296" t="s">
        <v>2563</v>
      </c>
      <c r="P841" s="296" t="s">
        <v>2564</v>
      </c>
      <c r="Q841" s="296" t="s">
        <v>183</v>
      </c>
      <c r="R841" s="296" t="s">
        <v>2567</v>
      </c>
      <c r="S841" s="296" t="s">
        <v>185</v>
      </c>
      <c r="T841" s="296" t="s">
        <v>185</v>
      </c>
      <c r="U841" s="296" t="s">
        <v>186</v>
      </c>
      <c r="V841" s="296" t="s">
        <v>187</v>
      </c>
      <c r="W841" s="296" t="s">
        <v>188</v>
      </c>
      <c r="X841" s="296" t="s">
        <v>404</v>
      </c>
      <c r="Y841" s="296" t="s">
        <v>183</v>
      </c>
      <c r="Z841" s="296" t="s">
        <v>183</v>
      </c>
      <c r="AA841" s="296" t="s">
        <v>183</v>
      </c>
      <c r="AB841" s="296" t="s">
        <v>183</v>
      </c>
      <c r="AC841" s="296" t="s">
        <v>2568</v>
      </c>
      <c r="AD841" s="296" t="s">
        <v>6559</v>
      </c>
      <c r="AE841" s="296" t="s">
        <v>192</v>
      </c>
      <c r="AF841" s="296" t="s">
        <v>193</v>
      </c>
      <c r="AG841" s="296">
        <v>0</v>
      </c>
      <c r="AH841" s="298">
        <v>45028</v>
      </c>
      <c r="AJ841" s="296" t="s">
        <v>194</v>
      </c>
      <c r="AK841" s="299">
        <f>COUNTIF($A$3:A$917,A841)</f>
        <v>2</v>
      </c>
    </row>
    <row r="842" spans="1:37" x14ac:dyDescent="0.25">
      <c r="A842" s="296">
        <v>502410169</v>
      </c>
      <c r="B842" s="296" t="s">
        <v>6560</v>
      </c>
      <c r="C842" s="296" t="s">
        <v>183</v>
      </c>
      <c r="D842" s="296" t="s">
        <v>183</v>
      </c>
      <c r="E842" s="296" t="s">
        <v>183</v>
      </c>
      <c r="F842" s="296" t="s">
        <v>6561</v>
      </c>
      <c r="G842" s="296" t="s">
        <v>6562</v>
      </c>
      <c r="H842" s="296" t="s">
        <v>6563</v>
      </c>
      <c r="I842" s="296" t="s">
        <v>6498</v>
      </c>
      <c r="J842" s="296" t="s">
        <v>6564</v>
      </c>
      <c r="K842" s="296" t="s">
        <v>6468</v>
      </c>
      <c r="L842" s="296" t="s">
        <v>6469</v>
      </c>
      <c r="M842" s="296" t="s">
        <v>179</v>
      </c>
      <c r="N842" s="296" t="s">
        <v>6470</v>
      </c>
      <c r="O842" s="296" t="s">
        <v>6470</v>
      </c>
      <c r="P842" s="296" t="s">
        <v>6471</v>
      </c>
      <c r="Q842" s="296" t="s">
        <v>183</v>
      </c>
      <c r="R842" s="296" t="s">
        <v>6565</v>
      </c>
      <c r="S842" s="296" t="s">
        <v>185</v>
      </c>
      <c r="T842" s="296" t="s">
        <v>185</v>
      </c>
      <c r="U842" s="296" t="s">
        <v>186</v>
      </c>
      <c r="V842" s="296" t="s">
        <v>187</v>
      </c>
      <c r="W842" s="296" t="s">
        <v>188</v>
      </c>
      <c r="X842" s="296" t="s">
        <v>189</v>
      </c>
      <c r="Y842" s="296" t="s">
        <v>183</v>
      </c>
      <c r="Z842" s="296" t="s">
        <v>183</v>
      </c>
      <c r="AA842" s="296" t="s">
        <v>183</v>
      </c>
      <c r="AB842" s="296" t="s">
        <v>183</v>
      </c>
      <c r="AC842" s="296" t="s">
        <v>6473</v>
      </c>
      <c r="AD842" s="296" t="s">
        <v>6566</v>
      </c>
      <c r="AE842" s="296" t="s">
        <v>192</v>
      </c>
      <c r="AF842" s="296" t="s">
        <v>193</v>
      </c>
      <c r="AG842" s="296">
        <v>0</v>
      </c>
      <c r="AH842" s="298">
        <v>41110</v>
      </c>
      <c r="AJ842" s="296" t="s">
        <v>194</v>
      </c>
      <c r="AK842" s="299">
        <f>COUNTIF($A$3:A$917,A842)</f>
        <v>2</v>
      </c>
    </row>
    <row r="843" spans="1:37" x14ac:dyDescent="0.25">
      <c r="A843" s="296">
        <v>502690657</v>
      </c>
      <c r="B843" s="296" t="s">
        <v>6567</v>
      </c>
      <c r="C843" s="296" t="s">
        <v>183</v>
      </c>
      <c r="D843" s="296" t="s">
        <v>183</v>
      </c>
      <c r="E843" s="296" t="s">
        <v>183</v>
      </c>
      <c r="F843" s="296" t="s">
        <v>6568</v>
      </c>
      <c r="G843" s="296" t="s">
        <v>6569</v>
      </c>
      <c r="H843" s="296" t="s">
        <v>6570</v>
      </c>
      <c r="I843" s="296" t="s">
        <v>6571</v>
      </c>
      <c r="J843" s="296" t="s">
        <v>6572</v>
      </c>
      <c r="K843" s="296" t="s">
        <v>6245</v>
      </c>
      <c r="L843" s="296" t="s">
        <v>6246</v>
      </c>
      <c r="M843" s="296" t="s">
        <v>179</v>
      </c>
      <c r="N843" s="296" t="s">
        <v>6247</v>
      </c>
      <c r="O843" s="296" t="s">
        <v>6248</v>
      </c>
      <c r="P843" s="296" t="s">
        <v>6249</v>
      </c>
      <c r="Q843" s="296" t="s">
        <v>183</v>
      </c>
      <c r="R843" s="296" t="s">
        <v>6250</v>
      </c>
      <c r="S843" s="296" t="s">
        <v>185</v>
      </c>
      <c r="T843" s="296" t="s">
        <v>185</v>
      </c>
      <c r="U843" s="296" t="s">
        <v>186</v>
      </c>
      <c r="V843" s="296" t="s">
        <v>187</v>
      </c>
      <c r="W843" s="296" t="s">
        <v>188</v>
      </c>
      <c r="X843" s="296" t="s">
        <v>189</v>
      </c>
      <c r="Y843" s="296" t="s">
        <v>183</v>
      </c>
      <c r="Z843" s="296" t="s">
        <v>183</v>
      </c>
      <c r="AA843" s="296" t="s">
        <v>183</v>
      </c>
      <c r="AB843" s="296" t="s">
        <v>183</v>
      </c>
      <c r="AC843" s="296" t="s">
        <v>6251</v>
      </c>
      <c r="AD843" s="296" t="s">
        <v>6573</v>
      </c>
      <c r="AE843" s="296" t="s">
        <v>192</v>
      </c>
      <c r="AF843" s="296" t="s">
        <v>193</v>
      </c>
      <c r="AG843" s="296">
        <v>0</v>
      </c>
      <c r="AH843" s="298">
        <v>41036</v>
      </c>
      <c r="AJ843" s="296" t="s">
        <v>194</v>
      </c>
      <c r="AK843" s="299">
        <f>COUNTIF($A$3:A$917,A843)</f>
        <v>1</v>
      </c>
    </row>
    <row r="844" spans="1:37" x14ac:dyDescent="0.25">
      <c r="A844" s="296">
        <v>3102941788</v>
      </c>
      <c r="B844" s="296" t="s">
        <v>6574</v>
      </c>
      <c r="C844" s="296" t="s">
        <v>6575</v>
      </c>
      <c r="D844" s="296" t="s">
        <v>6576</v>
      </c>
      <c r="E844" s="296" t="s">
        <v>172</v>
      </c>
      <c r="F844" s="296" t="s">
        <v>6577</v>
      </c>
      <c r="G844" s="296" t="s">
        <v>183</v>
      </c>
      <c r="H844" s="296" t="s">
        <v>6578</v>
      </c>
      <c r="I844" s="296" t="s">
        <v>6579</v>
      </c>
      <c r="J844" s="296" t="s">
        <v>6580</v>
      </c>
      <c r="K844" s="296" t="s">
        <v>5295</v>
      </c>
      <c r="L844" s="296" t="s">
        <v>5296</v>
      </c>
      <c r="M844" s="296" t="s">
        <v>179</v>
      </c>
      <c r="N844" s="296" t="s">
        <v>5297</v>
      </c>
      <c r="O844" s="296" t="s">
        <v>5297</v>
      </c>
      <c r="P844" s="296" t="s">
        <v>5298</v>
      </c>
      <c r="Q844" s="296" t="s">
        <v>183</v>
      </c>
      <c r="R844" s="296" t="s">
        <v>5299</v>
      </c>
      <c r="S844" s="296" t="s">
        <v>185</v>
      </c>
      <c r="T844" s="296" t="s">
        <v>185</v>
      </c>
      <c r="U844" s="296" t="s">
        <v>186</v>
      </c>
      <c r="V844" s="296" t="s">
        <v>187</v>
      </c>
      <c r="W844" s="296" t="s">
        <v>188</v>
      </c>
      <c r="X844" s="296" t="s">
        <v>189</v>
      </c>
      <c r="Y844" s="296" t="s">
        <v>183</v>
      </c>
      <c r="Z844" s="296" t="s">
        <v>183</v>
      </c>
      <c r="AA844" s="296" t="s">
        <v>183</v>
      </c>
      <c r="AB844" s="296" t="s">
        <v>183</v>
      </c>
      <c r="AC844" s="296" t="s">
        <v>5300</v>
      </c>
      <c r="AD844" s="296" t="s">
        <v>6581</v>
      </c>
      <c r="AE844" s="296" t="s">
        <v>192</v>
      </c>
      <c r="AF844" s="296" t="s">
        <v>193</v>
      </c>
      <c r="AG844" s="296">
        <v>0</v>
      </c>
      <c r="AH844" s="298">
        <v>45918</v>
      </c>
      <c r="AJ844" s="296" t="s">
        <v>194</v>
      </c>
      <c r="AK844" s="299">
        <f>COUNTIF($A$3:A$917,A844)</f>
        <v>1</v>
      </c>
    </row>
    <row r="845" spans="1:37" x14ac:dyDescent="0.25">
      <c r="A845" s="296">
        <v>204370898</v>
      </c>
      <c r="B845" s="296" t="s">
        <v>6582</v>
      </c>
      <c r="C845" s="296" t="s">
        <v>183</v>
      </c>
      <c r="D845" s="296" t="s">
        <v>183</v>
      </c>
      <c r="E845" s="296" t="s">
        <v>183</v>
      </c>
      <c r="F845" s="296" t="s">
        <v>6583</v>
      </c>
      <c r="G845" s="296" t="s">
        <v>6583</v>
      </c>
      <c r="H845" s="296" t="s">
        <v>6584</v>
      </c>
      <c r="I845" s="296" t="s">
        <v>6579</v>
      </c>
      <c r="J845" s="296" t="s">
        <v>6585</v>
      </c>
      <c r="K845" s="296" t="s">
        <v>6586</v>
      </c>
      <c r="L845" s="296" t="s">
        <v>6587</v>
      </c>
      <c r="M845" s="296" t="s">
        <v>179</v>
      </c>
      <c r="N845" s="296" t="s">
        <v>6588</v>
      </c>
      <c r="O845" s="296" t="s">
        <v>6589</v>
      </c>
      <c r="P845" s="296" t="s">
        <v>6590</v>
      </c>
      <c r="Q845" s="296" t="s">
        <v>183</v>
      </c>
      <c r="R845" s="296" t="s">
        <v>6591</v>
      </c>
      <c r="S845" s="296" t="s">
        <v>185</v>
      </c>
      <c r="T845" s="296" t="s">
        <v>185</v>
      </c>
      <c r="U845" s="296" t="s">
        <v>186</v>
      </c>
      <c r="V845" s="296" t="s">
        <v>187</v>
      </c>
      <c r="W845" s="296" t="s">
        <v>188</v>
      </c>
      <c r="X845" s="296" t="s">
        <v>189</v>
      </c>
      <c r="Y845" s="296" t="s">
        <v>183</v>
      </c>
      <c r="Z845" s="296" t="s">
        <v>183</v>
      </c>
      <c r="AA845" s="296" t="s">
        <v>183</v>
      </c>
      <c r="AB845" s="296" t="s">
        <v>183</v>
      </c>
      <c r="AC845" s="296" t="s">
        <v>6592</v>
      </c>
      <c r="AD845" s="296" t="s">
        <v>6593</v>
      </c>
      <c r="AE845" s="296" t="s">
        <v>192</v>
      </c>
      <c r="AF845" s="296" t="s">
        <v>193</v>
      </c>
      <c r="AG845" s="296">
        <v>0</v>
      </c>
      <c r="AH845" s="298">
        <v>45880</v>
      </c>
      <c r="AJ845" s="296" t="s">
        <v>194</v>
      </c>
      <c r="AK845" s="299">
        <f>COUNTIF($A$3:A$917,A845)</f>
        <v>1</v>
      </c>
    </row>
    <row r="846" spans="1:37" x14ac:dyDescent="0.25">
      <c r="A846" s="296">
        <v>504300077</v>
      </c>
      <c r="B846" s="296" t="s">
        <v>6594</v>
      </c>
      <c r="C846" s="296" t="s">
        <v>183</v>
      </c>
      <c r="D846" s="296" t="s">
        <v>183</v>
      </c>
      <c r="E846" s="296" t="s">
        <v>183</v>
      </c>
      <c r="F846" s="296" t="s">
        <v>6595</v>
      </c>
      <c r="G846" s="296" t="s">
        <v>183</v>
      </c>
      <c r="H846" s="296" t="s">
        <v>6596</v>
      </c>
      <c r="I846" s="296" t="s">
        <v>6579</v>
      </c>
      <c r="J846" s="296" t="s">
        <v>6597</v>
      </c>
      <c r="K846" s="296" t="s">
        <v>6598</v>
      </c>
      <c r="L846" s="296" t="s">
        <v>6599</v>
      </c>
      <c r="M846" s="296" t="s">
        <v>179</v>
      </c>
      <c r="N846" s="296" t="s">
        <v>1070</v>
      </c>
      <c r="O846" s="296" t="s">
        <v>1070</v>
      </c>
      <c r="P846" s="296" t="s">
        <v>1071</v>
      </c>
      <c r="Q846" s="296" t="s">
        <v>183</v>
      </c>
      <c r="R846" s="296" t="s">
        <v>6600</v>
      </c>
      <c r="S846" s="296" t="s">
        <v>185</v>
      </c>
      <c r="T846" s="296" t="s">
        <v>185</v>
      </c>
      <c r="U846" s="296" t="s">
        <v>186</v>
      </c>
      <c r="V846" s="296" t="s">
        <v>187</v>
      </c>
      <c r="W846" s="296" t="s">
        <v>188</v>
      </c>
      <c r="X846" s="296" t="s">
        <v>224</v>
      </c>
      <c r="Y846" s="296" t="s">
        <v>183</v>
      </c>
      <c r="Z846" s="296" t="s">
        <v>183</v>
      </c>
      <c r="AA846" s="296" t="s">
        <v>183</v>
      </c>
      <c r="AB846" s="296" t="s">
        <v>183</v>
      </c>
      <c r="AC846" s="296" t="s">
        <v>6601</v>
      </c>
      <c r="AD846" s="296" t="s">
        <v>6602</v>
      </c>
      <c r="AE846" s="296" t="s">
        <v>192</v>
      </c>
      <c r="AF846" s="296" t="s">
        <v>193</v>
      </c>
      <c r="AG846" s="296">
        <v>0</v>
      </c>
      <c r="AH846" s="298">
        <v>45833</v>
      </c>
      <c r="AJ846" s="296" t="s">
        <v>194</v>
      </c>
      <c r="AK846" s="299">
        <f>COUNTIF($A$3:A$917,A846)</f>
        <v>1</v>
      </c>
    </row>
    <row r="847" spans="1:37" x14ac:dyDescent="0.25">
      <c r="A847" s="296">
        <v>402440664</v>
      </c>
      <c r="B847" s="296" t="s">
        <v>6603</v>
      </c>
      <c r="C847" s="296" t="s">
        <v>183</v>
      </c>
      <c r="D847" s="296" t="s">
        <v>183</v>
      </c>
      <c r="E847" s="296" t="s">
        <v>183</v>
      </c>
      <c r="F847" s="296" t="s">
        <v>6604</v>
      </c>
      <c r="G847" s="296" t="s">
        <v>183</v>
      </c>
      <c r="H847" s="296" t="s">
        <v>6605</v>
      </c>
      <c r="I847" s="296" t="s">
        <v>6579</v>
      </c>
      <c r="J847" s="296" t="s">
        <v>6606</v>
      </c>
      <c r="K847" s="296" t="s">
        <v>6607</v>
      </c>
      <c r="L847" s="296" t="s">
        <v>6608</v>
      </c>
      <c r="M847" s="296" t="s">
        <v>179</v>
      </c>
      <c r="N847" s="296" t="s">
        <v>6609</v>
      </c>
      <c r="O847" s="296" t="s">
        <v>183</v>
      </c>
      <c r="P847" s="296" t="s">
        <v>6610</v>
      </c>
      <c r="Q847" s="296" t="s">
        <v>183</v>
      </c>
      <c r="R847" s="296" t="s">
        <v>6611</v>
      </c>
      <c r="S847" s="296" t="s">
        <v>185</v>
      </c>
      <c r="T847" s="296" t="s">
        <v>185</v>
      </c>
      <c r="U847" s="296" t="s">
        <v>186</v>
      </c>
      <c r="V847" s="296" t="s">
        <v>187</v>
      </c>
      <c r="W847" s="296" t="s">
        <v>188</v>
      </c>
      <c r="X847" s="296" t="s">
        <v>308</v>
      </c>
      <c r="Y847" s="296" t="s">
        <v>183</v>
      </c>
      <c r="Z847" s="296" t="s">
        <v>183</v>
      </c>
      <c r="AA847" s="296" t="s">
        <v>183</v>
      </c>
      <c r="AB847" s="296" t="s">
        <v>183</v>
      </c>
      <c r="AC847" s="296" t="s">
        <v>6612</v>
      </c>
      <c r="AD847" s="296" t="s">
        <v>6613</v>
      </c>
      <c r="AE847" s="296" t="s">
        <v>192</v>
      </c>
      <c r="AF847" s="296" t="s">
        <v>193</v>
      </c>
      <c r="AG847" s="296">
        <v>0</v>
      </c>
      <c r="AH847" s="298">
        <v>45798</v>
      </c>
      <c r="AJ847" s="296" t="s">
        <v>194</v>
      </c>
      <c r="AK847" s="299">
        <f>COUNTIF($A$3:A$917,A847)</f>
        <v>1</v>
      </c>
    </row>
    <row r="848" spans="1:37" x14ac:dyDescent="0.25">
      <c r="A848" s="296">
        <v>186202246830</v>
      </c>
      <c r="B848" s="296" t="s">
        <v>6614</v>
      </c>
      <c r="C848" s="296" t="s">
        <v>183</v>
      </c>
      <c r="D848" s="296" t="s">
        <v>183</v>
      </c>
      <c r="E848" s="296" t="s">
        <v>183</v>
      </c>
      <c r="F848" s="296" t="s">
        <v>6615</v>
      </c>
      <c r="G848" s="296" t="s">
        <v>183</v>
      </c>
      <c r="H848" s="296" t="s">
        <v>6616</v>
      </c>
      <c r="I848" s="296" t="s">
        <v>6579</v>
      </c>
      <c r="J848" s="296" t="s">
        <v>6617</v>
      </c>
      <c r="K848" s="296" t="s">
        <v>2864</v>
      </c>
      <c r="L848" s="296" t="s">
        <v>2862</v>
      </c>
      <c r="M848" s="296" t="s">
        <v>179</v>
      </c>
      <c r="N848" s="296" t="s">
        <v>906</v>
      </c>
      <c r="O848" s="296" t="s">
        <v>2865</v>
      </c>
      <c r="P848" s="296" t="s">
        <v>907</v>
      </c>
      <c r="Q848" s="296" t="s">
        <v>183</v>
      </c>
      <c r="R848" s="296" t="s">
        <v>2866</v>
      </c>
      <c r="S848" s="296" t="s">
        <v>185</v>
      </c>
      <c r="T848" s="296" t="s">
        <v>185</v>
      </c>
      <c r="U848" s="296" t="s">
        <v>186</v>
      </c>
      <c r="V848" s="296" t="s">
        <v>187</v>
      </c>
      <c r="W848" s="296" t="s">
        <v>188</v>
      </c>
      <c r="X848" s="296" t="s">
        <v>189</v>
      </c>
      <c r="Y848" s="296" t="s">
        <v>183</v>
      </c>
      <c r="Z848" s="296" t="s">
        <v>183</v>
      </c>
      <c r="AA848" s="296" t="s">
        <v>183</v>
      </c>
      <c r="AB848" s="296" t="s">
        <v>183</v>
      </c>
      <c r="AC848" s="296" t="s">
        <v>2867</v>
      </c>
      <c r="AD848" s="296" t="s">
        <v>6618</v>
      </c>
      <c r="AE848" s="296" t="s">
        <v>192</v>
      </c>
      <c r="AF848" s="296" t="s">
        <v>193</v>
      </c>
      <c r="AG848" s="296">
        <v>0</v>
      </c>
      <c r="AH848" s="298">
        <v>45807</v>
      </c>
      <c r="AJ848" s="296" t="s">
        <v>194</v>
      </c>
      <c r="AK848" s="299">
        <f>COUNTIF($A$3:A$917,A848)</f>
        <v>1</v>
      </c>
    </row>
    <row r="849" spans="1:37" x14ac:dyDescent="0.25">
      <c r="A849" s="296">
        <v>206740363</v>
      </c>
      <c r="B849" s="296" t="s">
        <v>6619</v>
      </c>
      <c r="C849" s="296" t="s">
        <v>183</v>
      </c>
      <c r="D849" s="296" t="s">
        <v>183</v>
      </c>
      <c r="E849" s="296" t="s">
        <v>183</v>
      </c>
      <c r="F849" s="296" t="s">
        <v>6620</v>
      </c>
      <c r="G849" s="296" t="s">
        <v>183</v>
      </c>
      <c r="H849" s="296" t="s">
        <v>6621</v>
      </c>
      <c r="I849" s="296" t="s">
        <v>6579</v>
      </c>
      <c r="J849" s="296" t="s">
        <v>6622</v>
      </c>
      <c r="K849" s="296" t="s">
        <v>3847</v>
      </c>
      <c r="L849" s="296" t="s">
        <v>3848</v>
      </c>
      <c r="M849" s="296" t="s">
        <v>179</v>
      </c>
      <c r="N849" s="296" t="s">
        <v>3849</v>
      </c>
      <c r="O849" s="296" t="s">
        <v>3849</v>
      </c>
      <c r="P849" s="296" t="s">
        <v>3850</v>
      </c>
      <c r="Q849" s="296" t="s">
        <v>183</v>
      </c>
      <c r="R849" s="296" t="s">
        <v>3851</v>
      </c>
      <c r="S849" s="296" t="s">
        <v>185</v>
      </c>
      <c r="T849" s="296" t="s">
        <v>185</v>
      </c>
      <c r="U849" s="296" t="s">
        <v>186</v>
      </c>
      <c r="V849" s="296" t="s">
        <v>187</v>
      </c>
      <c r="W849" s="296" t="s">
        <v>188</v>
      </c>
      <c r="X849" s="296" t="s">
        <v>189</v>
      </c>
      <c r="Y849" s="296" t="s">
        <v>183</v>
      </c>
      <c r="Z849" s="296" t="s">
        <v>183</v>
      </c>
      <c r="AA849" s="296" t="s">
        <v>183</v>
      </c>
      <c r="AB849" s="296" t="s">
        <v>183</v>
      </c>
      <c r="AC849" s="296" t="s">
        <v>3852</v>
      </c>
      <c r="AD849" s="296" t="s">
        <v>6623</v>
      </c>
      <c r="AE849" s="296" t="s">
        <v>192</v>
      </c>
      <c r="AF849" s="296" t="s">
        <v>193</v>
      </c>
      <c r="AG849" s="296">
        <v>0</v>
      </c>
      <c r="AH849" s="298">
        <v>44904</v>
      </c>
      <c r="AJ849" s="296" t="s">
        <v>194</v>
      </c>
      <c r="AK849" s="299">
        <f>COUNTIF($A$3:A$917,A849)</f>
        <v>1</v>
      </c>
    </row>
    <row r="850" spans="1:37" x14ac:dyDescent="0.25">
      <c r="A850" s="296">
        <v>503980938</v>
      </c>
      <c r="B850" s="296" t="s">
        <v>4736</v>
      </c>
      <c r="C850" s="296" t="s">
        <v>183</v>
      </c>
      <c r="D850" s="296" t="s">
        <v>183</v>
      </c>
      <c r="E850" s="296" t="s">
        <v>183</v>
      </c>
      <c r="F850" s="296" t="s">
        <v>4737</v>
      </c>
      <c r="G850" s="296" t="s">
        <v>4737</v>
      </c>
      <c r="H850" s="296" t="s">
        <v>4738</v>
      </c>
      <c r="I850" s="296" t="s">
        <v>6579</v>
      </c>
      <c r="J850" s="296" t="s">
        <v>6624</v>
      </c>
      <c r="K850" s="296" t="s">
        <v>614</v>
      </c>
      <c r="L850" s="296" t="s">
        <v>615</v>
      </c>
      <c r="M850" s="296" t="s">
        <v>179</v>
      </c>
      <c r="N850" s="296" t="s">
        <v>610</v>
      </c>
      <c r="O850" s="296" t="s">
        <v>610</v>
      </c>
      <c r="P850" s="296" t="s">
        <v>616</v>
      </c>
      <c r="Q850" s="296" t="s">
        <v>183</v>
      </c>
      <c r="R850" s="296" t="s">
        <v>617</v>
      </c>
      <c r="S850" s="296" t="s">
        <v>185</v>
      </c>
      <c r="T850" s="296" t="s">
        <v>185</v>
      </c>
      <c r="U850" s="296" t="s">
        <v>186</v>
      </c>
      <c r="V850" s="296" t="s">
        <v>187</v>
      </c>
      <c r="W850" s="296" t="s">
        <v>188</v>
      </c>
      <c r="X850" s="296" t="s">
        <v>189</v>
      </c>
      <c r="Y850" s="296" t="s">
        <v>183</v>
      </c>
      <c r="Z850" s="296" t="s">
        <v>183</v>
      </c>
      <c r="AA850" s="296" t="s">
        <v>183</v>
      </c>
      <c r="AB850" s="296" t="s">
        <v>183</v>
      </c>
      <c r="AC850" s="296" t="s">
        <v>618</v>
      </c>
      <c r="AD850" s="296" t="s">
        <v>6625</v>
      </c>
      <c r="AE850" s="296" t="s">
        <v>192</v>
      </c>
      <c r="AF850" s="296" t="s">
        <v>193</v>
      </c>
      <c r="AG850" s="296">
        <v>0</v>
      </c>
      <c r="AH850" s="298">
        <v>45198</v>
      </c>
      <c r="AJ850" s="296" t="s">
        <v>194</v>
      </c>
      <c r="AK850" s="299">
        <f>COUNTIF($A$3:A$917,A850)</f>
        <v>1</v>
      </c>
    </row>
    <row r="851" spans="1:37" x14ac:dyDescent="0.25">
      <c r="A851" s="296">
        <v>114310156</v>
      </c>
      <c r="B851" s="296" t="s">
        <v>6626</v>
      </c>
      <c r="C851" s="296" t="s">
        <v>183</v>
      </c>
      <c r="D851" s="296" t="s">
        <v>183</v>
      </c>
      <c r="E851" s="296" t="s">
        <v>183</v>
      </c>
      <c r="F851" s="296" t="s">
        <v>6627</v>
      </c>
      <c r="G851" s="296" t="s">
        <v>6627</v>
      </c>
      <c r="H851" s="296" t="s">
        <v>6628</v>
      </c>
      <c r="I851" s="296" t="s">
        <v>6579</v>
      </c>
      <c r="J851" s="296" t="s">
        <v>6629</v>
      </c>
      <c r="K851" s="296" t="s">
        <v>323</v>
      </c>
      <c r="L851" s="296" t="s">
        <v>324</v>
      </c>
      <c r="M851" s="296" t="s">
        <v>179</v>
      </c>
      <c r="N851" s="296" t="s">
        <v>325</v>
      </c>
      <c r="O851" s="296" t="s">
        <v>183</v>
      </c>
      <c r="P851" s="296" t="s">
        <v>326</v>
      </c>
      <c r="Q851" s="296" t="s">
        <v>183</v>
      </c>
      <c r="R851" s="296" t="s">
        <v>327</v>
      </c>
      <c r="S851" s="296" t="s">
        <v>185</v>
      </c>
      <c r="T851" s="296" t="s">
        <v>185</v>
      </c>
      <c r="U851" s="296" t="s">
        <v>186</v>
      </c>
      <c r="V851" s="296" t="s">
        <v>187</v>
      </c>
      <c r="W851" s="296" t="s">
        <v>188</v>
      </c>
      <c r="X851" s="296" t="s">
        <v>246</v>
      </c>
      <c r="Y851" s="296" t="s">
        <v>183</v>
      </c>
      <c r="Z851" s="296" t="s">
        <v>183</v>
      </c>
      <c r="AA851" s="296" t="s">
        <v>183</v>
      </c>
      <c r="AB851" s="296" t="s">
        <v>183</v>
      </c>
      <c r="AC851" s="296" t="s">
        <v>328</v>
      </c>
      <c r="AD851" s="296" t="s">
        <v>6630</v>
      </c>
      <c r="AE851" s="296" t="s">
        <v>192</v>
      </c>
      <c r="AF851" s="296" t="s">
        <v>193</v>
      </c>
      <c r="AG851" s="296">
        <v>0</v>
      </c>
      <c r="AH851" s="298">
        <v>45643</v>
      </c>
      <c r="AJ851" s="296" t="s">
        <v>194</v>
      </c>
      <c r="AK851" s="299">
        <f>COUNTIF($A$3:A$917,A851)</f>
        <v>1</v>
      </c>
    </row>
    <row r="852" spans="1:37" x14ac:dyDescent="0.25">
      <c r="A852" s="296">
        <v>3008071089</v>
      </c>
      <c r="B852" s="296" t="s">
        <v>496</v>
      </c>
      <c r="C852" s="296" t="s">
        <v>183</v>
      </c>
      <c r="D852" s="296" t="s">
        <v>183</v>
      </c>
      <c r="E852" s="296" t="s">
        <v>183</v>
      </c>
      <c r="F852" s="296" t="s">
        <v>497</v>
      </c>
      <c r="G852" s="296" t="s">
        <v>498</v>
      </c>
      <c r="H852" s="296" t="s">
        <v>499</v>
      </c>
      <c r="I852" s="296" t="s">
        <v>6579</v>
      </c>
      <c r="J852" s="296" t="s">
        <v>6631</v>
      </c>
      <c r="K852" s="296" t="s">
        <v>501</v>
      </c>
      <c r="L852" s="296" t="s">
        <v>502</v>
      </c>
      <c r="M852" s="296" t="s">
        <v>503</v>
      </c>
      <c r="N852" s="296" t="s">
        <v>504</v>
      </c>
      <c r="O852" s="296" t="s">
        <v>505</v>
      </c>
      <c r="P852" s="296" t="s">
        <v>183</v>
      </c>
      <c r="Q852" s="296" t="s">
        <v>183</v>
      </c>
      <c r="R852" s="296" t="s">
        <v>506</v>
      </c>
      <c r="S852" s="296" t="s">
        <v>185</v>
      </c>
      <c r="T852" s="296" t="s">
        <v>185</v>
      </c>
      <c r="U852" s="296" t="s">
        <v>186</v>
      </c>
      <c r="V852" s="296" t="s">
        <v>187</v>
      </c>
      <c r="W852" s="296" t="s">
        <v>188</v>
      </c>
      <c r="X852" s="296" t="s">
        <v>404</v>
      </c>
      <c r="Y852" s="296" t="s">
        <v>183</v>
      </c>
      <c r="Z852" s="296" t="s">
        <v>183</v>
      </c>
      <c r="AA852" s="296" t="s">
        <v>183</v>
      </c>
      <c r="AB852" s="296" t="s">
        <v>183</v>
      </c>
      <c r="AC852" s="296" t="s">
        <v>507</v>
      </c>
      <c r="AD852" s="296" t="s">
        <v>6632</v>
      </c>
      <c r="AE852" s="296" t="s">
        <v>192</v>
      </c>
      <c r="AF852" s="296" t="s">
        <v>193</v>
      </c>
      <c r="AG852" s="296">
        <v>43183</v>
      </c>
      <c r="AH852" s="298">
        <v>38464</v>
      </c>
      <c r="AJ852" s="296" t="s">
        <v>194</v>
      </c>
      <c r="AK852" s="299">
        <f>COUNTIF($A$3:A$917,A852)</f>
        <v>3</v>
      </c>
    </row>
    <row r="853" spans="1:37" x14ac:dyDescent="0.25">
      <c r="A853" s="296">
        <v>503190940</v>
      </c>
      <c r="B853" s="296" t="s">
        <v>6633</v>
      </c>
      <c r="C853" s="296" t="s">
        <v>183</v>
      </c>
      <c r="D853" s="296" t="s">
        <v>183</v>
      </c>
      <c r="E853" s="296" t="s">
        <v>183</v>
      </c>
      <c r="F853" s="296" t="s">
        <v>6634</v>
      </c>
      <c r="G853" s="296" t="s">
        <v>6634</v>
      </c>
      <c r="H853" s="296" t="s">
        <v>6635</v>
      </c>
      <c r="I853" s="296" t="s">
        <v>6579</v>
      </c>
      <c r="J853" s="296" t="s">
        <v>6636</v>
      </c>
      <c r="K853" s="296" t="s">
        <v>6637</v>
      </c>
      <c r="L853" s="296" t="s">
        <v>6633</v>
      </c>
      <c r="M853" s="296" t="s">
        <v>179</v>
      </c>
      <c r="N853" s="296" t="s">
        <v>6634</v>
      </c>
      <c r="O853" s="296" t="s">
        <v>6634</v>
      </c>
      <c r="P853" s="296" t="s">
        <v>6635</v>
      </c>
      <c r="Q853" s="296" t="s">
        <v>183</v>
      </c>
      <c r="R853" s="296" t="s">
        <v>6638</v>
      </c>
      <c r="S853" s="296" t="s">
        <v>185</v>
      </c>
      <c r="T853" s="296" t="s">
        <v>185</v>
      </c>
      <c r="U853" s="296" t="s">
        <v>186</v>
      </c>
      <c r="V853" s="296" t="s">
        <v>187</v>
      </c>
      <c r="W853" s="296" t="s">
        <v>188</v>
      </c>
      <c r="X853" s="296" t="s">
        <v>256</v>
      </c>
      <c r="Y853" s="296" t="s">
        <v>183</v>
      </c>
      <c r="Z853" s="296" t="s">
        <v>183</v>
      </c>
      <c r="AA853" s="296" t="s">
        <v>183</v>
      </c>
      <c r="AB853" s="296" t="s">
        <v>183</v>
      </c>
      <c r="AC853" s="296" t="s">
        <v>6639</v>
      </c>
      <c r="AD853" s="296" t="s">
        <v>6640</v>
      </c>
      <c r="AE853" s="296" t="s">
        <v>192</v>
      </c>
      <c r="AF853" s="296" t="s">
        <v>193</v>
      </c>
      <c r="AG853" s="296">
        <v>0</v>
      </c>
      <c r="AH853" s="298">
        <v>45518</v>
      </c>
      <c r="AJ853" s="296" t="s">
        <v>194</v>
      </c>
      <c r="AK853" s="299">
        <f>COUNTIF($A$3:A$917,A853)</f>
        <v>1</v>
      </c>
    </row>
    <row r="854" spans="1:37" x14ac:dyDescent="0.25">
      <c r="A854" s="296">
        <v>503050067</v>
      </c>
      <c r="B854" s="296" t="s">
        <v>6641</v>
      </c>
      <c r="C854" s="296" t="s">
        <v>183</v>
      </c>
      <c r="D854" s="296" t="s">
        <v>183</v>
      </c>
      <c r="E854" s="296" t="s">
        <v>183</v>
      </c>
      <c r="F854" s="296" t="s">
        <v>6642</v>
      </c>
      <c r="G854" s="296" t="s">
        <v>6642</v>
      </c>
      <c r="H854" s="296" t="s">
        <v>6643</v>
      </c>
      <c r="I854" s="296" t="s">
        <v>6579</v>
      </c>
      <c r="J854" s="296" t="s">
        <v>6644</v>
      </c>
      <c r="K854" s="296" t="s">
        <v>6645</v>
      </c>
      <c r="L854" s="296" t="s">
        <v>6646</v>
      </c>
      <c r="M854" s="296" t="s">
        <v>179</v>
      </c>
      <c r="N854" s="296" t="s">
        <v>6642</v>
      </c>
      <c r="O854" s="296" t="s">
        <v>183</v>
      </c>
      <c r="P854" s="296" t="s">
        <v>6647</v>
      </c>
      <c r="Q854" s="296" t="s">
        <v>183</v>
      </c>
      <c r="R854" s="296" t="s">
        <v>6648</v>
      </c>
      <c r="S854" s="296" t="s">
        <v>185</v>
      </c>
      <c r="T854" s="296" t="s">
        <v>185</v>
      </c>
      <c r="U854" s="296" t="s">
        <v>186</v>
      </c>
      <c r="V854" s="296" t="s">
        <v>187</v>
      </c>
      <c r="W854" s="296" t="s">
        <v>188</v>
      </c>
      <c r="X854" s="296" t="s">
        <v>404</v>
      </c>
      <c r="Y854" s="296" t="s">
        <v>183</v>
      </c>
      <c r="Z854" s="296" t="s">
        <v>183</v>
      </c>
      <c r="AA854" s="296" t="s">
        <v>183</v>
      </c>
      <c r="AB854" s="296" t="s">
        <v>183</v>
      </c>
      <c r="AC854" s="296" t="s">
        <v>6649</v>
      </c>
      <c r="AD854" s="296" t="s">
        <v>6650</v>
      </c>
      <c r="AE854" s="296" t="s">
        <v>192</v>
      </c>
      <c r="AF854" s="296" t="s">
        <v>193</v>
      </c>
      <c r="AG854" s="296">
        <v>0</v>
      </c>
      <c r="AH854" s="298">
        <v>45363</v>
      </c>
      <c r="AJ854" s="296" t="s">
        <v>194</v>
      </c>
      <c r="AK854" s="299">
        <f>COUNTIF($A$3:A$917,A854)</f>
        <v>1</v>
      </c>
    </row>
    <row r="855" spans="1:37" x14ac:dyDescent="0.25">
      <c r="A855" s="296">
        <v>503810920</v>
      </c>
      <c r="B855" s="296" t="s">
        <v>3357</v>
      </c>
      <c r="C855" s="296" t="s">
        <v>183</v>
      </c>
      <c r="D855" s="296" t="s">
        <v>183</v>
      </c>
      <c r="E855" s="296" t="s">
        <v>183</v>
      </c>
      <c r="F855" s="296" t="s">
        <v>3358</v>
      </c>
      <c r="G855" s="296" t="s">
        <v>3358</v>
      </c>
      <c r="H855" s="296" t="s">
        <v>3359</v>
      </c>
      <c r="I855" s="296" t="s">
        <v>6579</v>
      </c>
      <c r="J855" s="296" t="s">
        <v>6651</v>
      </c>
      <c r="K855" s="296" t="s">
        <v>3361</v>
      </c>
      <c r="L855" s="296" t="s">
        <v>3362</v>
      </c>
      <c r="M855" s="296" t="s">
        <v>179</v>
      </c>
      <c r="N855" s="296" t="s">
        <v>3363</v>
      </c>
      <c r="O855" s="296" t="s">
        <v>183</v>
      </c>
      <c r="P855" s="296" t="s">
        <v>1647</v>
      </c>
      <c r="Q855" s="296" t="s">
        <v>183</v>
      </c>
      <c r="R855" s="296" t="s">
        <v>3364</v>
      </c>
      <c r="S855" s="296" t="s">
        <v>185</v>
      </c>
      <c r="T855" s="296" t="s">
        <v>185</v>
      </c>
      <c r="U855" s="296" t="s">
        <v>186</v>
      </c>
      <c r="V855" s="296" t="s">
        <v>187</v>
      </c>
      <c r="W855" s="296" t="s">
        <v>188</v>
      </c>
      <c r="X855" s="296" t="s">
        <v>256</v>
      </c>
      <c r="Y855" s="296" t="s">
        <v>183</v>
      </c>
      <c r="Z855" s="296" t="s">
        <v>183</v>
      </c>
      <c r="AA855" s="296" t="s">
        <v>183</v>
      </c>
      <c r="AB855" s="296" t="s">
        <v>183</v>
      </c>
      <c r="AC855" s="296" t="s">
        <v>3365</v>
      </c>
      <c r="AD855" s="296" t="s">
        <v>6652</v>
      </c>
      <c r="AE855" s="296" t="s">
        <v>192</v>
      </c>
      <c r="AF855" s="296" t="s">
        <v>193</v>
      </c>
      <c r="AG855" s="296">
        <v>0</v>
      </c>
      <c r="AH855" s="298">
        <v>45533</v>
      </c>
      <c r="AJ855" s="296" t="s">
        <v>194</v>
      </c>
      <c r="AK855" s="299">
        <f>COUNTIF($A$3:A$917,A855)</f>
        <v>2</v>
      </c>
    </row>
    <row r="856" spans="1:37" x14ac:dyDescent="0.25">
      <c r="A856" s="296">
        <v>503380664</v>
      </c>
      <c r="B856" s="296" t="s">
        <v>6653</v>
      </c>
      <c r="C856" s="296" t="s">
        <v>183</v>
      </c>
      <c r="D856" s="296" t="s">
        <v>183</v>
      </c>
      <c r="E856" s="296" t="s">
        <v>183</v>
      </c>
      <c r="F856" s="296" t="s">
        <v>6654</v>
      </c>
      <c r="G856" s="296" t="s">
        <v>6654</v>
      </c>
      <c r="H856" s="296" t="s">
        <v>6655</v>
      </c>
      <c r="I856" s="296" t="s">
        <v>6579</v>
      </c>
      <c r="J856" s="296" t="s">
        <v>6656</v>
      </c>
      <c r="K856" s="296" t="s">
        <v>6657</v>
      </c>
      <c r="L856" s="296" t="s">
        <v>6653</v>
      </c>
      <c r="M856" s="296" t="s">
        <v>179</v>
      </c>
      <c r="N856" s="296" t="s">
        <v>6654</v>
      </c>
      <c r="O856" s="296" t="s">
        <v>6654</v>
      </c>
      <c r="P856" s="296" t="s">
        <v>6655</v>
      </c>
      <c r="Q856" s="296" t="s">
        <v>183</v>
      </c>
      <c r="R856" s="296" t="s">
        <v>6658</v>
      </c>
      <c r="S856" s="296" t="s">
        <v>185</v>
      </c>
      <c r="T856" s="296" t="s">
        <v>185</v>
      </c>
      <c r="U856" s="296" t="s">
        <v>186</v>
      </c>
      <c r="V856" s="296" t="s">
        <v>187</v>
      </c>
      <c r="W856" s="296" t="s">
        <v>188</v>
      </c>
      <c r="X856" s="296" t="s">
        <v>189</v>
      </c>
      <c r="Y856" s="296" t="s">
        <v>183</v>
      </c>
      <c r="Z856" s="296" t="s">
        <v>183</v>
      </c>
      <c r="AA856" s="296" t="s">
        <v>183</v>
      </c>
      <c r="AB856" s="296" t="s">
        <v>183</v>
      </c>
      <c r="AC856" s="296" t="s">
        <v>6659</v>
      </c>
      <c r="AD856" s="296" t="s">
        <v>6660</v>
      </c>
      <c r="AE856" s="296" t="s">
        <v>192</v>
      </c>
      <c r="AF856" s="296" t="s">
        <v>193</v>
      </c>
      <c r="AG856" s="296">
        <v>0</v>
      </c>
      <c r="AH856" s="298">
        <v>43992</v>
      </c>
      <c r="AJ856" s="296" t="s">
        <v>194</v>
      </c>
      <c r="AK856" s="299">
        <f>COUNTIF($A$3:A$917,A856)</f>
        <v>1</v>
      </c>
    </row>
    <row r="857" spans="1:37" x14ac:dyDescent="0.25">
      <c r="A857" s="296">
        <v>503800452</v>
      </c>
      <c r="B857" s="296" t="s">
        <v>6661</v>
      </c>
      <c r="C857" s="296" t="s">
        <v>183</v>
      </c>
      <c r="D857" s="296" t="s">
        <v>183</v>
      </c>
      <c r="E857" s="296" t="s">
        <v>183</v>
      </c>
      <c r="F857" s="296" t="s">
        <v>6662</v>
      </c>
      <c r="G857" s="296" t="s">
        <v>183</v>
      </c>
      <c r="H857" s="296" t="s">
        <v>6663</v>
      </c>
      <c r="I857" s="296" t="s">
        <v>6579</v>
      </c>
      <c r="J857" s="296" t="s">
        <v>6664</v>
      </c>
      <c r="K857" s="296" t="s">
        <v>6665</v>
      </c>
      <c r="L857" s="296" t="s">
        <v>6661</v>
      </c>
      <c r="M857" s="296" t="s">
        <v>179</v>
      </c>
      <c r="N857" s="296" t="s">
        <v>6662</v>
      </c>
      <c r="O857" s="296" t="s">
        <v>183</v>
      </c>
      <c r="P857" s="296" t="s">
        <v>6663</v>
      </c>
      <c r="Q857" s="296" t="s">
        <v>183</v>
      </c>
      <c r="R857" s="296" t="s">
        <v>6666</v>
      </c>
      <c r="S857" s="296" t="s">
        <v>185</v>
      </c>
      <c r="T857" s="296" t="s">
        <v>185</v>
      </c>
      <c r="U857" s="296" t="s">
        <v>186</v>
      </c>
      <c r="V857" s="296" t="s">
        <v>187</v>
      </c>
      <c r="W857" s="296" t="s">
        <v>188</v>
      </c>
      <c r="X857" s="296" t="s">
        <v>189</v>
      </c>
      <c r="Y857" s="296" t="s">
        <v>183</v>
      </c>
      <c r="Z857" s="296" t="s">
        <v>183</v>
      </c>
      <c r="AA857" s="296" t="s">
        <v>183</v>
      </c>
      <c r="AB857" s="296" t="s">
        <v>183</v>
      </c>
      <c r="AC857" s="296" t="s">
        <v>6667</v>
      </c>
      <c r="AD857" s="296" t="s">
        <v>6668</v>
      </c>
      <c r="AE857" s="296" t="s">
        <v>192</v>
      </c>
      <c r="AF857" s="296" t="s">
        <v>193</v>
      </c>
      <c r="AG857" s="296">
        <v>0</v>
      </c>
      <c r="AH857" s="298">
        <v>45918</v>
      </c>
      <c r="AJ857" s="296" t="s">
        <v>194</v>
      </c>
      <c r="AK857" s="299">
        <f>COUNTIF($A$3:A$917,A857)</f>
        <v>1</v>
      </c>
    </row>
    <row r="858" spans="1:37" x14ac:dyDescent="0.25">
      <c r="A858" s="296">
        <v>502140174</v>
      </c>
      <c r="B858" s="296" t="s">
        <v>6669</v>
      </c>
      <c r="C858" s="296" t="s">
        <v>183</v>
      </c>
      <c r="D858" s="296" t="s">
        <v>183</v>
      </c>
      <c r="E858" s="296" t="s">
        <v>183</v>
      </c>
      <c r="F858" s="296" t="s">
        <v>6670</v>
      </c>
      <c r="G858" s="296" t="s">
        <v>6670</v>
      </c>
      <c r="H858" s="296" t="s">
        <v>6671</v>
      </c>
      <c r="I858" s="296" t="s">
        <v>6579</v>
      </c>
      <c r="J858" s="296" t="s">
        <v>6672</v>
      </c>
      <c r="K858" s="296" t="s">
        <v>6673</v>
      </c>
      <c r="L858" s="296" t="s">
        <v>6669</v>
      </c>
      <c r="M858" s="296" t="s">
        <v>179</v>
      </c>
      <c r="N858" s="296" t="s">
        <v>6670</v>
      </c>
      <c r="O858" s="296" t="s">
        <v>6670</v>
      </c>
      <c r="P858" s="296" t="s">
        <v>6671</v>
      </c>
      <c r="Q858" s="296" t="s">
        <v>183</v>
      </c>
      <c r="R858" s="296" t="s">
        <v>6674</v>
      </c>
      <c r="S858" s="296" t="s">
        <v>185</v>
      </c>
      <c r="T858" s="296" t="s">
        <v>185</v>
      </c>
      <c r="U858" s="296" t="s">
        <v>186</v>
      </c>
      <c r="V858" s="296" t="s">
        <v>187</v>
      </c>
      <c r="W858" s="296" t="s">
        <v>188</v>
      </c>
      <c r="X858" s="296" t="s">
        <v>224</v>
      </c>
      <c r="Y858" s="296" t="s">
        <v>183</v>
      </c>
      <c r="Z858" s="296" t="s">
        <v>183</v>
      </c>
      <c r="AA858" s="296" t="s">
        <v>183</v>
      </c>
      <c r="AB858" s="296" t="s">
        <v>183</v>
      </c>
      <c r="AC858" s="296" t="s">
        <v>6675</v>
      </c>
      <c r="AD858" s="296" t="s">
        <v>6676</v>
      </c>
      <c r="AE858" s="296" t="s">
        <v>192</v>
      </c>
      <c r="AF858" s="296" t="s">
        <v>193</v>
      </c>
      <c r="AG858" s="296">
        <v>0</v>
      </c>
      <c r="AH858" s="298">
        <v>44860</v>
      </c>
      <c r="AJ858" s="296" t="s">
        <v>194</v>
      </c>
      <c r="AK858" s="299">
        <f>COUNTIF($A$3:A$917,A858)</f>
        <v>1</v>
      </c>
    </row>
    <row r="859" spans="1:37" x14ac:dyDescent="0.25">
      <c r="A859" s="296">
        <v>501910239</v>
      </c>
      <c r="B859" s="296" t="s">
        <v>6677</v>
      </c>
      <c r="C859" s="296" t="s">
        <v>183</v>
      </c>
      <c r="D859" s="296" t="s">
        <v>183</v>
      </c>
      <c r="E859" s="296" t="s">
        <v>183</v>
      </c>
      <c r="F859" s="296" t="s">
        <v>6678</v>
      </c>
      <c r="G859" s="296" t="s">
        <v>6679</v>
      </c>
      <c r="H859" s="296" t="s">
        <v>6680</v>
      </c>
      <c r="I859" s="296" t="s">
        <v>6579</v>
      </c>
      <c r="J859" s="296" t="s">
        <v>6681</v>
      </c>
      <c r="K859" s="296" t="s">
        <v>6682</v>
      </c>
      <c r="L859" s="296" t="s">
        <v>6683</v>
      </c>
      <c r="M859" s="296" t="s">
        <v>179</v>
      </c>
      <c r="N859" s="296" t="s">
        <v>6684</v>
      </c>
      <c r="O859" s="296" t="s">
        <v>183</v>
      </c>
      <c r="P859" s="296" t="s">
        <v>6685</v>
      </c>
      <c r="Q859" s="296" t="s">
        <v>183</v>
      </c>
      <c r="R859" s="296" t="s">
        <v>6686</v>
      </c>
      <c r="S859" s="296" t="s">
        <v>185</v>
      </c>
      <c r="T859" s="296" t="s">
        <v>185</v>
      </c>
      <c r="U859" s="296" t="s">
        <v>186</v>
      </c>
      <c r="V859" s="296" t="s">
        <v>187</v>
      </c>
      <c r="W859" s="296" t="s">
        <v>188</v>
      </c>
      <c r="X859" s="296" t="s">
        <v>189</v>
      </c>
      <c r="Y859" s="296" t="s">
        <v>183</v>
      </c>
      <c r="Z859" s="296" t="s">
        <v>183</v>
      </c>
      <c r="AA859" s="296" t="s">
        <v>183</v>
      </c>
      <c r="AB859" s="296" t="s">
        <v>183</v>
      </c>
      <c r="AC859" s="296" t="s">
        <v>6687</v>
      </c>
      <c r="AD859" s="296" t="s">
        <v>6688</v>
      </c>
      <c r="AE859" s="296" t="s">
        <v>192</v>
      </c>
      <c r="AF859" s="296" t="s">
        <v>193</v>
      </c>
      <c r="AG859" s="296">
        <v>11941</v>
      </c>
      <c r="AH859" s="298">
        <v>41956</v>
      </c>
      <c r="AJ859" s="296" t="s">
        <v>194</v>
      </c>
      <c r="AK859" s="299">
        <f>COUNTIF($A$3:A$917,A859)</f>
        <v>1</v>
      </c>
    </row>
    <row r="860" spans="1:37" x14ac:dyDescent="0.25">
      <c r="A860" s="296">
        <v>504300536</v>
      </c>
      <c r="B860" s="296" t="s">
        <v>6689</v>
      </c>
      <c r="C860" s="296" t="s">
        <v>183</v>
      </c>
      <c r="D860" s="296" t="s">
        <v>183</v>
      </c>
      <c r="E860" s="296" t="s">
        <v>183</v>
      </c>
      <c r="F860" s="296" t="s">
        <v>6690</v>
      </c>
      <c r="G860" s="296" t="s">
        <v>6690</v>
      </c>
      <c r="H860" s="296" t="s">
        <v>6691</v>
      </c>
      <c r="I860" s="296" t="s">
        <v>6579</v>
      </c>
      <c r="J860" s="296" t="s">
        <v>6692</v>
      </c>
      <c r="K860" s="296" t="s">
        <v>1978</v>
      </c>
      <c r="L860" s="296" t="s">
        <v>1979</v>
      </c>
      <c r="M860" s="296" t="s">
        <v>179</v>
      </c>
      <c r="N860" s="296" t="s">
        <v>1980</v>
      </c>
      <c r="O860" s="296" t="s">
        <v>1980</v>
      </c>
      <c r="P860" s="296" t="s">
        <v>1981</v>
      </c>
      <c r="Q860" s="296" t="s">
        <v>183</v>
      </c>
      <c r="R860" s="296" t="s">
        <v>1982</v>
      </c>
      <c r="S860" s="296" t="s">
        <v>185</v>
      </c>
      <c r="T860" s="296" t="s">
        <v>185</v>
      </c>
      <c r="U860" s="296" t="s">
        <v>186</v>
      </c>
      <c r="V860" s="296" t="s">
        <v>187</v>
      </c>
      <c r="W860" s="296" t="s">
        <v>188</v>
      </c>
      <c r="X860" s="296" t="s">
        <v>189</v>
      </c>
      <c r="Y860" s="296" t="s">
        <v>183</v>
      </c>
      <c r="Z860" s="296" t="s">
        <v>183</v>
      </c>
      <c r="AA860" s="296" t="s">
        <v>183</v>
      </c>
      <c r="AB860" s="296" t="s">
        <v>183</v>
      </c>
      <c r="AC860" s="296" t="s">
        <v>1983</v>
      </c>
      <c r="AD860" s="296" t="s">
        <v>6693</v>
      </c>
      <c r="AE860" s="296" t="s">
        <v>192</v>
      </c>
      <c r="AF860" s="296" t="s">
        <v>193</v>
      </c>
      <c r="AG860" s="296">
        <v>0</v>
      </c>
      <c r="AH860" s="298">
        <v>45776</v>
      </c>
      <c r="AJ860" s="296" t="s">
        <v>194</v>
      </c>
      <c r="AK860" s="299">
        <f>COUNTIF($A$3:A$917,A860)</f>
        <v>1</v>
      </c>
    </row>
    <row r="861" spans="1:37" x14ac:dyDescent="0.25">
      <c r="A861" s="296">
        <v>501360765</v>
      </c>
      <c r="B861" s="296" t="s">
        <v>6694</v>
      </c>
      <c r="C861" s="296" t="s">
        <v>183</v>
      </c>
      <c r="D861" s="296" t="s">
        <v>183</v>
      </c>
      <c r="E861" s="296" t="s">
        <v>183</v>
      </c>
      <c r="F861" s="296" t="s">
        <v>6695</v>
      </c>
      <c r="G861" s="296" t="s">
        <v>183</v>
      </c>
      <c r="H861" s="296" t="s">
        <v>6696</v>
      </c>
      <c r="I861" s="296" t="s">
        <v>6579</v>
      </c>
      <c r="J861" s="296" t="s">
        <v>6697</v>
      </c>
      <c r="K861" s="296" t="s">
        <v>2950</v>
      </c>
      <c r="L861" s="296" t="s">
        <v>2951</v>
      </c>
      <c r="M861" s="296" t="s">
        <v>179</v>
      </c>
      <c r="N861" s="296" t="s">
        <v>2952</v>
      </c>
      <c r="O861" s="296" t="s">
        <v>2952</v>
      </c>
      <c r="P861" s="296" t="s">
        <v>2953</v>
      </c>
      <c r="Q861" s="296" t="s">
        <v>183</v>
      </c>
      <c r="R861" s="296" t="s">
        <v>2954</v>
      </c>
      <c r="S861" s="296" t="s">
        <v>185</v>
      </c>
      <c r="T861" s="296" t="s">
        <v>185</v>
      </c>
      <c r="U861" s="296" t="s">
        <v>186</v>
      </c>
      <c r="V861" s="296" t="s">
        <v>187</v>
      </c>
      <c r="W861" s="296" t="s">
        <v>188</v>
      </c>
      <c r="X861" s="296" t="s">
        <v>404</v>
      </c>
      <c r="Y861" s="296" t="s">
        <v>183</v>
      </c>
      <c r="Z861" s="296" t="s">
        <v>183</v>
      </c>
      <c r="AA861" s="296" t="s">
        <v>183</v>
      </c>
      <c r="AB861" s="296" t="s">
        <v>183</v>
      </c>
      <c r="AC861" s="296" t="s">
        <v>2955</v>
      </c>
      <c r="AD861" s="296" t="s">
        <v>6698</v>
      </c>
      <c r="AE861" s="296" t="s">
        <v>192</v>
      </c>
      <c r="AF861" s="296" t="s">
        <v>193</v>
      </c>
      <c r="AG861" s="296">
        <v>0</v>
      </c>
      <c r="AH861" s="298">
        <v>45945</v>
      </c>
      <c r="AJ861" s="296" t="s">
        <v>194</v>
      </c>
      <c r="AK861" s="299">
        <f>COUNTIF($A$3:A$917,A861)</f>
        <v>1</v>
      </c>
    </row>
    <row r="862" spans="1:37" x14ac:dyDescent="0.25">
      <c r="A862" s="296">
        <v>3102816343</v>
      </c>
      <c r="B862" s="296" t="s">
        <v>6699</v>
      </c>
      <c r="C862" s="296" t="s">
        <v>183</v>
      </c>
      <c r="D862" s="296" t="s">
        <v>183</v>
      </c>
      <c r="E862" s="296" t="s">
        <v>183</v>
      </c>
      <c r="F862" s="296" t="s">
        <v>6700</v>
      </c>
      <c r="G862" s="296" t="s">
        <v>6700</v>
      </c>
      <c r="H862" s="296" t="s">
        <v>6701</v>
      </c>
      <c r="I862" s="296" t="s">
        <v>6579</v>
      </c>
      <c r="J862" s="296" t="s">
        <v>6702</v>
      </c>
      <c r="K862" s="296" t="s">
        <v>6703</v>
      </c>
      <c r="L862" s="296" t="s">
        <v>6704</v>
      </c>
      <c r="M862" s="296" t="s">
        <v>503</v>
      </c>
      <c r="N862" s="296" t="s">
        <v>6705</v>
      </c>
      <c r="O862" s="296" t="s">
        <v>183</v>
      </c>
      <c r="P862" s="296" t="s">
        <v>6701</v>
      </c>
      <c r="Q862" s="296" t="s">
        <v>183</v>
      </c>
      <c r="R862" s="296" t="s">
        <v>6706</v>
      </c>
      <c r="S862" s="296" t="s">
        <v>185</v>
      </c>
      <c r="T862" s="296" t="s">
        <v>185</v>
      </c>
      <c r="U862" s="296" t="s">
        <v>186</v>
      </c>
      <c r="V862" s="296" t="s">
        <v>187</v>
      </c>
      <c r="W862" s="296" t="s">
        <v>188</v>
      </c>
      <c r="X862" s="296" t="s">
        <v>256</v>
      </c>
      <c r="Y862" s="296" t="s">
        <v>183</v>
      </c>
      <c r="Z862" s="296" t="s">
        <v>183</v>
      </c>
      <c r="AA862" s="296" t="s">
        <v>183</v>
      </c>
      <c r="AB862" s="296" t="s">
        <v>183</v>
      </c>
      <c r="AC862" s="296" t="s">
        <v>6707</v>
      </c>
      <c r="AD862" s="296" t="s">
        <v>6708</v>
      </c>
      <c r="AE862" s="296" t="s">
        <v>192</v>
      </c>
      <c r="AF862" s="296" t="s">
        <v>193</v>
      </c>
      <c r="AG862" s="296">
        <v>0</v>
      </c>
      <c r="AH862" s="298">
        <v>44799</v>
      </c>
      <c r="AJ862" s="296" t="s">
        <v>194</v>
      </c>
      <c r="AK862" s="299">
        <f>COUNTIF($A$3:A$917,A862)</f>
        <v>1</v>
      </c>
    </row>
    <row r="863" spans="1:37" x14ac:dyDescent="0.25">
      <c r="A863" s="296">
        <v>504460470</v>
      </c>
      <c r="B863" s="296" t="s">
        <v>6709</v>
      </c>
      <c r="C863" s="296" t="s">
        <v>183</v>
      </c>
      <c r="D863" s="296" t="s">
        <v>183</v>
      </c>
      <c r="E863" s="296" t="s">
        <v>183</v>
      </c>
      <c r="F863" s="296" t="s">
        <v>6710</v>
      </c>
      <c r="G863" s="296" t="s">
        <v>6710</v>
      </c>
      <c r="H863" s="296" t="s">
        <v>6711</v>
      </c>
      <c r="I863" s="296" t="s">
        <v>6579</v>
      </c>
      <c r="J863" s="296" t="s">
        <v>6712</v>
      </c>
      <c r="K863" s="296" t="s">
        <v>602</v>
      </c>
      <c r="L863" s="296" t="s">
        <v>603</v>
      </c>
      <c r="M863" s="296" t="s">
        <v>179</v>
      </c>
      <c r="N863" s="296" t="s">
        <v>604</v>
      </c>
      <c r="O863" s="296" t="s">
        <v>604</v>
      </c>
      <c r="P863" s="296" t="s">
        <v>605</v>
      </c>
      <c r="Q863" s="296" t="s">
        <v>183</v>
      </c>
      <c r="R863" s="296" t="s">
        <v>606</v>
      </c>
      <c r="S863" s="296" t="s">
        <v>185</v>
      </c>
      <c r="T863" s="296" t="s">
        <v>185</v>
      </c>
      <c r="U863" s="296" t="s">
        <v>186</v>
      </c>
      <c r="V863" s="296" t="s">
        <v>187</v>
      </c>
      <c r="W863" s="296" t="s">
        <v>188</v>
      </c>
      <c r="X863" s="296" t="s">
        <v>189</v>
      </c>
      <c r="Y863" s="296" t="s">
        <v>183</v>
      </c>
      <c r="Z863" s="296" t="s">
        <v>183</v>
      </c>
      <c r="AA863" s="296" t="s">
        <v>183</v>
      </c>
      <c r="AB863" s="296" t="s">
        <v>183</v>
      </c>
      <c r="AC863" s="296" t="s">
        <v>607</v>
      </c>
      <c r="AD863" s="296" t="s">
        <v>6713</v>
      </c>
      <c r="AE863" s="296" t="s">
        <v>192</v>
      </c>
      <c r="AF863" s="296" t="s">
        <v>193</v>
      </c>
      <c r="AG863" s="296">
        <v>0</v>
      </c>
      <c r="AH863" s="298">
        <v>44603</v>
      </c>
      <c r="AJ863" s="296" t="s">
        <v>194</v>
      </c>
      <c r="AK863" s="299">
        <f>COUNTIF($A$3:A$917,A863)</f>
        <v>1</v>
      </c>
    </row>
    <row r="864" spans="1:37" x14ac:dyDescent="0.25">
      <c r="A864" s="296">
        <v>206710239</v>
      </c>
      <c r="B864" s="296" t="s">
        <v>6714</v>
      </c>
      <c r="C864" s="296" t="s">
        <v>183</v>
      </c>
      <c r="D864" s="296" t="s">
        <v>183</v>
      </c>
      <c r="E864" s="296" t="s">
        <v>183</v>
      </c>
      <c r="F864" s="296" t="s">
        <v>6715</v>
      </c>
      <c r="G864" s="296" t="s">
        <v>183</v>
      </c>
      <c r="H864" s="296" t="s">
        <v>6716</v>
      </c>
      <c r="I864" s="296" t="s">
        <v>6579</v>
      </c>
      <c r="J864" s="296" t="s">
        <v>6717</v>
      </c>
      <c r="K864" s="296" t="s">
        <v>6718</v>
      </c>
      <c r="L864" s="296" t="s">
        <v>6719</v>
      </c>
      <c r="M864" s="296" t="s">
        <v>179</v>
      </c>
      <c r="N864" s="296" t="s">
        <v>6720</v>
      </c>
      <c r="O864" s="296" t="s">
        <v>278</v>
      </c>
      <c r="P864" s="296" t="s">
        <v>6716</v>
      </c>
      <c r="Q864" s="296" t="s">
        <v>183</v>
      </c>
      <c r="R864" s="296" t="s">
        <v>6721</v>
      </c>
      <c r="S864" s="296" t="s">
        <v>185</v>
      </c>
      <c r="T864" s="296" t="s">
        <v>185</v>
      </c>
      <c r="U864" s="296" t="s">
        <v>186</v>
      </c>
      <c r="V864" s="296" t="s">
        <v>187</v>
      </c>
      <c r="W864" s="296" t="s">
        <v>188</v>
      </c>
      <c r="X864" s="296" t="s">
        <v>256</v>
      </c>
      <c r="Y864" s="296" t="s">
        <v>183</v>
      </c>
      <c r="Z864" s="296" t="s">
        <v>183</v>
      </c>
      <c r="AA864" s="296" t="s">
        <v>183</v>
      </c>
      <c r="AB864" s="296" t="s">
        <v>183</v>
      </c>
      <c r="AC864" s="296" t="s">
        <v>6722</v>
      </c>
      <c r="AD864" s="296" t="s">
        <v>6723</v>
      </c>
      <c r="AE864" s="296" t="s">
        <v>192</v>
      </c>
      <c r="AF864" s="296" t="s">
        <v>193</v>
      </c>
      <c r="AG864" s="296">
        <v>0</v>
      </c>
      <c r="AH864" s="298">
        <v>44649</v>
      </c>
      <c r="AJ864" s="296" t="s">
        <v>194</v>
      </c>
      <c r="AK864" s="299">
        <f>COUNTIF($A$3:A$917,A864)</f>
        <v>1</v>
      </c>
    </row>
    <row r="865" spans="1:37" x14ac:dyDescent="0.25">
      <c r="A865" s="296">
        <v>503330757</v>
      </c>
      <c r="B865" s="296" t="s">
        <v>4869</v>
      </c>
      <c r="C865" s="296" t="s">
        <v>183</v>
      </c>
      <c r="D865" s="296" t="s">
        <v>183</v>
      </c>
      <c r="E865" s="296" t="s">
        <v>183</v>
      </c>
      <c r="F865" s="296" t="s">
        <v>4870</v>
      </c>
      <c r="G865" s="296" t="s">
        <v>4870</v>
      </c>
      <c r="H865" s="296" t="s">
        <v>4871</v>
      </c>
      <c r="I865" s="296" t="s">
        <v>6579</v>
      </c>
      <c r="J865" s="296" t="s">
        <v>6724</v>
      </c>
      <c r="K865" s="296" t="s">
        <v>5739</v>
      </c>
      <c r="L865" s="296" t="s">
        <v>5740</v>
      </c>
      <c r="M865" s="296" t="s">
        <v>179</v>
      </c>
      <c r="N865" s="296" t="s">
        <v>5741</v>
      </c>
      <c r="O865" s="296" t="s">
        <v>5742</v>
      </c>
      <c r="P865" s="296" t="s">
        <v>5743</v>
      </c>
      <c r="Q865" s="296" t="s">
        <v>183</v>
      </c>
      <c r="R865" s="296" t="s">
        <v>5744</v>
      </c>
      <c r="S865" s="296" t="s">
        <v>185</v>
      </c>
      <c r="T865" s="296" t="s">
        <v>185</v>
      </c>
      <c r="U865" s="296" t="s">
        <v>186</v>
      </c>
      <c r="V865" s="296" t="s">
        <v>187</v>
      </c>
      <c r="W865" s="296" t="s">
        <v>188</v>
      </c>
      <c r="X865" s="296" t="s">
        <v>256</v>
      </c>
      <c r="Y865" s="296" t="s">
        <v>183</v>
      </c>
      <c r="Z865" s="296" t="s">
        <v>183</v>
      </c>
      <c r="AA865" s="296" t="s">
        <v>183</v>
      </c>
      <c r="AB865" s="296" t="s">
        <v>183</v>
      </c>
      <c r="AC865" s="296" t="s">
        <v>5745</v>
      </c>
      <c r="AD865" s="296" t="s">
        <v>6725</v>
      </c>
      <c r="AE865" s="296" t="s">
        <v>192</v>
      </c>
      <c r="AF865" s="296" t="s">
        <v>193</v>
      </c>
      <c r="AG865" s="296">
        <v>0</v>
      </c>
      <c r="AH865" s="298">
        <v>45390</v>
      </c>
      <c r="AJ865" s="296" t="s">
        <v>194</v>
      </c>
      <c r="AK865" s="299">
        <f>COUNTIF($A$3:A$917,A865)</f>
        <v>4</v>
      </c>
    </row>
    <row r="866" spans="1:37" x14ac:dyDescent="0.25">
      <c r="A866" s="296">
        <v>114480674</v>
      </c>
      <c r="B866" s="296" t="s">
        <v>6726</v>
      </c>
      <c r="C866" s="296" t="s">
        <v>183</v>
      </c>
      <c r="D866" s="296" t="s">
        <v>183</v>
      </c>
      <c r="E866" s="296" t="s">
        <v>183</v>
      </c>
      <c r="F866" s="296" t="s">
        <v>6727</v>
      </c>
      <c r="G866" s="296" t="s">
        <v>6727</v>
      </c>
      <c r="H866" s="296" t="s">
        <v>6728</v>
      </c>
      <c r="I866" s="296" t="s">
        <v>6579</v>
      </c>
      <c r="J866" s="296" t="s">
        <v>6729</v>
      </c>
      <c r="K866" s="296" t="s">
        <v>1814</v>
      </c>
      <c r="L866" s="296" t="s">
        <v>1810</v>
      </c>
      <c r="M866" s="296" t="s">
        <v>179</v>
      </c>
      <c r="N866" s="296" t="s">
        <v>1811</v>
      </c>
      <c r="O866" s="296" t="s">
        <v>1811</v>
      </c>
      <c r="P866" s="296" t="s">
        <v>1812</v>
      </c>
      <c r="Q866" s="296" t="s">
        <v>183</v>
      </c>
      <c r="R866" s="296" t="s">
        <v>1815</v>
      </c>
      <c r="S866" s="296" t="s">
        <v>185</v>
      </c>
      <c r="T866" s="296" t="s">
        <v>185</v>
      </c>
      <c r="U866" s="296" t="s">
        <v>186</v>
      </c>
      <c r="V866" s="296" t="s">
        <v>187</v>
      </c>
      <c r="W866" s="296" t="s">
        <v>188</v>
      </c>
      <c r="X866" s="296" t="s">
        <v>256</v>
      </c>
      <c r="Y866" s="296" t="s">
        <v>183</v>
      </c>
      <c r="Z866" s="296" t="s">
        <v>183</v>
      </c>
      <c r="AA866" s="296" t="s">
        <v>183</v>
      </c>
      <c r="AB866" s="296" t="s">
        <v>183</v>
      </c>
      <c r="AC866" s="296" t="s">
        <v>1816</v>
      </c>
      <c r="AD866" s="296" t="s">
        <v>6730</v>
      </c>
      <c r="AE866" s="296" t="s">
        <v>192</v>
      </c>
      <c r="AF866" s="296" t="s">
        <v>193</v>
      </c>
      <c r="AG866" s="296">
        <v>0</v>
      </c>
      <c r="AH866" s="298">
        <v>45548</v>
      </c>
      <c r="AJ866" s="296" t="s">
        <v>194</v>
      </c>
      <c r="AK866" s="299">
        <f>COUNTIF($A$3:A$917,A866)</f>
        <v>1</v>
      </c>
    </row>
    <row r="867" spans="1:37" x14ac:dyDescent="0.25">
      <c r="A867" s="296">
        <v>204360980</v>
      </c>
      <c r="B867" s="296" t="s">
        <v>6731</v>
      </c>
      <c r="C867" s="296" t="s">
        <v>183</v>
      </c>
      <c r="D867" s="296" t="s">
        <v>183</v>
      </c>
      <c r="E867" s="296" t="s">
        <v>183</v>
      </c>
      <c r="F867" s="296" t="s">
        <v>4832</v>
      </c>
      <c r="G867" s="296" t="s">
        <v>4832</v>
      </c>
      <c r="H867" s="296" t="s">
        <v>6732</v>
      </c>
      <c r="I867" s="296" t="s">
        <v>6579</v>
      </c>
      <c r="J867" s="296" t="s">
        <v>6733</v>
      </c>
      <c r="K867" s="296" t="s">
        <v>4830</v>
      </c>
      <c r="L867" s="296" t="s">
        <v>4831</v>
      </c>
      <c r="M867" s="296" t="s">
        <v>179</v>
      </c>
      <c r="N867" s="296" t="s">
        <v>4832</v>
      </c>
      <c r="O867" s="296" t="s">
        <v>4827</v>
      </c>
      <c r="P867" s="296" t="s">
        <v>4828</v>
      </c>
      <c r="Q867" s="296" t="s">
        <v>183</v>
      </c>
      <c r="R867" s="296" t="s">
        <v>4833</v>
      </c>
      <c r="S867" s="296" t="s">
        <v>185</v>
      </c>
      <c r="T867" s="296" t="s">
        <v>185</v>
      </c>
      <c r="U867" s="296" t="s">
        <v>186</v>
      </c>
      <c r="V867" s="296" t="s">
        <v>187</v>
      </c>
      <c r="W867" s="296" t="s">
        <v>188</v>
      </c>
      <c r="X867" s="296" t="s">
        <v>308</v>
      </c>
      <c r="Y867" s="296" t="s">
        <v>183</v>
      </c>
      <c r="Z867" s="296" t="s">
        <v>183</v>
      </c>
      <c r="AA867" s="296" t="s">
        <v>183</v>
      </c>
      <c r="AB867" s="296" t="s">
        <v>183</v>
      </c>
      <c r="AC867" s="296" t="s">
        <v>4834</v>
      </c>
      <c r="AD867" s="296" t="s">
        <v>6734</v>
      </c>
      <c r="AE867" s="296" t="s">
        <v>192</v>
      </c>
      <c r="AF867" s="296" t="s">
        <v>193</v>
      </c>
      <c r="AG867" s="296">
        <v>0</v>
      </c>
      <c r="AH867" s="298">
        <v>45909</v>
      </c>
      <c r="AJ867" s="296" t="s">
        <v>194</v>
      </c>
      <c r="AK867" s="299">
        <f>COUNTIF($A$3:A$917,A867)</f>
        <v>1</v>
      </c>
    </row>
    <row r="868" spans="1:37" x14ac:dyDescent="0.25">
      <c r="A868" s="296">
        <v>3101256045</v>
      </c>
      <c r="B868" s="296" t="s">
        <v>1346</v>
      </c>
      <c r="C868" s="296" t="s">
        <v>183</v>
      </c>
      <c r="D868" s="296" t="s">
        <v>183</v>
      </c>
      <c r="E868" s="296" t="s">
        <v>183</v>
      </c>
      <c r="F868" s="296" t="s">
        <v>1347</v>
      </c>
      <c r="G868" s="296" t="s">
        <v>1348</v>
      </c>
      <c r="H868" s="296" t="s">
        <v>1349</v>
      </c>
      <c r="I868" s="296" t="s">
        <v>6735</v>
      </c>
      <c r="J868" s="296" t="s">
        <v>6736</v>
      </c>
      <c r="K868" s="296" t="s">
        <v>1351</v>
      </c>
      <c r="L868" s="296" t="s">
        <v>1352</v>
      </c>
      <c r="M868" s="296" t="s">
        <v>179</v>
      </c>
      <c r="N868" s="296" t="s">
        <v>1353</v>
      </c>
      <c r="O868" s="296" t="s">
        <v>1353</v>
      </c>
      <c r="P868" s="296" t="s">
        <v>1354</v>
      </c>
      <c r="Q868" s="296" t="s">
        <v>183</v>
      </c>
      <c r="R868" s="296" t="s">
        <v>1355</v>
      </c>
      <c r="S868" s="296" t="s">
        <v>185</v>
      </c>
      <c r="T868" s="296" t="s">
        <v>185</v>
      </c>
      <c r="U868" s="296" t="s">
        <v>186</v>
      </c>
      <c r="V868" s="296" t="s">
        <v>187</v>
      </c>
      <c r="W868" s="296" t="s">
        <v>188</v>
      </c>
      <c r="X868" s="296" t="s">
        <v>189</v>
      </c>
      <c r="Y868" s="296" t="s">
        <v>183</v>
      </c>
      <c r="Z868" s="296" t="s">
        <v>183</v>
      </c>
      <c r="AA868" s="296" t="s">
        <v>183</v>
      </c>
      <c r="AB868" s="296" t="s">
        <v>183</v>
      </c>
      <c r="AC868" s="296" t="s">
        <v>1356</v>
      </c>
      <c r="AD868" s="296" t="s">
        <v>6737</v>
      </c>
      <c r="AE868" s="296" t="s">
        <v>192</v>
      </c>
      <c r="AF868" s="296" t="s">
        <v>193</v>
      </c>
      <c r="AG868" s="296">
        <v>11914</v>
      </c>
      <c r="AH868" s="298">
        <v>43690</v>
      </c>
      <c r="AJ868" s="296" t="s">
        <v>194</v>
      </c>
      <c r="AK868" s="299">
        <f>COUNTIF($A$3:A$917,A868)</f>
        <v>3</v>
      </c>
    </row>
    <row r="869" spans="1:37" x14ac:dyDescent="0.25">
      <c r="A869" s="296">
        <v>3101498046</v>
      </c>
      <c r="B869" s="296" t="s">
        <v>6738</v>
      </c>
      <c r="C869" s="296" t="s">
        <v>183</v>
      </c>
      <c r="D869" s="296" t="s">
        <v>183</v>
      </c>
      <c r="E869" s="296" t="s">
        <v>183</v>
      </c>
      <c r="F869" s="296" t="s">
        <v>6739</v>
      </c>
      <c r="G869" s="296" t="s">
        <v>6739</v>
      </c>
      <c r="H869" s="296" t="s">
        <v>6740</v>
      </c>
      <c r="I869" s="296" t="s">
        <v>6735</v>
      </c>
      <c r="J869" s="296" t="s">
        <v>6741</v>
      </c>
      <c r="K869" s="296" t="s">
        <v>183</v>
      </c>
      <c r="L869" s="296" t="s">
        <v>183</v>
      </c>
      <c r="M869" s="296" t="s">
        <v>183</v>
      </c>
      <c r="N869" s="296" t="s">
        <v>1063</v>
      </c>
      <c r="O869" s="296" t="s">
        <v>183</v>
      </c>
      <c r="P869" s="296" t="s">
        <v>183</v>
      </c>
      <c r="Q869" s="296" t="s">
        <v>183</v>
      </c>
      <c r="R869" s="296" t="s">
        <v>183</v>
      </c>
      <c r="S869" s="296" t="s">
        <v>183</v>
      </c>
      <c r="T869" s="296" t="s">
        <v>183</v>
      </c>
      <c r="U869" s="296" t="s">
        <v>183</v>
      </c>
      <c r="V869" s="296" t="s">
        <v>183</v>
      </c>
      <c r="W869" s="296" t="s">
        <v>183</v>
      </c>
      <c r="X869" s="296" t="s">
        <v>183</v>
      </c>
      <c r="Y869" s="296" t="s">
        <v>183</v>
      </c>
      <c r="Z869" s="296" t="s">
        <v>183</v>
      </c>
      <c r="AA869" s="296" t="s">
        <v>183</v>
      </c>
      <c r="AB869" s="296" t="s">
        <v>183</v>
      </c>
      <c r="AC869" s="296" t="s">
        <v>183</v>
      </c>
      <c r="AD869" s="296" t="s">
        <v>6742</v>
      </c>
      <c r="AE869" s="296" t="s">
        <v>192</v>
      </c>
      <c r="AF869" s="296" t="s">
        <v>193</v>
      </c>
      <c r="AG869" s="296">
        <v>0</v>
      </c>
      <c r="AH869" s="298">
        <v>44805</v>
      </c>
      <c r="AJ869" s="296" t="s">
        <v>194</v>
      </c>
      <c r="AK869" s="299">
        <f>COUNTIF($A$3:A$917,A869)</f>
        <v>1</v>
      </c>
    </row>
    <row r="870" spans="1:37" x14ac:dyDescent="0.25">
      <c r="A870" s="296">
        <v>208270837</v>
      </c>
      <c r="B870" s="296" t="s">
        <v>3867</v>
      </c>
      <c r="C870" s="296" t="s">
        <v>183</v>
      </c>
      <c r="D870" s="296" t="s">
        <v>183</v>
      </c>
      <c r="E870" s="296" t="s">
        <v>183</v>
      </c>
      <c r="F870" s="296" t="s">
        <v>3868</v>
      </c>
      <c r="G870" s="296" t="s">
        <v>3868</v>
      </c>
      <c r="H870" s="296" t="s">
        <v>3869</v>
      </c>
      <c r="I870" s="296" t="s">
        <v>6743</v>
      </c>
      <c r="J870" s="296" t="s">
        <v>3870</v>
      </c>
      <c r="K870" s="296" t="s">
        <v>3871</v>
      </c>
      <c r="L870" s="296" t="s">
        <v>3872</v>
      </c>
      <c r="M870" s="296" t="s">
        <v>179</v>
      </c>
      <c r="N870" s="296" t="s">
        <v>1570</v>
      </c>
      <c r="O870" s="296" t="s">
        <v>1570</v>
      </c>
      <c r="P870" s="296" t="s">
        <v>3873</v>
      </c>
      <c r="Q870" s="296" t="s">
        <v>183</v>
      </c>
      <c r="R870" s="296" t="s">
        <v>3874</v>
      </c>
      <c r="S870" s="296" t="s">
        <v>185</v>
      </c>
      <c r="T870" s="296" t="s">
        <v>185</v>
      </c>
      <c r="U870" s="296" t="s">
        <v>186</v>
      </c>
      <c r="V870" s="296" t="s">
        <v>187</v>
      </c>
      <c r="W870" s="296" t="s">
        <v>188</v>
      </c>
      <c r="X870" s="296" t="s">
        <v>189</v>
      </c>
      <c r="Y870" s="296" t="s">
        <v>183</v>
      </c>
      <c r="Z870" s="296" t="s">
        <v>183</v>
      </c>
      <c r="AA870" s="296" t="s">
        <v>183</v>
      </c>
      <c r="AB870" s="296" t="s">
        <v>183</v>
      </c>
      <c r="AC870" s="296" t="s">
        <v>3875</v>
      </c>
      <c r="AD870" s="296" t="s">
        <v>6744</v>
      </c>
      <c r="AE870" s="296" t="s">
        <v>192</v>
      </c>
      <c r="AF870" s="296" t="s">
        <v>193</v>
      </c>
      <c r="AG870" s="296">
        <v>0</v>
      </c>
      <c r="AH870" s="298">
        <v>45344</v>
      </c>
      <c r="AJ870" s="296" t="s">
        <v>194</v>
      </c>
      <c r="AK870" s="299">
        <f>COUNTIF($A$3:A$917,A870)</f>
        <v>3</v>
      </c>
    </row>
    <row r="871" spans="1:37" x14ac:dyDescent="0.25">
      <c r="A871" s="296">
        <v>3101590004</v>
      </c>
      <c r="B871" s="296" t="s">
        <v>330</v>
      </c>
      <c r="C871" s="296" t="s">
        <v>183</v>
      </c>
      <c r="D871" s="296" t="s">
        <v>183</v>
      </c>
      <c r="E871" s="296" t="s">
        <v>183</v>
      </c>
      <c r="F871" s="296" t="s">
        <v>331</v>
      </c>
      <c r="G871" s="296" t="s">
        <v>278</v>
      </c>
      <c r="H871" s="296" t="s">
        <v>332</v>
      </c>
      <c r="I871" s="296" t="s">
        <v>6745</v>
      </c>
      <c r="J871" s="296" t="s">
        <v>6746</v>
      </c>
      <c r="K871" s="296" t="s">
        <v>334</v>
      </c>
      <c r="L871" s="296" t="s">
        <v>335</v>
      </c>
      <c r="M871" s="296" t="s">
        <v>179</v>
      </c>
      <c r="N871" s="296" t="s">
        <v>336</v>
      </c>
      <c r="O871" s="296" t="s">
        <v>278</v>
      </c>
      <c r="P871" s="296" t="s">
        <v>183</v>
      </c>
      <c r="Q871" s="296" t="s">
        <v>183</v>
      </c>
      <c r="R871" s="296" t="s">
        <v>337</v>
      </c>
      <c r="S871" s="296" t="s">
        <v>185</v>
      </c>
      <c r="T871" s="296" t="s">
        <v>185</v>
      </c>
      <c r="U871" s="296" t="s">
        <v>186</v>
      </c>
      <c r="V871" s="296" t="s">
        <v>187</v>
      </c>
      <c r="W871" s="296" t="s">
        <v>188</v>
      </c>
      <c r="X871" s="296" t="s">
        <v>189</v>
      </c>
      <c r="Y871" s="296" t="s">
        <v>183</v>
      </c>
      <c r="Z871" s="296" t="s">
        <v>183</v>
      </c>
      <c r="AA871" s="296" t="s">
        <v>183</v>
      </c>
      <c r="AB871" s="296" t="s">
        <v>183</v>
      </c>
      <c r="AC871" s="296" t="s">
        <v>338</v>
      </c>
      <c r="AD871" s="296" t="s">
        <v>6747</v>
      </c>
      <c r="AE871" s="296" t="s">
        <v>192</v>
      </c>
      <c r="AF871" s="296" t="s">
        <v>193</v>
      </c>
      <c r="AG871" s="296">
        <v>0</v>
      </c>
      <c r="AH871" s="298">
        <v>40284</v>
      </c>
      <c r="AJ871" s="296" t="s">
        <v>194</v>
      </c>
      <c r="AK871" s="299">
        <f>COUNTIF($A$3:A$917,A871)</f>
        <v>3</v>
      </c>
    </row>
    <row r="872" spans="1:37" x14ac:dyDescent="0.25">
      <c r="A872" s="296">
        <v>3101074154</v>
      </c>
      <c r="B872" s="296" t="s">
        <v>6748</v>
      </c>
      <c r="C872" s="296" t="s">
        <v>183</v>
      </c>
      <c r="D872" s="296" t="s">
        <v>183</v>
      </c>
      <c r="E872" s="296" t="s">
        <v>183</v>
      </c>
      <c r="F872" s="296" t="s">
        <v>6749</v>
      </c>
      <c r="G872" s="296" t="s">
        <v>6750</v>
      </c>
      <c r="H872" s="296" t="s">
        <v>6751</v>
      </c>
      <c r="I872" s="296" t="s">
        <v>6745</v>
      </c>
      <c r="J872" s="296" t="s">
        <v>6752</v>
      </c>
      <c r="K872" s="296" t="s">
        <v>6753</v>
      </c>
      <c r="L872" s="296" t="s">
        <v>6754</v>
      </c>
      <c r="M872" s="296" t="s">
        <v>179</v>
      </c>
      <c r="N872" s="296" t="s">
        <v>604</v>
      </c>
      <c r="O872" s="296" t="s">
        <v>6755</v>
      </c>
      <c r="P872" s="296" t="s">
        <v>605</v>
      </c>
      <c r="Q872" s="296" t="s">
        <v>183</v>
      </c>
      <c r="R872" s="296" t="s">
        <v>6756</v>
      </c>
      <c r="S872" s="296" t="s">
        <v>185</v>
      </c>
      <c r="T872" s="296" t="s">
        <v>185</v>
      </c>
      <c r="U872" s="296" t="s">
        <v>186</v>
      </c>
      <c r="V872" s="296" t="s">
        <v>187</v>
      </c>
      <c r="W872" s="296" t="s">
        <v>188</v>
      </c>
      <c r="X872" s="296" t="s">
        <v>189</v>
      </c>
      <c r="Y872" s="296" t="s">
        <v>183</v>
      </c>
      <c r="Z872" s="296" t="s">
        <v>183</v>
      </c>
      <c r="AA872" s="296" t="s">
        <v>183</v>
      </c>
      <c r="AB872" s="296" t="s">
        <v>183</v>
      </c>
      <c r="AC872" s="296" t="s">
        <v>6757</v>
      </c>
      <c r="AD872" s="296" t="s">
        <v>6758</v>
      </c>
      <c r="AE872" s="296" t="s">
        <v>192</v>
      </c>
      <c r="AF872" s="296" t="s">
        <v>193</v>
      </c>
      <c r="AG872" s="296">
        <v>0</v>
      </c>
      <c r="AH872" s="298">
        <v>38491</v>
      </c>
      <c r="AJ872" s="296" t="s">
        <v>194</v>
      </c>
      <c r="AK872" s="299">
        <f>COUNTIF($A$3:A$917,A872)</f>
        <v>2</v>
      </c>
    </row>
    <row r="873" spans="1:37" x14ac:dyDescent="0.25">
      <c r="A873" s="296">
        <v>3101074154</v>
      </c>
      <c r="B873" s="296" t="s">
        <v>6748</v>
      </c>
      <c r="C873" s="296" t="s">
        <v>183</v>
      </c>
      <c r="D873" s="296" t="s">
        <v>183</v>
      </c>
      <c r="E873" s="296" t="s">
        <v>183</v>
      </c>
      <c r="F873" s="296" t="s">
        <v>6749</v>
      </c>
      <c r="G873" s="296" t="s">
        <v>6750</v>
      </c>
      <c r="H873" s="296" t="s">
        <v>6751</v>
      </c>
      <c r="I873" s="296" t="s">
        <v>6745</v>
      </c>
      <c r="J873" s="296" t="s">
        <v>6759</v>
      </c>
      <c r="K873" s="296" t="s">
        <v>812</v>
      </c>
      <c r="L873" s="296" t="s">
        <v>813</v>
      </c>
      <c r="M873" s="296" t="s">
        <v>179</v>
      </c>
      <c r="N873" s="296" t="s">
        <v>604</v>
      </c>
      <c r="O873" s="296" t="s">
        <v>604</v>
      </c>
      <c r="P873" s="296" t="s">
        <v>605</v>
      </c>
      <c r="Q873" s="296" t="s">
        <v>183</v>
      </c>
      <c r="R873" s="296" t="s">
        <v>6760</v>
      </c>
      <c r="S873" s="296" t="s">
        <v>185</v>
      </c>
      <c r="T873" s="296" t="s">
        <v>185</v>
      </c>
      <c r="U873" s="296" t="s">
        <v>186</v>
      </c>
      <c r="V873" s="296" t="s">
        <v>187</v>
      </c>
      <c r="W873" s="296" t="s">
        <v>188</v>
      </c>
      <c r="X873" s="296" t="s">
        <v>189</v>
      </c>
      <c r="Y873" s="296" t="s">
        <v>183</v>
      </c>
      <c r="Z873" s="296" t="s">
        <v>183</v>
      </c>
      <c r="AA873" s="296" t="s">
        <v>183</v>
      </c>
      <c r="AB873" s="296" t="s">
        <v>183</v>
      </c>
      <c r="AC873" s="296" t="s">
        <v>6761</v>
      </c>
      <c r="AD873" s="296" t="s">
        <v>6762</v>
      </c>
      <c r="AE873" s="296" t="s">
        <v>192</v>
      </c>
      <c r="AF873" s="296" t="s">
        <v>193</v>
      </c>
      <c r="AG873" s="296">
        <v>0</v>
      </c>
      <c r="AH873" s="298">
        <v>38491</v>
      </c>
      <c r="AJ873" s="296" t="s">
        <v>194</v>
      </c>
      <c r="AK873" s="299">
        <f>COUNTIF($A$3:A$917,A873)</f>
        <v>2</v>
      </c>
    </row>
    <row r="874" spans="1:37" x14ac:dyDescent="0.25">
      <c r="A874" s="296">
        <v>603930307</v>
      </c>
      <c r="B874" s="296" t="s">
        <v>6463</v>
      </c>
      <c r="C874" s="296" t="s">
        <v>183</v>
      </c>
      <c r="D874" s="296" t="s">
        <v>183</v>
      </c>
      <c r="E874" s="296" t="s">
        <v>183</v>
      </c>
      <c r="F874" s="296" t="s">
        <v>6464</v>
      </c>
      <c r="G874" s="296" t="s">
        <v>183</v>
      </c>
      <c r="H874" s="296" t="s">
        <v>6465</v>
      </c>
      <c r="I874" s="296" t="s">
        <v>6763</v>
      </c>
      <c r="J874" s="296" t="s">
        <v>6467</v>
      </c>
      <c r="K874" s="296" t="s">
        <v>6468</v>
      </c>
      <c r="L874" s="296" t="s">
        <v>6469</v>
      </c>
      <c r="M874" s="296" t="s">
        <v>179</v>
      </c>
      <c r="N874" s="296" t="s">
        <v>6470</v>
      </c>
      <c r="O874" s="296" t="s">
        <v>6470</v>
      </c>
      <c r="P874" s="296" t="s">
        <v>6471</v>
      </c>
      <c r="Q874" s="296" t="s">
        <v>183</v>
      </c>
      <c r="R874" s="296" t="s">
        <v>6472</v>
      </c>
      <c r="S874" s="296" t="s">
        <v>185</v>
      </c>
      <c r="T874" s="296" t="s">
        <v>185</v>
      </c>
      <c r="U874" s="296" t="s">
        <v>186</v>
      </c>
      <c r="V874" s="296" t="s">
        <v>187</v>
      </c>
      <c r="W874" s="296" t="s">
        <v>188</v>
      </c>
      <c r="X874" s="296" t="s">
        <v>189</v>
      </c>
      <c r="Y874" s="296" t="s">
        <v>183</v>
      </c>
      <c r="Z874" s="296" t="s">
        <v>183</v>
      </c>
      <c r="AA874" s="296" t="s">
        <v>183</v>
      </c>
      <c r="AB874" s="296" t="s">
        <v>183</v>
      </c>
      <c r="AC874" s="296" t="s">
        <v>6473</v>
      </c>
      <c r="AD874" s="296" t="s">
        <v>6764</v>
      </c>
      <c r="AE874" s="296" t="s">
        <v>192</v>
      </c>
      <c r="AF874" s="296" t="s">
        <v>193</v>
      </c>
      <c r="AG874" s="296">
        <v>0</v>
      </c>
      <c r="AH874" s="298">
        <v>43276</v>
      </c>
      <c r="AJ874" s="296" t="s">
        <v>194</v>
      </c>
      <c r="AK874" s="299">
        <f>COUNTIF($A$3:A$917,A874)</f>
        <v>2</v>
      </c>
    </row>
    <row r="875" spans="1:37" x14ac:dyDescent="0.25">
      <c r="A875" s="296">
        <v>203290806</v>
      </c>
      <c r="B875" s="296" t="s">
        <v>6765</v>
      </c>
      <c r="C875" s="296" t="s">
        <v>183</v>
      </c>
      <c r="D875" s="296" t="s">
        <v>183</v>
      </c>
      <c r="E875" s="296" t="s">
        <v>183</v>
      </c>
      <c r="F875" s="296" t="s">
        <v>1653</v>
      </c>
      <c r="G875" s="296" t="s">
        <v>1653</v>
      </c>
      <c r="H875" s="296" t="s">
        <v>6766</v>
      </c>
      <c r="I875" s="296" t="s">
        <v>6763</v>
      </c>
      <c r="J875" s="296" t="s">
        <v>6767</v>
      </c>
      <c r="K875" s="296" t="s">
        <v>6768</v>
      </c>
      <c r="L875" s="296" t="s">
        <v>6765</v>
      </c>
      <c r="M875" s="296" t="s">
        <v>179</v>
      </c>
      <c r="N875" s="296" t="s">
        <v>1653</v>
      </c>
      <c r="O875" s="296" t="s">
        <v>1653</v>
      </c>
      <c r="P875" s="296" t="s">
        <v>6766</v>
      </c>
      <c r="Q875" s="296" t="s">
        <v>183</v>
      </c>
      <c r="R875" s="296" t="s">
        <v>6769</v>
      </c>
      <c r="S875" s="296" t="s">
        <v>185</v>
      </c>
      <c r="T875" s="296" t="s">
        <v>185</v>
      </c>
      <c r="U875" s="296" t="s">
        <v>186</v>
      </c>
      <c r="V875" s="296" t="s">
        <v>187</v>
      </c>
      <c r="W875" s="296" t="s">
        <v>188</v>
      </c>
      <c r="X875" s="296" t="s">
        <v>189</v>
      </c>
      <c r="Y875" s="296" t="s">
        <v>183</v>
      </c>
      <c r="Z875" s="296" t="s">
        <v>183</v>
      </c>
      <c r="AA875" s="296" t="s">
        <v>183</v>
      </c>
      <c r="AB875" s="296" t="s">
        <v>183</v>
      </c>
      <c r="AC875" s="296" t="s">
        <v>6770</v>
      </c>
      <c r="AD875" s="296" t="s">
        <v>6771</v>
      </c>
      <c r="AE875" s="296" t="s">
        <v>192</v>
      </c>
      <c r="AF875" s="296" t="s">
        <v>193</v>
      </c>
      <c r="AG875" s="296">
        <v>0</v>
      </c>
      <c r="AH875" s="298">
        <v>41830</v>
      </c>
      <c r="AJ875" s="296" t="s">
        <v>194</v>
      </c>
      <c r="AK875" s="299">
        <f>COUNTIF($A$3:A$917,A875)</f>
        <v>1</v>
      </c>
    </row>
    <row r="876" spans="1:37" x14ac:dyDescent="0.25">
      <c r="A876" s="296">
        <v>3101722970</v>
      </c>
      <c r="B876" s="296" t="s">
        <v>169</v>
      </c>
      <c r="C876" s="296" t="s">
        <v>170</v>
      </c>
      <c r="D876" s="296" t="s">
        <v>171</v>
      </c>
      <c r="E876" s="296" t="s">
        <v>172</v>
      </c>
      <c r="F876" s="296" t="s">
        <v>173</v>
      </c>
      <c r="G876" s="296" t="s">
        <v>173</v>
      </c>
      <c r="H876" s="296" t="s">
        <v>174</v>
      </c>
      <c r="I876" s="296" t="s">
        <v>6772</v>
      </c>
      <c r="J876" s="296" t="s">
        <v>6773</v>
      </c>
      <c r="K876" s="296" t="s">
        <v>177</v>
      </c>
      <c r="L876" s="296" t="s">
        <v>178</v>
      </c>
      <c r="M876" s="296" t="s">
        <v>179</v>
      </c>
      <c r="N876" s="296" t="s">
        <v>180</v>
      </c>
      <c r="O876" s="296" t="s">
        <v>181</v>
      </c>
      <c r="P876" s="296" t="s">
        <v>182</v>
      </c>
      <c r="Q876" s="296" t="s">
        <v>183</v>
      </c>
      <c r="R876" s="296" t="s">
        <v>184</v>
      </c>
      <c r="S876" s="296" t="s">
        <v>185</v>
      </c>
      <c r="T876" s="296" t="s">
        <v>185</v>
      </c>
      <c r="U876" s="296" t="s">
        <v>186</v>
      </c>
      <c r="V876" s="296" t="s">
        <v>187</v>
      </c>
      <c r="W876" s="296" t="s">
        <v>188</v>
      </c>
      <c r="X876" s="296" t="s">
        <v>189</v>
      </c>
      <c r="Y876" s="296" t="s">
        <v>183</v>
      </c>
      <c r="Z876" s="296" t="s">
        <v>183</v>
      </c>
      <c r="AA876" s="296" t="s">
        <v>183</v>
      </c>
      <c r="AB876" s="296" t="s">
        <v>183</v>
      </c>
      <c r="AC876" s="296" t="s">
        <v>190</v>
      </c>
      <c r="AD876" s="296" t="s">
        <v>6774</v>
      </c>
      <c r="AE876" s="296" t="s">
        <v>192</v>
      </c>
      <c r="AF876" s="296" t="s">
        <v>193</v>
      </c>
      <c r="AG876" s="296">
        <v>0</v>
      </c>
      <c r="AH876" s="298">
        <v>44699</v>
      </c>
      <c r="AJ876" s="296" t="s">
        <v>194</v>
      </c>
      <c r="AK876" s="299">
        <f>COUNTIF($A$3:A$917,A876)</f>
        <v>2</v>
      </c>
    </row>
    <row r="877" spans="1:37" x14ac:dyDescent="0.25">
      <c r="A877" s="296">
        <v>502290442</v>
      </c>
      <c r="B877" s="296" t="s">
        <v>1874</v>
      </c>
      <c r="C877" s="296" t="s">
        <v>183</v>
      </c>
      <c r="D877" s="296" t="s">
        <v>183</v>
      </c>
      <c r="E877" s="296" t="s">
        <v>183</v>
      </c>
      <c r="F877" s="296" t="s">
        <v>1670</v>
      </c>
      <c r="G877" s="296" t="s">
        <v>1875</v>
      </c>
      <c r="H877" s="296" t="s">
        <v>1876</v>
      </c>
      <c r="I877" s="296" t="s">
        <v>6772</v>
      </c>
      <c r="J877" s="296" t="s">
        <v>1877</v>
      </c>
      <c r="K877" s="296" t="s">
        <v>1878</v>
      </c>
      <c r="L877" s="296" t="s">
        <v>1879</v>
      </c>
      <c r="M877" s="296" t="s">
        <v>179</v>
      </c>
      <c r="N877" s="296" t="s">
        <v>1670</v>
      </c>
      <c r="O877" s="296" t="s">
        <v>183</v>
      </c>
      <c r="P877" s="296" t="s">
        <v>1876</v>
      </c>
      <c r="Q877" s="296" t="s">
        <v>183</v>
      </c>
      <c r="R877" s="296" t="s">
        <v>1880</v>
      </c>
      <c r="S877" s="296" t="s">
        <v>185</v>
      </c>
      <c r="T877" s="296" t="s">
        <v>185</v>
      </c>
      <c r="U877" s="296" t="s">
        <v>186</v>
      </c>
      <c r="V877" s="296" t="s">
        <v>187</v>
      </c>
      <c r="W877" s="296" t="s">
        <v>188</v>
      </c>
      <c r="X877" s="296" t="s">
        <v>256</v>
      </c>
      <c r="Y877" s="296" t="s">
        <v>183</v>
      </c>
      <c r="Z877" s="296" t="s">
        <v>183</v>
      </c>
      <c r="AA877" s="296" t="s">
        <v>183</v>
      </c>
      <c r="AB877" s="296" t="s">
        <v>183</v>
      </c>
      <c r="AC877" s="296" t="s">
        <v>1881</v>
      </c>
      <c r="AD877" s="296" t="s">
        <v>6775</v>
      </c>
      <c r="AE877" s="296" t="s">
        <v>192</v>
      </c>
      <c r="AF877" s="296" t="s">
        <v>193</v>
      </c>
      <c r="AG877" s="296">
        <v>0</v>
      </c>
      <c r="AH877" s="298">
        <v>44867</v>
      </c>
      <c r="AJ877" s="296" t="s">
        <v>194</v>
      </c>
      <c r="AK877" s="299">
        <f>COUNTIF($A$3:A$917,A877)</f>
        <v>2</v>
      </c>
    </row>
    <row r="878" spans="1:37" x14ac:dyDescent="0.25">
      <c r="A878" s="296">
        <v>207600294</v>
      </c>
      <c r="B878" s="296" t="s">
        <v>6776</v>
      </c>
      <c r="C878" s="296" t="s">
        <v>183</v>
      </c>
      <c r="D878" s="296" t="s">
        <v>183</v>
      </c>
      <c r="E878" s="296" t="s">
        <v>183</v>
      </c>
      <c r="F878" s="296" t="s">
        <v>6777</v>
      </c>
      <c r="G878" s="296" t="s">
        <v>183</v>
      </c>
      <c r="H878" s="296" t="s">
        <v>6778</v>
      </c>
      <c r="I878" s="296" t="s">
        <v>6779</v>
      </c>
      <c r="J878" s="296" t="s">
        <v>6780</v>
      </c>
      <c r="K878" s="296" t="s">
        <v>6781</v>
      </c>
      <c r="L878" s="296" t="s">
        <v>6782</v>
      </c>
      <c r="M878" s="296" t="s">
        <v>179</v>
      </c>
      <c r="N878" s="296" t="s">
        <v>6783</v>
      </c>
      <c r="O878" s="296" t="s">
        <v>183</v>
      </c>
      <c r="P878" s="296" t="s">
        <v>6784</v>
      </c>
      <c r="Q878" s="296" t="s">
        <v>183</v>
      </c>
      <c r="R878" s="296" t="s">
        <v>6785</v>
      </c>
      <c r="S878" s="296" t="s">
        <v>185</v>
      </c>
      <c r="T878" s="296" t="s">
        <v>185</v>
      </c>
      <c r="U878" s="296" t="s">
        <v>186</v>
      </c>
      <c r="V878" s="296" t="s">
        <v>187</v>
      </c>
      <c r="W878" s="296" t="s">
        <v>188</v>
      </c>
      <c r="X878" s="296" t="s">
        <v>189</v>
      </c>
      <c r="Y878" s="296" t="s">
        <v>183</v>
      </c>
      <c r="Z878" s="296" t="s">
        <v>183</v>
      </c>
      <c r="AA878" s="296" t="s">
        <v>183</v>
      </c>
      <c r="AB878" s="296" t="s">
        <v>183</v>
      </c>
      <c r="AC878" s="296" t="s">
        <v>6786</v>
      </c>
      <c r="AD878" s="296" t="s">
        <v>6787</v>
      </c>
      <c r="AE878" s="296" t="s">
        <v>192</v>
      </c>
      <c r="AF878" s="296" t="s">
        <v>193</v>
      </c>
      <c r="AG878" s="296">
        <v>0</v>
      </c>
      <c r="AH878" s="298">
        <v>45345</v>
      </c>
      <c r="AJ878" s="296" t="s">
        <v>194</v>
      </c>
      <c r="AK878" s="299">
        <f>COUNTIF($A$3:A$917,A878)</f>
        <v>1</v>
      </c>
    </row>
    <row r="879" spans="1:37" x14ac:dyDescent="0.25">
      <c r="A879" s="296">
        <v>502570616</v>
      </c>
      <c r="B879" s="296" t="s">
        <v>6788</v>
      </c>
      <c r="C879" s="296" t="s">
        <v>183</v>
      </c>
      <c r="D879" s="296" t="s">
        <v>183</v>
      </c>
      <c r="E879" s="296" t="s">
        <v>183</v>
      </c>
      <c r="F879" s="296" t="s">
        <v>6789</v>
      </c>
      <c r="G879" s="296" t="s">
        <v>6790</v>
      </c>
      <c r="H879" s="296" t="s">
        <v>6791</v>
      </c>
      <c r="I879" s="296" t="s">
        <v>6792</v>
      </c>
      <c r="J879" s="296" t="s">
        <v>6793</v>
      </c>
      <c r="K879" s="296" t="s">
        <v>6794</v>
      </c>
      <c r="L879" s="296" t="s">
        <v>6788</v>
      </c>
      <c r="M879" s="296" t="s">
        <v>179</v>
      </c>
      <c r="N879" s="296" t="s">
        <v>6789</v>
      </c>
      <c r="O879" s="296" t="s">
        <v>6790</v>
      </c>
      <c r="P879" s="296" t="s">
        <v>6791</v>
      </c>
      <c r="Q879" s="296" t="s">
        <v>183</v>
      </c>
      <c r="R879" s="296" t="s">
        <v>6795</v>
      </c>
      <c r="S879" s="296" t="s">
        <v>185</v>
      </c>
      <c r="T879" s="296" t="s">
        <v>185</v>
      </c>
      <c r="U879" s="296" t="s">
        <v>186</v>
      </c>
      <c r="V879" s="296" t="s">
        <v>187</v>
      </c>
      <c r="W879" s="296" t="s">
        <v>188</v>
      </c>
      <c r="X879" s="296" t="s">
        <v>189</v>
      </c>
      <c r="Y879" s="296" t="s">
        <v>183</v>
      </c>
      <c r="Z879" s="296" t="s">
        <v>183</v>
      </c>
      <c r="AA879" s="296" t="s">
        <v>183</v>
      </c>
      <c r="AB879" s="296" t="s">
        <v>183</v>
      </c>
      <c r="AC879" s="296" t="s">
        <v>6796</v>
      </c>
      <c r="AD879" s="296" t="s">
        <v>6797</v>
      </c>
      <c r="AE879" s="296" t="s">
        <v>192</v>
      </c>
      <c r="AF879" s="296" t="s">
        <v>193</v>
      </c>
      <c r="AG879" s="296">
        <v>0</v>
      </c>
      <c r="AH879" s="298">
        <v>37993</v>
      </c>
      <c r="AJ879" s="296" t="s">
        <v>194</v>
      </c>
      <c r="AK879" s="299">
        <f>COUNTIF($A$3:A$917,A879)</f>
        <v>1</v>
      </c>
    </row>
    <row r="880" spans="1:37" x14ac:dyDescent="0.25">
      <c r="A880" s="296">
        <v>504280879</v>
      </c>
      <c r="B880" s="296" t="s">
        <v>6798</v>
      </c>
      <c r="C880" s="296" t="s">
        <v>183</v>
      </c>
      <c r="D880" s="296" t="s">
        <v>183</v>
      </c>
      <c r="E880" s="296" t="s">
        <v>183</v>
      </c>
      <c r="F880" s="296" t="s">
        <v>6799</v>
      </c>
      <c r="G880" s="296" t="s">
        <v>183</v>
      </c>
      <c r="H880" s="296" t="s">
        <v>2402</v>
      </c>
      <c r="I880" s="296" t="s">
        <v>6792</v>
      </c>
      <c r="J880" s="296" t="s">
        <v>6800</v>
      </c>
      <c r="K880" s="296" t="s">
        <v>2399</v>
      </c>
      <c r="L880" s="296" t="s">
        <v>2400</v>
      </c>
      <c r="M880" s="296" t="s">
        <v>179</v>
      </c>
      <c r="N880" s="296" t="s">
        <v>2401</v>
      </c>
      <c r="O880" s="296" t="s">
        <v>183</v>
      </c>
      <c r="P880" s="296" t="s">
        <v>2402</v>
      </c>
      <c r="Q880" s="296" t="s">
        <v>183</v>
      </c>
      <c r="R880" s="296" t="s">
        <v>2403</v>
      </c>
      <c r="S880" s="296" t="s">
        <v>1041</v>
      </c>
      <c r="T880" s="296" t="s">
        <v>185</v>
      </c>
      <c r="U880" s="296" t="s">
        <v>186</v>
      </c>
      <c r="V880" s="296" t="s">
        <v>187</v>
      </c>
      <c r="W880" s="296" t="s">
        <v>188</v>
      </c>
      <c r="X880" s="296" t="s">
        <v>189</v>
      </c>
      <c r="Y880" s="296" t="s">
        <v>183</v>
      </c>
      <c r="Z880" s="296" t="s">
        <v>183</v>
      </c>
      <c r="AA880" s="296" t="s">
        <v>183</v>
      </c>
      <c r="AB880" s="296" t="s">
        <v>183</v>
      </c>
      <c r="AC880" s="296" t="s">
        <v>2404</v>
      </c>
      <c r="AD880" s="296" t="s">
        <v>6801</v>
      </c>
      <c r="AE880" s="296" t="s">
        <v>192</v>
      </c>
      <c r="AF880" s="296" t="s">
        <v>193</v>
      </c>
      <c r="AG880" s="296">
        <v>0</v>
      </c>
      <c r="AH880" s="298">
        <v>45125</v>
      </c>
      <c r="AJ880" s="296" t="s">
        <v>194</v>
      </c>
      <c r="AK880" s="299">
        <f>COUNTIF($A$3:A$917,A880)</f>
        <v>1</v>
      </c>
    </row>
    <row r="881" spans="1:37" x14ac:dyDescent="0.25">
      <c r="A881" s="296">
        <v>3101590004</v>
      </c>
      <c r="B881" s="296" t="s">
        <v>330</v>
      </c>
      <c r="C881" s="296" t="s">
        <v>183</v>
      </c>
      <c r="D881" s="296" t="s">
        <v>183</v>
      </c>
      <c r="E881" s="296" t="s">
        <v>183</v>
      </c>
      <c r="F881" s="296" t="s">
        <v>331</v>
      </c>
      <c r="G881" s="296" t="s">
        <v>278</v>
      </c>
      <c r="H881" s="296" t="s">
        <v>332</v>
      </c>
      <c r="I881" s="296" t="s">
        <v>6802</v>
      </c>
      <c r="J881" s="296" t="s">
        <v>6803</v>
      </c>
      <c r="K881" s="296" t="s">
        <v>3347</v>
      </c>
      <c r="L881" s="296" t="s">
        <v>3348</v>
      </c>
      <c r="M881" s="296" t="s">
        <v>179</v>
      </c>
      <c r="N881" s="296" t="s">
        <v>3349</v>
      </c>
      <c r="O881" s="296" t="s">
        <v>3350</v>
      </c>
      <c r="P881" s="296" t="s">
        <v>3351</v>
      </c>
      <c r="Q881" s="296" t="s">
        <v>183</v>
      </c>
      <c r="R881" s="296" t="s">
        <v>3352</v>
      </c>
      <c r="S881" s="296" t="s">
        <v>185</v>
      </c>
      <c r="T881" s="296" t="s">
        <v>185</v>
      </c>
      <c r="U881" s="296" t="s">
        <v>186</v>
      </c>
      <c r="V881" s="296" t="s">
        <v>187</v>
      </c>
      <c r="W881" s="296" t="s">
        <v>188</v>
      </c>
      <c r="X881" s="296" t="s">
        <v>256</v>
      </c>
      <c r="Y881" s="296" t="s">
        <v>183</v>
      </c>
      <c r="Z881" s="296" t="s">
        <v>183</v>
      </c>
      <c r="AA881" s="296" t="s">
        <v>183</v>
      </c>
      <c r="AB881" s="296" t="s">
        <v>183</v>
      </c>
      <c r="AC881" s="296" t="s">
        <v>3353</v>
      </c>
      <c r="AD881" s="296" t="s">
        <v>6804</v>
      </c>
      <c r="AE881" s="296" t="s">
        <v>192</v>
      </c>
      <c r="AF881" s="296" t="s">
        <v>193</v>
      </c>
      <c r="AG881" s="296">
        <v>0</v>
      </c>
      <c r="AH881" s="298">
        <v>44151</v>
      </c>
      <c r="AJ881" s="296" t="s">
        <v>194</v>
      </c>
      <c r="AK881" s="299">
        <f>COUNTIF($A$3:A$917,A881)</f>
        <v>3</v>
      </c>
    </row>
    <row r="882" spans="1:37" x14ac:dyDescent="0.25">
      <c r="A882" s="296">
        <v>702390086</v>
      </c>
      <c r="B882" s="296" t="s">
        <v>6805</v>
      </c>
      <c r="C882" s="296" t="s">
        <v>183</v>
      </c>
      <c r="D882" s="296" t="s">
        <v>183</v>
      </c>
      <c r="E882" s="296" t="s">
        <v>183</v>
      </c>
      <c r="F882" s="296" t="s">
        <v>6806</v>
      </c>
      <c r="G882" s="296" t="s">
        <v>6806</v>
      </c>
      <c r="H882" s="296" t="s">
        <v>6807</v>
      </c>
      <c r="I882" s="296" t="s">
        <v>6802</v>
      </c>
      <c r="J882" s="296" t="s">
        <v>6808</v>
      </c>
      <c r="K882" s="296" t="s">
        <v>6809</v>
      </c>
      <c r="L882" s="296" t="s">
        <v>6805</v>
      </c>
      <c r="M882" s="296" t="s">
        <v>179</v>
      </c>
      <c r="N882" s="296" t="s">
        <v>6806</v>
      </c>
      <c r="O882" s="296" t="s">
        <v>6806</v>
      </c>
      <c r="P882" s="296" t="s">
        <v>6807</v>
      </c>
      <c r="Q882" s="296" t="s">
        <v>183</v>
      </c>
      <c r="R882" s="296" t="s">
        <v>6810</v>
      </c>
      <c r="S882" s="296" t="s">
        <v>185</v>
      </c>
      <c r="T882" s="296" t="s">
        <v>185</v>
      </c>
      <c r="U882" s="296" t="s">
        <v>186</v>
      </c>
      <c r="V882" s="296" t="s">
        <v>187</v>
      </c>
      <c r="W882" s="296" t="s">
        <v>188</v>
      </c>
      <c r="X882" s="296" t="s">
        <v>189</v>
      </c>
      <c r="Y882" s="296" t="s">
        <v>183</v>
      </c>
      <c r="Z882" s="296" t="s">
        <v>183</v>
      </c>
      <c r="AA882" s="296" t="s">
        <v>183</v>
      </c>
      <c r="AB882" s="296" t="s">
        <v>183</v>
      </c>
      <c r="AC882" s="296" t="s">
        <v>6811</v>
      </c>
      <c r="AD882" s="296" t="s">
        <v>6812</v>
      </c>
      <c r="AE882" s="296" t="s">
        <v>192</v>
      </c>
      <c r="AF882" s="296" t="s">
        <v>193</v>
      </c>
      <c r="AG882" s="296">
        <v>20101</v>
      </c>
      <c r="AH882" s="298">
        <v>42738</v>
      </c>
      <c r="AJ882" s="296" t="s">
        <v>194</v>
      </c>
      <c r="AK882" s="299">
        <f>COUNTIF($A$3:A$917,A882)</f>
        <v>1</v>
      </c>
    </row>
    <row r="883" spans="1:37" x14ac:dyDescent="0.25">
      <c r="A883" s="296">
        <v>502390248</v>
      </c>
      <c r="B883" s="296" t="s">
        <v>2545</v>
      </c>
      <c r="C883" s="296" t="s">
        <v>183</v>
      </c>
      <c r="D883" s="296" t="s">
        <v>183</v>
      </c>
      <c r="E883" s="296" t="s">
        <v>183</v>
      </c>
      <c r="F883" s="296" t="s">
        <v>2546</v>
      </c>
      <c r="G883" s="296" t="s">
        <v>2547</v>
      </c>
      <c r="H883" s="296" t="s">
        <v>2548</v>
      </c>
      <c r="I883" s="296" t="s">
        <v>6802</v>
      </c>
      <c r="J883" s="296" t="s">
        <v>2549</v>
      </c>
      <c r="K883" s="296" t="s">
        <v>1085</v>
      </c>
      <c r="L883" s="296" t="s">
        <v>1086</v>
      </c>
      <c r="M883" s="296" t="s">
        <v>179</v>
      </c>
      <c r="N883" s="296" t="s">
        <v>1087</v>
      </c>
      <c r="O883" s="296" t="s">
        <v>1088</v>
      </c>
      <c r="P883" s="296" t="s">
        <v>1089</v>
      </c>
      <c r="Q883" s="296" t="s">
        <v>183</v>
      </c>
      <c r="R883" s="296" t="s">
        <v>1090</v>
      </c>
      <c r="S883" s="296" t="s">
        <v>185</v>
      </c>
      <c r="T883" s="296" t="s">
        <v>185</v>
      </c>
      <c r="U883" s="296" t="s">
        <v>186</v>
      </c>
      <c r="V883" s="296" t="s">
        <v>187</v>
      </c>
      <c r="W883" s="296" t="s">
        <v>188</v>
      </c>
      <c r="X883" s="296" t="s">
        <v>189</v>
      </c>
      <c r="Y883" s="296" t="s">
        <v>183</v>
      </c>
      <c r="Z883" s="296" t="s">
        <v>183</v>
      </c>
      <c r="AA883" s="296" t="s">
        <v>183</v>
      </c>
      <c r="AB883" s="296" t="s">
        <v>183</v>
      </c>
      <c r="AC883" s="296" t="s">
        <v>1091</v>
      </c>
      <c r="AD883" s="296" t="s">
        <v>6813</v>
      </c>
      <c r="AE883" s="296" t="s">
        <v>192</v>
      </c>
      <c r="AF883" s="296" t="s">
        <v>193</v>
      </c>
      <c r="AG883" s="296">
        <v>0</v>
      </c>
      <c r="AH883" s="298">
        <v>43418</v>
      </c>
      <c r="AJ883" s="296" t="s">
        <v>194</v>
      </c>
      <c r="AK883" s="299">
        <f>COUNTIF($A$3:A$917,A883)</f>
        <v>2</v>
      </c>
    </row>
    <row r="884" spans="1:37" x14ac:dyDescent="0.25">
      <c r="A884" s="296">
        <v>602000149</v>
      </c>
      <c r="B884" s="296" t="s">
        <v>3013</v>
      </c>
      <c r="C884" s="296" t="s">
        <v>183</v>
      </c>
      <c r="D884" s="296" t="s">
        <v>183</v>
      </c>
      <c r="E884" s="296" t="s">
        <v>183</v>
      </c>
      <c r="F884" s="296" t="s">
        <v>3014</v>
      </c>
      <c r="G884" s="296" t="s">
        <v>3015</v>
      </c>
      <c r="H884" s="296" t="s">
        <v>3016</v>
      </c>
      <c r="I884" s="296" t="s">
        <v>6814</v>
      </c>
      <c r="J884" s="296" t="s">
        <v>3017</v>
      </c>
      <c r="K884" s="296" t="s">
        <v>3018</v>
      </c>
      <c r="L884" s="296" t="s">
        <v>3019</v>
      </c>
      <c r="M884" s="296" t="s">
        <v>179</v>
      </c>
      <c r="N884" s="296" t="s">
        <v>3014</v>
      </c>
      <c r="O884" s="296" t="s">
        <v>3015</v>
      </c>
      <c r="P884" s="296" t="s">
        <v>3016</v>
      </c>
      <c r="Q884" s="296" t="s">
        <v>183</v>
      </c>
      <c r="R884" s="296" t="s">
        <v>3020</v>
      </c>
      <c r="S884" s="296" t="s">
        <v>185</v>
      </c>
      <c r="T884" s="296" t="s">
        <v>185</v>
      </c>
      <c r="U884" s="296" t="s">
        <v>186</v>
      </c>
      <c r="V884" s="296" t="s">
        <v>187</v>
      </c>
      <c r="W884" s="296" t="s">
        <v>188</v>
      </c>
      <c r="X884" s="296" t="s">
        <v>189</v>
      </c>
      <c r="Y884" s="296" t="s">
        <v>183</v>
      </c>
      <c r="Z884" s="296" t="s">
        <v>183</v>
      </c>
      <c r="AA884" s="296" t="s">
        <v>183</v>
      </c>
      <c r="AB884" s="296" t="s">
        <v>183</v>
      </c>
      <c r="AC884" s="296" t="s">
        <v>3021</v>
      </c>
      <c r="AD884" s="296" t="s">
        <v>6815</v>
      </c>
      <c r="AE884" s="296" t="s">
        <v>192</v>
      </c>
      <c r="AF884" s="296" t="s">
        <v>193</v>
      </c>
      <c r="AG884" s="296">
        <v>0</v>
      </c>
      <c r="AH884" s="298">
        <v>40681</v>
      </c>
      <c r="AJ884" s="296" t="s">
        <v>194</v>
      </c>
      <c r="AK884" s="299">
        <f>COUNTIF($A$3:A$917,A884)</f>
        <v>2</v>
      </c>
    </row>
    <row r="885" spans="1:37" x14ac:dyDescent="0.25">
      <c r="A885" s="296">
        <v>500910298</v>
      </c>
      <c r="B885" s="296" t="s">
        <v>6816</v>
      </c>
      <c r="C885" s="296" t="s">
        <v>183</v>
      </c>
      <c r="D885" s="296" t="s">
        <v>183</v>
      </c>
      <c r="E885" s="296" t="s">
        <v>183</v>
      </c>
      <c r="F885" s="296" t="s">
        <v>6817</v>
      </c>
      <c r="G885" s="296" t="s">
        <v>6818</v>
      </c>
      <c r="H885" s="296" t="s">
        <v>6819</v>
      </c>
      <c r="I885" s="296" t="s">
        <v>6820</v>
      </c>
      <c r="J885" s="296" t="s">
        <v>6821</v>
      </c>
      <c r="K885" s="296" t="s">
        <v>6822</v>
      </c>
      <c r="L885" s="296" t="s">
        <v>6823</v>
      </c>
      <c r="M885" s="296" t="s">
        <v>179</v>
      </c>
      <c r="N885" s="296" t="s">
        <v>6817</v>
      </c>
      <c r="O885" s="296" t="s">
        <v>183</v>
      </c>
      <c r="P885" s="296" t="s">
        <v>6819</v>
      </c>
      <c r="Q885" s="296" t="s">
        <v>183</v>
      </c>
      <c r="R885" s="296" t="s">
        <v>6824</v>
      </c>
      <c r="S885" s="296" t="s">
        <v>194</v>
      </c>
      <c r="T885" s="296" t="s">
        <v>185</v>
      </c>
      <c r="U885" s="296" t="s">
        <v>186</v>
      </c>
      <c r="V885" s="296" t="s">
        <v>187</v>
      </c>
      <c r="W885" s="296" t="s">
        <v>188</v>
      </c>
      <c r="X885" s="296" t="s">
        <v>189</v>
      </c>
      <c r="Y885" s="296" t="s">
        <v>183</v>
      </c>
      <c r="Z885" s="296" t="s">
        <v>183</v>
      </c>
      <c r="AA885" s="296" t="s">
        <v>183</v>
      </c>
      <c r="AB885" s="296" t="s">
        <v>183</v>
      </c>
      <c r="AC885" s="296" t="s">
        <v>6825</v>
      </c>
      <c r="AD885" s="296" t="s">
        <v>6826</v>
      </c>
      <c r="AE885" s="296" t="s">
        <v>192</v>
      </c>
      <c r="AF885" s="296" t="s">
        <v>193</v>
      </c>
      <c r="AG885" s="296">
        <v>0</v>
      </c>
      <c r="AH885" s="298">
        <v>44511</v>
      </c>
      <c r="AJ885" s="296" t="s">
        <v>194</v>
      </c>
      <c r="AK885" s="299">
        <f>COUNTIF($A$3:A$917,A885)</f>
        <v>1</v>
      </c>
    </row>
    <row r="886" spans="1:37" x14ac:dyDescent="0.25">
      <c r="A886" s="296">
        <v>504030176</v>
      </c>
      <c r="B886" s="296" t="s">
        <v>6827</v>
      </c>
      <c r="C886" s="296" t="s">
        <v>183</v>
      </c>
      <c r="D886" s="296" t="s">
        <v>183</v>
      </c>
      <c r="E886" s="296" t="s">
        <v>183</v>
      </c>
      <c r="F886" s="296" t="s">
        <v>6828</v>
      </c>
      <c r="G886" s="296" t="s">
        <v>183</v>
      </c>
      <c r="H886" s="296" t="s">
        <v>6829</v>
      </c>
      <c r="I886" s="296" t="s">
        <v>6830</v>
      </c>
      <c r="J886" s="296" t="s">
        <v>6831</v>
      </c>
      <c r="K886" s="296" t="s">
        <v>602</v>
      </c>
      <c r="L886" s="296" t="s">
        <v>603</v>
      </c>
      <c r="M886" s="296" t="s">
        <v>179</v>
      </c>
      <c r="N886" s="296" t="s">
        <v>604</v>
      </c>
      <c r="O886" s="296" t="s">
        <v>604</v>
      </c>
      <c r="P886" s="296" t="s">
        <v>605</v>
      </c>
      <c r="Q886" s="296" t="s">
        <v>183</v>
      </c>
      <c r="R886" s="296" t="s">
        <v>1281</v>
      </c>
      <c r="S886" s="296" t="s">
        <v>185</v>
      </c>
      <c r="T886" s="296" t="s">
        <v>185</v>
      </c>
      <c r="U886" s="296" t="s">
        <v>186</v>
      </c>
      <c r="V886" s="296" t="s">
        <v>187</v>
      </c>
      <c r="W886" s="296" t="s">
        <v>188</v>
      </c>
      <c r="X886" s="296" t="s">
        <v>189</v>
      </c>
      <c r="Y886" s="296" t="s">
        <v>183</v>
      </c>
      <c r="Z886" s="296" t="s">
        <v>183</v>
      </c>
      <c r="AA886" s="296" t="s">
        <v>183</v>
      </c>
      <c r="AB886" s="296" t="s">
        <v>183</v>
      </c>
      <c r="AC886" s="296" t="s">
        <v>1282</v>
      </c>
      <c r="AD886" s="296" t="s">
        <v>6832</v>
      </c>
      <c r="AE886" s="296" t="s">
        <v>192</v>
      </c>
      <c r="AF886" s="296" t="s">
        <v>193</v>
      </c>
      <c r="AG886" s="296">
        <v>0</v>
      </c>
      <c r="AH886" s="298">
        <v>45365</v>
      </c>
      <c r="AJ886" s="296" t="s">
        <v>194</v>
      </c>
      <c r="AK886" s="299">
        <f>COUNTIF($A$3:A$917,A886)</f>
        <v>1</v>
      </c>
    </row>
    <row r="887" spans="1:37" x14ac:dyDescent="0.25">
      <c r="A887" s="296">
        <v>504500766</v>
      </c>
      <c r="B887" s="296" t="s">
        <v>6833</v>
      </c>
      <c r="C887" s="296" t="s">
        <v>183</v>
      </c>
      <c r="D887" s="296" t="s">
        <v>183</v>
      </c>
      <c r="E887" s="296" t="s">
        <v>183</v>
      </c>
      <c r="F887" s="296" t="s">
        <v>6834</v>
      </c>
      <c r="G887" s="296" t="s">
        <v>183</v>
      </c>
      <c r="H887" s="296" t="s">
        <v>6835</v>
      </c>
      <c r="I887" s="296" t="s">
        <v>6830</v>
      </c>
      <c r="J887" s="296" t="s">
        <v>6836</v>
      </c>
      <c r="K887" s="296" t="s">
        <v>183</v>
      </c>
      <c r="L887" s="296" t="s">
        <v>183</v>
      </c>
      <c r="M887" s="296" t="s">
        <v>183</v>
      </c>
      <c r="N887" s="296" t="s">
        <v>4046</v>
      </c>
      <c r="O887" s="296" t="s">
        <v>183</v>
      </c>
      <c r="P887" s="296" t="s">
        <v>183</v>
      </c>
      <c r="Q887" s="296" t="s">
        <v>183</v>
      </c>
      <c r="R887" s="296" t="s">
        <v>183</v>
      </c>
      <c r="S887" s="296" t="s">
        <v>183</v>
      </c>
      <c r="T887" s="296" t="s">
        <v>183</v>
      </c>
      <c r="U887" s="296" t="s">
        <v>183</v>
      </c>
      <c r="V887" s="296" t="s">
        <v>183</v>
      </c>
      <c r="W887" s="296" t="s">
        <v>183</v>
      </c>
      <c r="X887" s="296" t="s">
        <v>183</v>
      </c>
      <c r="Y887" s="296" t="s">
        <v>183</v>
      </c>
      <c r="Z887" s="296" t="s">
        <v>183</v>
      </c>
      <c r="AA887" s="296" t="s">
        <v>183</v>
      </c>
      <c r="AB887" s="296" t="s">
        <v>183</v>
      </c>
      <c r="AC887" s="296" t="s">
        <v>183</v>
      </c>
      <c r="AD887" s="296" t="s">
        <v>6837</v>
      </c>
      <c r="AE887" s="296" t="s">
        <v>192</v>
      </c>
      <c r="AF887" s="296" t="s">
        <v>193</v>
      </c>
      <c r="AG887" s="296">
        <v>0</v>
      </c>
      <c r="AH887" s="298">
        <v>44848</v>
      </c>
      <c r="AJ887" s="296" t="s">
        <v>194</v>
      </c>
      <c r="AK887" s="299">
        <f>COUNTIF($A$3:A$917,A887)</f>
        <v>1</v>
      </c>
    </row>
    <row r="888" spans="1:37" x14ac:dyDescent="0.25">
      <c r="A888" s="296">
        <v>502180744</v>
      </c>
      <c r="B888" s="296" t="s">
        <v>6838</v>
      </c>
      <c r="C888" s="296" t="s">
        <v>183</v>
      </c>
      <c r="D888" s="296" t="s">
        <v>183</v>
      </c>
      <c r="E888" s="296" t="s">
        <v>183</v>
      </c>
      <c r="F888" s="296" t="s">
        <v>6839</v>
      </c>
      <c r="G888" s="296" t="s">
        <v>6840</v>
      </c>
      <c r="H888" s="296" t="s">
        <v>6841</v>
      </c>
      <c r="I888" s="296" t="s">
        <v>6830</v>
      </c>
      <c r="J888" s="296" t="s">
        <v>6842</v>
      </c>
      <c r="K888" s="296" t="s">
        <v>6223</v>
      </c>
      <c r="L888" s="296" t="s">
        <v>6224</v>
      </c>
      <c r="M888" s="296" t="s">
        <v>179</v>
      </c>
      <c r="N888" s="296" t="s">
        <v>6225</v>
      </c>
      <c r="O888" s="296" t="s">
        <v>6225</v>
      </c>
      <c r="P888" s="296" t="s">
        <v>6226</v>
      </c>
      <c r="Q888" s="296" t="s">
        <v>183</v>
      </c>
      <c r="R888" s="296" t="s">
        <v>6227</v>
      </c>
      <c r="S888" s="296" t="s">
        <v>194</v>
      </c>
      <c r="T888" s="296" t="s">
        <v>185</v>
      </c>
      <c r="U888" s="296" t="s">
        <v>186</v>
      </c>
      <c r="V888" s="296" t="s">
        <v>187</v>
      </c>
      <c r="W888" s="296" t="s">
        <v>188</v>
      </c>
      <c r="X888" s="296" t="s">
        <v>189</v>
      </c>
      <c r="Y888" s="296" t="s">
        <v>183</v>
      </c>
      <c r="Z888" s="296" t="s">
        <v>183</v>
      </c>
      <c r="AA888" s="296" t="s">
        <v>183</v>
      </c>
      <c r="AB888" s="296" t="s">
        <v>183</v>
      </c>
      <c r="AC888" s="296" t="s">
        <v>6228</v>
      </c>
      <c r="AD888" s="296" t="s">
        <v>6843</v>
      </c>
      <c r="AE888" s="296" t="s">
        <v>192</v>
      </c>
      <c r="AF888" s="296" t="s">
        <v>193</v>
      </c>
      <c r="AG888" s="296">
        <v>0</v>
      </c>
      <c r="AH888" s="298">
        <v>38632</v>
      </c>
      <c r="AJ888" s="296" t="s">
        <v>194</v>
      </c>
      <c r="AK888" s="299">
        <f>COUNTIF($A$3:A$917,A888)</f>
        <v>1</v>
      </c>
    </row>
    <row r="889" spans="1:37" x14ac:dyDescent="0.25">
      <c r="A889" s="296">
        <v>502310490</v>
      </c>
      <c r="B889" s="296" t="s">
        <v>6844</v>
      </c>
      <c r="C889" s="296" t="s">
        <v>183</v>
      </c>
      <c r="D889" s="296" t="s">
        <v>183</v>
      </c>
      <c r="E889" s="296" t="s">
        <v>183</v>
      </c>
      <c r="F889" s="296" t="s">
        <v>6845</v>
      </c>
      <c r="G889" s="296" t="s">
        <v>183</v>
      </c>
      <c r="H889" s="296" t="s">
        <v>6846</v>
      </c>
      <c r="I889" s="296" t="s">
        <v>6830</v>
      </c>
      <c r="J889" s="296" t="s">
        <v>6847</v>
      </c>
      <c r="K889" s="296" t="s">
        <v>6848</v>
      </c>
      <c r="L889" s="296" t="s">
        <v>6849</v>
      </c>
      <c r="M889" s="296" t="s">
        <v>179</v>
      </c>
      <c r="N889" s="296" t="s">
        <v>6850</v>
      </c>
      <c r="O889" s="296" t="s">
        <v>278</v>
      </c>
      <c r="P889" s="296" t="s">
        <v>6851</v>
      </c>
      <c r="Q889" s="296" t="s">
        <v>183</v>
      </c>
      <c r="R889" s="296" t="s">
        <v>6852</v>
      </c>
      <c r="S889" s="296" t="s">
        <v>185</v>
      </c>
      <c r="T889" s="296" t="s">
        <v>185</v>
      </c>
      <c r="U889" s="296" t="s">
        <v>186</v>
      </c>
      <c r="V889" s="296" t="s">
        <v>187</v>
      </c>
      <c r="W889" s="296" t="s">
        <v>188</v>
      </c>
      <c r="X889" s="296" t="s">
        <v>189</v>
      </c>
      <c r="Y889" s="296" t="s">
        <v>183</v>
      </c>
      <c r="Z889" s="296" t="s">
        <v>183</v>
      </c>
      <c r="AA889" s="296" t="s">
        <v>183</v>
      </c>
      <c r="AB889" s="296" t="s">
        <v>183</v>
      </c>
      <c r="AC889" s="296" t="s">
        <v>6853</v>
      </c>
      <c r="AD889" s="296" t="s">
        <v>6854</v>
      </c>
      <c r="AE889" s="296" t="s">
        <v>192</v>
      </c>
      <c r="AF889" s="296" t="s">
        <v>193</v>
      </c>
      <c r="AG889" s="296">
        <v>14220</v>
      </c>
      <c r="AH889" s="298">
        <v>43752</v>
      </c>
      <c r="AJ889" s="296" t="s">
        <v>194</v>
      </c>
      <c r="AK889" s="299">
        <f>COUNTIF($A$3:A$917,A889)</f>
        <v>1</v>
      </c>
    </row>
    <row r="890" spans="1:37" x14ac:dyDescent="0.25">
      <c r="A890" s="296">
        <v>503940104</v>
      </c>
      <c r="B890" s="296" t="s">
        <v>6855</v>
      </c>
      <c r="C890" s="296" t="s">
        <v>183</v>
      </c>
      <c r="D890" s="296" t="s">
        <v>183</v>
      </c>
      <c r="E890" s="296" t="s">
        <v>183</v>
      </c>
      <c r="F890" s="296" t="s">
        <v>6856</v>
      </c>
      <c r="G890" s="296" t="s">
        <v>183</v>
      </c>
      <c r="H890" s="296" t="s">
        <v>6857</v>
      </c>
      <c r="I890" s="296" t="s">
        <v>6858</v>
      </c>
      <c r="J890" s="296" t="s">
        <v>6859</v>
      </c>
      <c r="K890" s="296" t="s">
        <v>1392</v>
      </c>
      <c r="L890" s="296" t="s">
        <v>1393</v>
      </c>
      <c r="M890" s="296" t="s">
        <v>179</v>
      </c>
      <c r="N890" s="296" t="s">
        <v>1394</v>
      </c>
      <c r="O890" s="296" t="s">
        <v>1395</v>
      </c>
      <c r="P890" s="296" t="s">
        <v>1396</v>
      </c>
      <c r="Q890" s="296" t="s">
        <v>183</v>
      </c>
      <c r="R890" s="296" t="s">
        <v>1397</v>
      </c>
      <c r="S890" s="296" t="s">
        <v>185</v>
      </c>
      <c r="T890" s="296" t="s">
        <v>185</v>
      </c>
      <c r="U890" s="296" t="s">
        <v>186</v>
      </c>
      <c r="V890" s="296" t="s">
        <v>187</v>
      </c>
      <c r="W890" s="296" t="s">
        <v>188</v>
      </c>
      <c r="X890" s="296" t="s">
        <v>189</v>
      </c>
      <c r="Y890" s="296" t="s">
        <v>183</v>
      </c>
      <c r="Z890" s="296" t="s">
        <v>183</v>
      </c>
      <c r="AA890" s="296" t="s">
        <v>183</v>
      </c>
      <c r="AB890" s="296" t="s">
        <v>183</v>
      </c>
      <c r="AC890" s="296" t="s">
        <v>1398</v>
      </c>
      <c r="AD890" s="296" t="s">
        <v>6860</v>
      </c>
      <c r="AE890" s="296" t="s">
        <v>192</v>
      </c>
      <c r="AF890" s="296" t="s">
        <v>193</v>
      </c>
      <c r="AG890" s="296">
        <v>14472</v>
      </c>
      <c r="AH890" s="298">
        <v>43493</v>
      </c>
      <c r="AJ890" s="296" t="s">
        <v>194</v>
      </c>
      <c r="AK890" s="299">
        <f>COUNTIF($A$3:A$917,A890)</f>
        <v>1</v>
      </c>
    </row>
    <row r="891" spans="1:37" x14ac:dyDescent="0.25">
      <c r="A891" s="296">
        <v>113680427</v>
      </c>
      <c r="B891" s="296" t="s">
        <v>6861</v>
      </c>
      <c r="C891" s="296" t="s">
        <v>183</v>
      </c>
      <c r="D891" s="296" t="s">
        <v>183</v>
      </c>
      <c r="E891" s="296" t="s">
        <v>183</v>
      </c>
      <c r="F891" s="296" t="s">
        <v>6862</v>
      </c>
      <c r="G891" s="296" t="s">
        <v>6862</v>
      </c>
      <c r="H891" s="296" t="s">
        <v>6863</v>
      </c>
      <c r="I891" s="296" t="s">
        <v>6858</v>
      </c>
      <c r="J891" s="296" t="s">
        <v>6864</v>
      </c>
      <c r="K891" s="296" t="s">
        <v>6865</v>
      </c>
      <c r="L891" s="296" t="s">
        <v>6866</v>
      </c>
      <c r="M891" s="296" t="s">
        <v>179</v>
      </c>
      <c r="N891" s="296" t="s">
        <v>6867</v>
      </c>
      <c r="O891" s="296" t="s">
        <v>183</v>
      </c>
      <c r="P891" s="296" t="s">
        <v>6868</v>
      </c>
      <c r="Q891" s="296" t="s">
        <v>183</v>
      </c>
      <c r="R891" s="296" t="s">
        <v>6869</v>
      </c>
      <c r="S891" s="296" t="s">
        <v>185</v>
      </c>
      <c r="T891" s="296" t="s">
        <v>185</v>
      </c>
      <c r="U891" s="296" t="s">
        <v>186</v>
      </c>
      <c r="V891" s="296" t="s">
        <v>187</v>
      </c>
      <c r="W891" s="296" t="s">
        <v>188</v>
      </c>
      <c r="X891" s="296" t="s">
        <v>189</v>
      </c>
      <c r="Y891" s="296" t="s">
        <v>183</v>
      </c>
      <c r="Z891" s="296" t="s">
        <v>183</v>
      </c>
      <c r="AA891" s="296" t="s">
        <v>183</v>
      </c>
      <c r="AB891" s="296" t="s">
        <v>183</v>
      </c>
      <c r="AC891" s="296" t="s">
        <v>1275</v>
      </c>
      <c r="AD891" s="296" t="s">
        <v>6870</v>
      </c>
      <c r="AE891" s="296" t="s">
        <v>192</v>
      </c>
      <c r="AF891" s="296" t="s">
        <v>193</v>
      </c>
      <c r="AG891" s="296">
        <v>0</v>
      </c>
      <c r="AH891" s="298">
        <v>45233</v>
      </c>
      <c r="AJ891" s="296" t="s">
        <v>194</v>
      </c>
      <c r="AK891" s="299">
        <f>COUNTIF($A$3:A$917,A891)</f>
        <v>1</v>
      </c>
    </row>
    <row r="892" spans="1:37" x14ac:dyDescent="0.25">
      <c r="A892" s="296">
        <v>504400621</v>
      </c>
      <c r="B892" s="296" t="s">
        <v>6871</v>
      </c>
      <c r="C892" s="296" t="s">
        <v>183</v>
      </c>
      <c r="D892" s="296" t="s">
        <v>183</v>
      </c>
      <c r="E892" s="296" t="s">
        <v>183</v>
      </c>
      <c r="F892" s="296" t="s">
        <v>6872</v>
      </c>
      <c r="G892" s="296" t="s">
        <v>183</v>
      </c>
      <c r="H892" s="296" t="s">
        <v>6873</v>
      </c>
      <c r="I892" s="296" t="s">
        <v>6874</v>
      </c>
      <c r="J892" s="296" t="s">
        <v>6875</v>
      </c>
      <c r="K892" s="296" t="s">
        <v>4049</v>
      </c>
      <c r="L892" s="296" t="s">
        <v>4043</v>
      </c>
      <c r="M892" s="296" t="s">
        <v>179</v>
      </c>
      <c r="N892" s="296" t="s">
        <v>4046</v>
      </c>
      <c r="O892" s="296" t="s">
        <v>183</v>
      </c>
      <c r="P892" s="296" t="s">
        <v>4050</v>
      </c>
      <c r="Q892" s="296" t="s">
        <v>183</v>
      </c>
      <c r="R892" s="296" t="s">
        <v>4051</v>
      </c>
      <c r="S892" s="296" t="s">
        <v>185</v>
      </c>
      <c r="T892" s="296" t="s">
        <v>185</v>
      </c>
      <c r="U892" s="296" t="s">
        <v>186</v>
      </c>
      <c r="V892" s="296" t="s">
        <v>187</v>
      </c>
      <c r="W892" s="296" t="s">
        <v>188</v>
      </c>
      <c r="X892" s="296" t="s">
        <v>189</v>
      </c>
      <c r="Y892" s="296" t="s">
        <v>183</v>
      </c>
      <c r="Z892" s="296" t="s">
        <v>183</v>
      </c>
      <c r="AA892" s="296" t="s">
        <v>183</v>
      </c>
      <c r="AB892" s="296" t="s">
        <v>183</v>
      </c>
      <c r="AC892" s="296" t="s">
        <v>3296</v>
      </c>
      <c r="AD892" s="296" t="s">
        <v>6876</v>
      </c>
      <c r="AE892" s="296" t="s">
        <v>192</v>
      </c>
      <c r="AF892" s="296" t="s">
        <v>193</v>
      </c>
      <c r="AG892" s="296">
        <v>0</v>
      </c>
      <c r="AH892" s="298">
        <v>45512</v>
      </c>
      <c r="AJ892" s="296" t="s">
        <v>194</v>
      </c>
      <c r="AK892" s="299">
        <f>COUNTIF($A$3:A$917,A892)</f>
        <v>1</v>
      </c>
    </row>
    <row r="893" spans="1:37" x14ac:dyDescent="0.25">
      <c r="A893" s="296">
        <v>206710451</v>
      </c>
      <c r="B893" s="296" t="s">
        <v>2093</v>
      </c>
      <c r="C893" s="296" t="s">
        <v>183</v>
      </c>
      <c r="D893" s="296" t="s">
        <v>183</v>
      </c>
      <c r="E893" s="296" t="s">
        <v>183</v>
      </c>
      <c r="F893" s="296" t="s">
        <v>2094</v>
      </c>
      <c r="G893" s="296" t="s">
        <v>278</v>
      </c>
      <c r="H893" s="296" t="s">
        <v>2095</v>
      </c>
      <c r="I893" s="296" t="s">
        <v>6874</v>
      </c>
      <c r="J893" s="296" t="s">
        <v>6877</v>
      </c>
      <c r="K893" s="296" t="s">
        <v>2098</v>
      </c>
      <c r="L893" s="296" t="s">
        <v>2099</v>
      </c>
      <c r="M893" s="296" t="s">
        <v>179</v>
      </c>
      <c r="N893" s="296" t="s">
        <v>2100</v>
      </c>
      <c r="O893" s="296" t="s">
        <v>278</v>
      </c>
      <c r="P893" s="296" t="s">
        <v>2101</v>
      </c>
      <c r="Q893" s="296" t="s">
        <v>183</v>
      </c>
      <c r="R893" s="296" t="s">
        <v>2102</v>
      </c>
      <c r="S893" s="296" t="s">
        <v>185</v>
      </c>
      <c r="T893" s="296" t="s">
        <v>185</v>
      </c>
      <c r="U893" s="296" t="s">
        <v>186</v>
      </c>
      <c r="V893" s="296" t="s">
        <v>187</v>
      </c>
      <c r="W893" s="296" t="s">
        <v>188</v>
      </c>
      <c r="X893" s="296" t="s">
        <v>189</v>
      </c>
      <c r="Y893" s="296" t="s">
        <v>183</v>
      </c>
      <c r="Z893" s="296" t="s">
        <v>183</v>
      </c>
      <c r="AA893" s="296" t="s">
        <v>183</v>
      </c>
      <c r="AB893" s="296" t="s">
        <v>183</v>
      </c>
      <c r="AC893" s="296" t="s">
        <v>2103</v>
      </c>
      <c r="AD893" s="296" t="s">
        <v>6878</v>
      </c>
      <c r="AE893" s="296" t="s">
        <v>192</v>
      </c>
      <c r="AF893" s="296" t="s">
        <v>193</v>
      </c>
      <c r="AG893" s="296">
        <v>0</v>
      </c>
      <c r="AH893" s="298">
        <v>42653</v>
      </c>
      <c r="AJ893" s="296" t="s">
        <v>194</v>
      </c>
      <c r="AK893" s="299">
        <f>COUNTIF($A$3:A$917,A893)</f>
        <v>2</v>
      </c>
    </row>
    <row r="894" spans="1:37" x14ac:dyDescent="0.25">
      <c r="A894" s="296">
        <v>3101866506</v>
      </c>
      <c r="B894" s="296" t="s">
        <v>3279</v>
      </c>
      <c r="C894" s="296" t="s">
        <v>3280</v>
      </c>
      <c r="D894" s="296" t="s">
        <v>3281</v>
      </c>
      <c r="E894" s="296" t="s">
        <v>172</v>
      </c>
      <c r="F894" s="296" t="s">
        <v>3282</v>
      </c>
      <c r="G894" s="296" t="s">
        <v>183</v>
      </c>
      <c r="H894" s="296" t="s">
        <v>3283</v>
      </c>
      <c r="I894" s="296" t="s">
        <v>6879</v>
      </c>
      <c r="J894" s="296" t="s">
        <v>6880</v>
      </c>
      <c r="K894" s="296" t="s">
        <v>2060</v>
      </c>
      <c r="L894" s="296" t="s">
        <v>2061</v>
      </c>
      <c r="M894" s="296" t="s">
        <v>179</v>
      </c>
      <c r="N894" s="296" t="s">
        <v>2062</v>
      </c>
      <c r="O894" s="296" t="s">
        <v>183</v>
      </c>
      <c r="P894" s="296" t="s">
        <v>2063</v>
      </c>
      <c r="Q894" s="296" t="s">
        <v>183</v>
      </c>
      <c r="R894" s="296" t="s">
        <v>2064</v>
      </c>
      <c r="S894" s="296" t="s">
        <v>185</v>
      </c>
      <c r="T894" s="296" t="s">
        <v>185</v>
      </c>
      <c r="U894" s="296" t="s">
        <v>186</v>
      </c>
      <c r="V894" s="296" t="s">
        <v>187</v>
      </c>
      <c r="W894" s="296" t="s">
        <v>188</v>
      </c>
      <c r="X894" s="296" t="s">
        <v>189</v>
      </c>
      <c r="Y894" s="296" t="s">
        <v>183</v>
      </c>
      <c r="Z894" s="296" t="s">
        <v>183</v>
      </c>
      <c r="AA894" s="296" t="s">
        <v>183</v>
      </c>
      <c r="AB894" s="296" t="s">
        <v>183</v>
      </c>
      <c r="AC894" s="296" t="s">
        <v>2065</v>
      </c>
      <c r="AD894" s="296" t="s">
        <v>6881</v>
      </c>
      <c r="AE894" s="296" t="s">
        <v>192</v>
      </c>
      <c r="AF894" s="296" t="s">
        <v>193</v>
      </c>
      <c r="AG894" s="296">
        <v>0</v>
      </c>
      <c r="AH894" s="298">
        <v>45344</v>
      </c>
      <c r="AJ894" s="296" t="s">
        <v>194</v>
      </c>
      <c r="AK894" s="299">
        <f>COUNTIF($A$3:A$917,A894)</f>
        <v>3</v>
      </c>
    </row>
    <row r="895" spans="1:37" x14ac:dyDescent="0.25">
      <c r="A895" s="296">
        <v>503630868</v>
      </c>
      <c r="B895" s="296" t="s">
        <v>6882</v>
      </c>
      <c r="C895" s="296" t="s">
        <v>183</v>
      </c>
      <c r="D895" s="296" t="s">
        <v>183</v>
      </c>
      <c r="E895" s="296" t="s">
        <v>183</v>
      </c>
      <c r="F895" s="296" t="s">
        <v>6883</v>
      </c>
      <c r="G895" s="296" t="s">
        <v>6883</v>
      </c>
      <c r="H895" s="296" t="s">
        <v>6884</v>
      </c>
      <c r="I895" s="296" t="s">
        <v>6879</v>
      </c>
      <c r="J895" s="296" t="s">
        <v>6885</v>
      </c>
      <c r="K895" s="296" t="s">
        <v>602</v>
      </c>
      <c r="L895" s="296" t="s">
        <v>603</v>
      </c>
      <c r="M895" s="296" t="s">
        <v>179</v>
      </c>
      <c r="N895" s="296" t="s">
        <v>604</v>
      </c>
      <c r="O895" s="296" t="s">
        <v>604</v>
      </c>
      <c r="P895" s="296" t="s">
        <v>605</v>
      </c>
      <c r="Q895" s="296" t="s">
        <v>183</v>
      </c>
      <c r="R895" s="296" t="s">
        <v>606</v>
      </c>
      <c r="S895" s="296" t="s">
        <v>185</v>
      </c>
      <c r="T895" s="296" t="s">
        <v>185</v>
      </c>
      <c r="U895" s="296" t="s">
        <v>186</v>
      </c>
      <c r="V895" s="296" t="s">
        <v>187</v>
      </c>
      <c r="W895" s="296" t="s">
        <v>188</v>
      </c>
      <c r="X895" s="296" t="s">
        <v>189</v>
      </c>
      <c r="Y895" s="296" t="s">
        <v>183</v>
      </c>
      <c r="Z895" s="296" t="s">
        <v>183</v>
      </c>
      <c r="AA895" s="296" t="s">
        <v>183</v>
      </c>
      <c r="AB895" s="296" t="s">
        <v>183</v>
      </c>
      <c r="AC895" s="296" t="s">
        <v>607</v>
      </c>
      <c r="AD895" s="296" t="s">
        <v>6886</v>
      </c>
      <c r="AE895" s="296" t="s">
        <v>192</v>
      </c>
      <c r="AF895" s="296" t="s">
        <v>193</v>
      </c>
      <c r="AG895" s="296">
        <v>0</v>
      </c>
      <c r="AH895" s="298">
        <v>44106</v>
      </c>
      <c r="AJ895" s="296" t="s">
        <v>194</v>
      </c>
      <c r="AK895" s="299">
        <f>COUNTIF($A$3:A$917,A895)</f>
        <v>1</v>
      </c>
    </row>
    <row r="896" spans="1:37" x14ac:dyDescent="0.25">
      <c r="A896" s="296">
        <v>401700408</v>
      </c>
      <c r="B896" s="296" t="s">
        <v>6887</v>
      </c>
      <c r="C896" s="296" t="s">
        <v>183</v>
      </c>
      <c r="D896" s="296" t="s">
        <v>183</v>
      </c>
      <c r="E896" s="296" t="s">
        <v>183</v>
      </c>
      <c r="F896" s="296" t="s">
        <v>6888</v>
      </c>
      <c r="G896" s="296" t="s">
        <v>183</v>
      </c>
      <c r="H896" s="296" t="s">
        <v>6889</v>
      </c>
      <c r="I896" s="296" t="s">
        <v>6879</v>
      </c>
      <c r="J896" s="296" t="s">
        <v>6890</v>
      </c>
      <c r="K896" s="296" t="s">
        <v>183</v>
      </c>
      <c r="L896" s="296" t="s">
        <v>183</v>
      </c>
      <c r="M896" s="296" t="s">
        <v>183</v>
      </c>
      <c r="N896" s="296" t="s">
        <v>1658</v>
      </c>
      <c r="O896" s="296" t="s">
        <v>183</v>
      </c>
      <c r="P896" s="296" t="s">
        <v>183</v>
      </c>
      <c r="Q896" s="296" t="s">
        <v>183</v>
      </c>
      <c r="R896" s="296" t="s">
        <v>183</v>
      </c>
      <c r="S896" s="296" t="s">
        <v>183</v>
      </c>
      <c r="T896" s="296" t="s">
        <v>183</v>
      </c>
      <c r="U896" s="296" t="s">
        <v>183</v>
      </c>
      <c r="V896" s="296" t="s">
        <v>183</v>
      </c>
      <c r="W896" s="296" t="s">
        <v>183</v>
      </c>
      <c r="X896" s="296" t="s">
        <v>183</v>
      </c>
      <c r="Y896" s="296" t="s">
        <v>183</v>
      </c>
      <c r="Z896" s="296" t="s">
        <v>183</v>
      </c>
      <c r="AA896" s="296" t="s">
        <v>183</v>
      </c>
      <c r="AB896" s="296" t="s">
        <v>183</v>
      </c>
      <c r="AC896" s="296" t="s">
        <v>183</v>
      </c>
      <c r="AD896" s="296" t="s">
        <v>6891</v>
      </c>
      <c r="AE896" s="296" t="s">
        <v>192</v>
      </c>
      <c r="AF896" s="296" t="s">
        <v>193</v>
      </c>
      <c r="AG896" s="296">
        <v>0</v>
      </c>
      <c r="AH896" s="298">
        <v>44763</v>
      </c>
      <c r="AJ896" s="296" t="s">
        <v>194</v>
      </c>
      <c r="AK896" s="299">
        <f>COUNTIF($A$3:A$917,A896)</f>
        <v>1</v>
      </c>
    </row>
    <row r="897" spans="1:37" x14ac:dyDescent="0.25">
      <c r="A897" s="296">
        <v>502190389</v>
      </c>
      <c r="B897" s="296" t="s">
        <v>6892</v>
      </c>
      <c r="C897" s="296" t="s">
        <v>183</v>
      </c>
      <c r="D897" s="296" t="s">
        <v>183</v>
      </c>
      <c r="E897" s="296" t="s">
        <v>183</v>
      </c>
      <c r="F897" s="296" t="s">
        <v>6893</v>
      </c>
      <c r="G897" s="296" t="s">
        <v>6893</v>
      </c>
      <c r="H897" s="296" t="s">
        <v>6894</v>
      </c>
      <c r="I897" s="296" t="s">
        <v>6879</v>
      </c>
      <c r="J897" s="296" t="s">
        <v>6895</v>
      </c>
      <c r="K897" s="296" t="s">
        <v>6896</v>
      </c>
      <c r="L897" s="296" t="s">
        <v>6892</v>
      </c>
      <c r="M897" s="296" t="s">
        <v>179</v>
      </c>
      <c r="N897" s="296" t="s">
        <v>6893</v>
      </c>
      <c r="O897" s="296" t="s">
        <v>6893</v>
      </c>
      <c r="P897" s="296" t="s">
        <v>6894</v>
      </c>
      <c r="Q897" s="296" t="s">
        <v>183</v>
      </c>
      <c r="R897" s="296" t="s">
        <v>6897</v>
      </c>
      <c r="S897" s="296" t="s">
        <v>185</v>
      </c>
      <c r="T897" s="296" t="s">
        <v>185</v>
      </c>
      <c r="U897" s="296" t="s">
        <v>186</v>
      </c>
      <c r="V897" s="296" t="s">
        <v>187</v>
      </c>
      <c r="W897" s="296" t="s">
        <v>188</v>
      </c>
      <c r="X897" s="296" t="s">
        <v>189</v>
      </c>
      <c r="Y897" s="296" t="s">
        <v>183</v>
      </c>
      <c r="Z897" s="296" t="s">
        <v>183</v>
      </c>
      <c r="AA897" s="296" t="s">
        <v>183</v>
      </c>
      <c r="AB897" s="296" t="s">
        <v>183</v>
      </c>
      <c r="AC897" s="296" t="s">
        <v>6898</v>
      </c>
      <c r="AD897" s="296" t="s">
        <v>6899</v>
      </c>
      <c r="AE897" s="296" t="s">
        <v>192</v>
      </c>
      <c r="AF897" s="296" t="s">
        <v>193</v>
      </c>
      <c r="AG897" s="296">
        <v>0</v>
      </c>
      <c r="AH897" s="298">
        <v>45939</v>
      </c>
      <c r="AJ897" s="296" t="s">
        <v>194</v>
      </c>
      <c r="AK897" s="299">
        <f>COUNTIF($A$3:A$917,A897)</f>
        <v>1</v>
      </c>
    </row>
    <row r="898" spans="1:37" x14ac:dyDescent="0.25">
      <c r="A898" s="296">
        <v>504190072</v>
      </c>
      <c r="B898" s="296" t="s">
        <v>6509</v>
      </c>
      <c r="C898" s="296" t="s">
        <v>183</v>
      </c>
      <c r="D898" s="296" t="s">
        <v>183</v>
      </c>
      <c r="E898" s="296" t="s">
        <v>183</v>
      </c>
      <c r="F898" s="296" t="s">
        <v>6510</v>
      </c>
      <c r="G898" s="296" t="s">
        <v>183</v>
      </c>
      <c r="H898" s="296" t="s">
        <v>6511</v>
      </c>
      <c r="I898" s="296" t="s">
        <v>6900</v>
      </c>
      <c r="J898" s="296" t="s">
        <v>6512</v>
      </c>
      <c r="K898" s="296" t="s">
        <v>6513</v>
      </c>
      <c r="L898" s="296" t="s">
        <v>6514</v>
      </c>
      <c r="M898" s="296" t="s">
        <v>179</v>
      </c>
      <c r="N898" s="296" t="s">
        <v>6515</v>
      </c>
      <c r="O898" s="296" t="s">
        <v>183</v>
      </c>
      <c r="P898" s="296" t="s">
        <v>6516</v>
      </c>
      <c r="Q898" s="296" t="s">
        <v>183</v>
      </c>
      <c r="R898" s="296" t="s">
        <v>6517</v>
      </c>
      <c r="S898" s="296" t="s">
        <v>185</v>
      </c>
      <c r="T898" s="296" t="s">
        <v>185</v>
      </c>
      <c r="U898" s="296" t="s">
        <v>186</v>
      </c>
      <c r="V898" s="296" t="s">
        <v>187</v>
      </c>
      <c r="W898" s="296" t="s">
        <v>188</v>
      </c>
      <c r="X898" s="296" t="s">
        <v>188</v>
      </c>
      <c r="Y898" s="296" t="s">
        <v>183</v>
      </c>
      <c r="Z898" s="296" t="s">
        <v>183</v>
      </c>
      <c r="AA898" s="296" t="s">
        <v>183</v>
      </c>
      <c r="AB898" s="296" t="s">
        <v>183</v>
      </c>
      <c r="AC898" s="296" t="s">
        <v>6518</v>
      </c>
      <c r="AD898" s="296" t="s">
        <v>6901</v>
      </c>
      <c r="AE898" s="296" t="s">
        <v>192</v>
      </c>
      <c r="AF898" s="296" t="s">
        <v>193</v>
      </c>
      <c r="AG898" s="296">
        <v>0</v>
      </c>
      <c r="AH898" s="298">
        <v>46010</v>
      </c>
      <c r="AJ898" s="296" t="s">
        <v>194</v>
      </c>
      <c r="AK898" s="299">
        <f>COUNTIF($A$3:A$917,A898)</f>
        <v>2</v>
      </c>
    </row>
    <row r="899" spans="1:37" x14ac:dyDescent="0.25">
      <c r="A899" s="296">
        <v>502410169</v>
      </c>
      <c r="B899" s="296" t="s">
        <v>6560</v>
      </c>
      <c r="C899" s="296" t="s">
        <v>183</v>
      </c>
      <c r="D899" s="296" t="s">
        <v>183</v>
      </c>
      <c r="E899" s="296" t="s">
        <v>183</v>
      </c>
      <c r="F899" s="296" t="s">
        <v>6561</v>
      </c>
      <c r="G899" s="296" t="s">
        <v>6562</v>
      </c>
      <c r="H899" s="296" t="s">
        <v>6563</v>
      </c>
      <c r="I899" s="296" t="s">
        <v>6900</v>
      </c>
      <c r="J899" s="296" t="s">
        <v>6564</v>
      </c>
      <c r="K899" s="296" t="s">
        <v>6468</v>
      </c>
      <c r="L899" s="296" t="s">
        <v>6469</v>
      </c>
      <c r="M899" s="296" t="s">
        <v>179</v>
      </c>
      <c r="N899" s="296" t="s">
        <v>6470</v>
      </c>
      <c r="O899" s="296" t="s">
        <v>6470</v>
      </c>
      <c r="P899" s="296" t="s">
        <v>6471</v>
      </c>
      <c r="Q899" s="296" t="s">
        <v>183</v>
      </c>
      <c r="R899" s="296" t="s">
        <v>6565</v>
      </c>
      <c r="S899" s="296" t="s">
        <v>185</v>
      </c>
      <c r="T899" s="296" t="s">
        <v>185</v>
      </c>
      <c r="U899" s="296" t="s">
        <v>186</v>
      </c>
      <c r="V899" s="296" t="s">
        <v>187</v>
      </c>
      <c r="W899" s="296" t="s">
        <v>188</v>
      </c>
      <c r="X899" s="296" t="s">
        <v>189</v>
      </c>
      <c r="Y899" s="296" t="s">
        <v>183</v>
      </c>
      <c r="Z899" s="296" t="s">
        <v>183</v>
      </c>
      <c r="AA899" s="296" t="s">
        <v>183</v>
      </c>
      <c r="AB899" s="296" t="s">
        <v>183</v>
      </c>
      <c r="AC899" s="296" t="s">
        <v>6473</v>
      </c>
      <c r="AD899" s="296" t="s">
        <v>6902</v>
      </c>
      <c r="AE899" s="296" t="s">
        <v>192</v>
      </c>
      <c r="AF899" s="296" t="s">
        <v>193</v>
      </c>
      <c r="AG899" s="296">
        <v>0</v>
      </c>
      <c r="AH899" s="298">
        <v>41110</v>
      </c>
      <c r="AJ899" s="296" t="s">
        <v>194</v>
      </c>
      <c r="AK899" s="299">
        <f>COUNTIF($A$3:A$917,A899)</f>
        <v>2</v>
      </c>
    </row>
    <row r="900" spans="1:37" x14ac:dyDescent="0.25">
      <c r="A900" s="296">
        <v>3101779140</v>
      </c>
      <c r="B900" s="296" t="s">
        <v>6903</v>
      </c>
      <c r="C900" s="296" t="s">
        <v>1401</v>
      </c>
      <c r="D900" s="296" t="s">
        <v>1402</v>
      </c>
      <c r="E900" s="296" t="s">
        <v>172</v>
      </c>
      <c r="F900" s="296" t="s">
        <v>1403</v>
      </c>
      <c r="G900" s="296" t="s">
        <v>1404</v>
      </c>
      <c r="H900" s="296" t="s">
        <v>1405</v>
      </c>
      <c r="I900" s="296" t="s">
        <v>6904</v>
      </c>
      <c r="J900" s="296" t="s">
        <v>6905</v>
      </c>
      <c r="K900" s="296" t="s">
        <v>6906</v>
      </c>
      <c r="L900" s="296" t="s">
        <v>6903</v>
      </c>
      <c r="M900" s="296" t="s">
        <v>179</v>
      </c>
      <c r="N900" s="296" t="s">
        <v>1403</v>
      </c>
      <c r="O900" s="296" t="s">
        <v>6907</v>
      </c>
      <c r="P900" s="296" t="s">
        <v>6908</v>
      </c>
      <c r="Q900" s="296" t="s">
        <v>183</v>
      </c>
      <c r="R900" s="296" t="s">
        <v>6909</v>
      </c>
      <c r="S900" s="296" t="s">
        <v>185</v>
      </c>
      <c r="T900" s="296" t="s">
        <v>185</v>
      </c>
      <c r="U900" s="296" t="s">
        <v>186</v>
      </c>
      <c r="V900" s="296" t="s">
        <v>187</v>
      </c>
      <c r="W900" s="296" t="s">
        <v>188</v>
      </c>
      <c r="X900" s="296" t="s">
        <v>189</v>
      </c>
      <c r="Y900" s="296" t="s">
        <v>183</v>
      </c>
      <c r="Z900" s="296" t="s">
        <v>183</v>
      </c>
      <c r="AA900" s="296" t="s">
        <v>183</v>
      </c>
      <c r="AB900" s="296" t="s">
        <v>183</v>
      </c>
      <c r="AC900" s="296" t="s">
        <v>6910</v>
      </c>
      <c r="AD900" s="296" t="s">
        <v>6911</v>
      </c>
      <c r="AE900" s="296" t="s">
        <v>192</v>
      </c>
      <c r="AF900" s="296" t="s">
        <v>193</v>
      </c>
      <c r="AG900" s="296">
        <v>22483.75</v>
      </c>
      <c r="AH900" s="298">
        <v>43788</v>
      </c>
      <c r="AJ900" s="296" t="s">
        <v>194</v>
      </c>
      <c r="AK900" s="299">
        <f>COUNTIF($A$3:A$917,A900)</f>
        <v>1</v>
      </c>
    </row>
    <row r="901" spans="1:37" x14ac:dyDescent="0.25">
      <c r="A901" s="296">
        <v>3102898147</v>
      </c>
      <c r="B901" s="296" t="s">
        <v>6912</v>
      </c>
      <c r="C901" s="296" t="s">
        <v>6913</v>
      </c>
      <c r="D901" s="296" t="s">
        <v>6914</v>
      </c>
      <c r="E901" s="296" t="s">
        <v>172</v>
      </c>
      <c r="F901" s="296" t="s">
        <v>6915</v>
      </c>
      <c r="G901" s="296" t="s">
        <v>278</v>
      </c>
      <c r="H901" s="296" t="s">
        <v>6916</v>
      </c>
      <c r="I901" s="296" t="s">
        <v>6904</v>
      </c>
      <c r="J901" s="296" t="s">
        <v>6917</v>
      </c>
      <c r="K901" s="296" t="s">
        <v>6918</v>
      </c>
      <c r="L901" s="296" t="s">
        <v>6919</v>
      </c>
      <c r="M901" s="296" t="s">
        <v>179</v>
      </c>
      <c r="N901" s="296" t="s">
        <v>6920</v>
      </c>
      <c r="O901" s="296" t="s">
        <v>183</v>
      </c>
      <c r="P901" s="296" t="s">
        <v>1445</v>
      </c>
      <c r="Q901" s="296" t="s">
        <v>183</v>
      </c>
      <c r="R901" s="296" t="s">
        <v>6921</v>
      </c>
      <c r="S901" s="296" t="s">
        <v>185</v>
      </c>
      <c r="T901" s="296" t="s">
        <v>185</v>
      </c>
      <c r="U901" s="296" t="s">
        <v>186</v>
      </c>
      <c r="V901" s="296" t="s">
        <v>187</v>
      </c>
      <c r="W901" s="296" t="s">
        <v>188</v>
      </c>
      <c r="X901" s="296" t="s">
        <v>189</v>
      </c>
      <c r="Y901" s="296" t="s">
        <v>183</v>
      </c>
      <c r="Z901" s="296" t="s">
        <v>183</v>
      </c>
      <c r="AA901" s="296" t="s">
        <v>183</v>
      </c>
      <c r="AB901" s="296" t="s">
        <v>183</v>
      </c>
      <c r="AC901" s="296" t="s">
        <v>6922</v>
      </c>
      <c r="AD901" s="296" t="s">
        <v>6923</v>
      </c>
      <c r="AE901" s="296" t="s">
        <v>192</v>
      </c>
      <c r="AF901" s="296" t="s">
        <v>193</v>
      </c>
      <c r="AG901" s="296">
        <v>0</v>
      </c>
      <c r="AH901" s="298">
        <v>45489</v>
      </c>
      <c r="AJ901" s="296" t="s">
        <v>194</v>
      </c>
      <c r="AK901" s="299">
        <f>COUNTIF($A$3:A$917,A901)</f>
        <v>1</v>
      </c>
    </row>
    <row r="902" spans="1:37" x14ac:dyDescent="0.25">
      <c r="A902" s="296">
        <v>402170725</v>
      </c>
      <c r="B902" s="296" t="s">
        <v>6351</v>
      </c>
      <c r="C902" s="296" t="s">
        <v>183</v>
      </c>
      <c r="D902" s="296" t="s">
        <v>183</v>
      </c>
      <c r="E902" s="296" t="s">
        <v>183</v>
      </c>
      <c r="F902" s="296" t="s">
        <v>6352</v>
      </c>
      <c r="G902" s="296" t="s">
        <v>6352</v>
      </c>
      <c r="H902" s="296" t="s">
        <v>6353</v>
      </c>
      <c r="I902" s="296" t="s">
        <v>6924</v>
      </c>
      <c r="J902" s="296" t="s">
        <v>6925</v>
      </c>
      <c r="K902" s="296" t="s">
        <v>6350</v>
      </c>
      <c r="L902" s="296" t="s">
        <v>6351</v>
      </c>
      <c r="M902" s="296" t="s">
        <v>179</v>
      </c>
      <c r="N902" s="296" t="s">
        <v>6352</v>
      </c>
      <c r="O902" s="296" t="s">
        <v>6352</v>
      </c>
      <c r="P902" s="296" t="s">
        <v>6353</v>
      </c>
      <c r="Q902" s="296" t="s">
        <v>183</v>
      </c>
      <c r="R902" s="296" t="s">
        <v>6354</v>
      </c>
      <c r="S902" s="296" t="s">
        <v>185</v>
      </c>
      <c r="T902" s="296" t="s">
        <v>185</v>
      </c>
      <c r="U902" s="296" t="s">
        <v>186</v>
      </c>
      <c r="V902" s="296" t="s">
        <v>187</v>
      </c>
      <c r="W902" s="296" t="s">
        <v>188</v>
      </c>
      <c r="X902" s="296" t="s">
        <v>189</v>
      </c>
      <c r="Y902" s="296" t="s">
        <v>183</v>
      </c>
      <c r="Z902" s="296" t="s">
        <v>183</v>
      </c>
      <c r="AA902" s="296" t="s">
        <v>183</v>
      </c>
      <c r="AB902" s="296" t="s">
        <v>183</v>
      </c>
      <c r="AC902" s="296" t="s">
        <v>6355</v>
      </c>
      <c r="AD902" s="296" t="s">
        <v>6926</v>
      </c>
      <c r="AE902" s="296" t="s">
        <v>192</v>
      </c>
      <c r="AF902" s="296" t="s">
        <v>193</v>
      </c>
      <c r="AG902" s="296">
        <v>24814</v>
      </c>
      <c r="AH902" s="298">
        <v>45028</v>
      </c>
      <c r="AJ902" s="296" t="s">
        <v>194</v>
      </c>
      <c r="AK902" s="299">
        <f>COUNTIF($A$3:A$917,A902)</f>
        <v>1</v>
      </c>
    </row>
    <row r="903" spans="1:37" x14ac:dyDescent="0.25">
      <c r="A903" s="296">
        <v>3101855877</v>
      </c>
      <c r="B903" s="296" t="s">
        <v>1941</v>
      </c>
      <c r="C903" s="296" t="s">
        <v>1913</v>
      </c>
      <c r="D903" s="296" t="s">
        <v>1912</v>
      </c>
      <c r="E903" s="296" t="s">
        <v>172</v>
      </c>
      <c r="F903" s="296" t="s">
        <v>1914</v>
      </c>
      <c r="G903" s="296" t="s">
        <v>1914</v>
      </c>
      <c r="H903" s="296" t="s">
        <v>1915</v>
      </c>
      <c r="I903" s="296" t="s">
        <v>6927</v>
      </c>
      <c r="J903" s="296" t="s">
        <v>1942</v>
      </c>
      <c r="K903" s="296" t="s">
        <v>1943</v>
      </c>
      <c r="L903" s="296" t="s">
        <v>1944</v>
      </c>
      <c r="M903" s="296" t="s">
        <v>179</v>
      </c>
      <c r="N903" s="296" t="s">
        <v>1586</v>
      </c>
      <c r="O903" s="296" t="s">
        <v>1945</v>
      </c>
      <c r="P903" s="296" t="s">
        <v>1946</v>
      </c>
      <c r="Q903" s="296" t="s">
        <v>183</v>
      </c>
      <c r="R903" s="296" t="s">
        <v>1947</v>
      </c>
      <c r="S903" s="296" t="s">
        <v>185</v>
      </c>
      <c r="T903" s="296" t="s">
        <v>185</v>
      </c>
      <c r="U903" s="296" t="s">
        <v>186</v>
      </c>
      <c r="V903" s="296" t="s">
        <v>187</v>
      </c>
      <c r="W903" s="296" t="s">
        <v>188</v>
      </c>
      <c r="X903" s="296" t="s">
        <v>189</v>
      </c>
      <c r="Y903" s="296" t="s">
        <v>183</v>
      </c>
      <c r="Z903" s="296" t="s">
        <v>183</v>
      </c>
      <c r="AA903" s="296" t="s">
        <v>183</v>
      </c>
      <c r="AB903" s="296" t="s">
        <v>183</v>
      </c>
      <c r="AC903" s="296" t="s">
        <v>1948</v>
      </c>
      <c r="AD903" s="296" t="s">
        <v>6928</v>
      </c>
      <c r="AE903" s="296" t="s">
        <v>192</v>
      </c>
      <c r="AF903" s="296" t="s">
        <v>193</v>
      </c>
      <c r="AG903" s="296">
        <v>0</v>
      </c>
      <c r="AH903" s="298">
        <v>45145</v>
      </c>
      <c r="AJ903" s="296" t="s">
        <v>194</v>
      </c>
      <c r="AK903" s="299">
        <f>COUNTIF($A$3:A$917,A903)</f>
        <v>2</v>
      </c>
    </row>
    <row r="904" spans="1:37" x14ac:dyDescent="0.25">
      <c r="A904" s="296">
        <v>3101792399</v>
      </c>
      <c r="B904" s="296" t="s">
        <v>6929</v>
      </c>
      <c r="C904" s="296" t="s">
        <v>1921</v>
      </c>
      <c r="D904" s="296" t="s">
        <v>1922</v>
      </c>
      <c r="E904" s="296" t="s">
        <v>172</v>
      </c>
      <c r="F904" s="296" t="s">
        <v>6930</v>
      </c>
      <c r="G904" s="296" t="s">
        <v>183</v>
      </c>
      <c r="H904" s="296" t="s">
        <v>1924</v>
      </c>
      <c r="I904" s="296" t="s">
        <v>6927</v>
      </c>
      <c r="J904" s="296" t="s">
        <v>6931</v>
      </c>
      <c r="K904" s="296" t="s">
        <v>1922</v>
      </c>
      <c r="L904" s="296" t="s">
        <v>1921</v>
      </c>
      <c r="M904" s="296" t="s">
        <v>179</v>
      </c>
      <c r="N904" s="296" t="s">
        <v>1923</v>
      </c>
      <c r="O904" s="296" t="s">
        <v>183</v>
      </c>
      <c r="P904" s="296" t="s">
        <v>1924</v>
      </c>
      <c r="Q904" s="296" t="s">
        <v>183</v>
      </c>
      <c r="R904" s="296" t="s">
        <v>6932</v>
      </c>
      <c r="S904" s="296" t="s">
        <v>185</v>
      </c>
      <c r="T904" s="296" t="s">
        <v>185</v>
      </c>
      <c r="U904" s="296" t="s">
        <v>186</v>
      </c>
      <c r="V904" s="296" t="s">
        <v>187</v>
      </c>
      <c r="W904" s="296" t="s">
        <v>188</v>
      </c>
      <c r="X904" s="296" t="s">
        <v>189</v>
      </c>
      <c r="Y904" s="296" t="s">
        <v>183</v>
      </c>
      <c r="Z904" s="296" t="s">
        <v>183</v>
      </c>
      <c r="AA904" s="296" t="s">
        <v>183</v>
      </c>
      <c r="AB904" s="296" t="s">
        <v>183</v>
      </c>
      <c r="AC904" s="296" t="s">
        <v>6933</v>
      </c>
      <c r="AD904" s="296" t="s">
        <v>6934</v>
      </c>
      <c r="AE904" s="296" t="s">
        <v>192</v>
      </c>
      <c r="AF904" s="296" t="s">
        <v>193</v>
      </c>
      <c r="AG904" s="296">
        <v>0</v>
      </c>
      <c r="AH904" s="298">
        <v>39961</v>
      </c>
      <c r="AJ904" s="296" t="s">
        <v>194</v>
      </c>
      <c r="AK904" s="299">
        <f>COUNTIF($A$3:A$917,A904)</f>
        <v>1</v>
      </c>
    </row>
    <row r="905" spans="1:37" x14ac:dyDescent="0.25">
      <c r="A905" s="296">
        <v>401650220</v>
      </c>
      <c r="B905" s="296" t="s">
        <v>6935</v>
      </c>
      <c r="C905" s="296" t="s">
        <v>183</v>
      </c>
      <c r="D905" s="296" t="s">
        <v>183</v>
      </c>
      <c r="E905" s="296" t="s">
        <v>183</v>
      </c>
      <c r="F905" s="296" t="s">
        <v>6936</v>
      </c>
      <c r="G905" s="296" t="s">
        <v>183</v>
      </c>
      <c r="H905" s="296" t="s">
        <v>6937</v>
      </c>
      <c r="I905" s="296" t="s">
        <v>6927</v>
      </c>
      <c r="J905" s="296" t="s">
        <v>6938</v>
      </c>
      <c r="K905" s="296" t="s">
        <v>6939</v>
      </c>
      <c r="L905" s="296" t="s">
        <v>6940</v>
      </c>
      <c r="M905" s="296" t="s">
        <v>179</v>
      </c>
      <c r="N905" s="296" t="s">
        <v>916</v>
      </c>
      <c r="O905" s="296" t="s">
        <v>183</v>
      </c>
      <c r="P905" s="296" t="s">
        <v>6941</v>
      </c>
      <c r="Q905" s="296" t="s">
        <v>183</v>
      </c>
      <c r="R905" s="296" t="s">
        <v>6942</v>
      </c>
      <c r="S905" s="296" t="s">
        <v>185</v>
      </c>
      <c r="T905" s="296" t="s">
        <v>185</v>
      </c>
      <c r="U905" s="296" t="s">
        <v>186</v>
      </c>
      <c r="V905" s="296" t="s">
        <v>187</v>
      </c>
      <c r="W905" s="296" t="s">
        <v>188</v>
      </c>
      <c r="X905" s="296" t="s">
        <v>308</v>
      </c>
      <c r="Y905" s="296" t="s">
        <v>183</v>
      </c>
      <c r="Z905" s="296" t="s">
        <v>183</v>
      </c>
      <c r="AA905" s="296" t="s">
        <v>183</v>
      </c>
      <c r="AB905" s="296" t="s">
        <v>183</v>
      </c>
      <c r="AC905" s="296" t="s">
        <v>6943</v>
      </c>
      <c r="AD905" s="296" t="s">
        <v>6944</v>
      </c>
      <c r="AE905" s="296" t="s">
        <v>192</v>
      </c>
      <c r="AF905" s="296" t="s">
        <v>193</v>
      </c>
      <c r="AG905" s="296">
        <v>0</v>
      </c>
      <c r="AH905" s="298">
        <v>45013</v>
      </c>
      <c r="AJ905" s="296" t="s">
        <v>194</v>
      </c>
      <c r="AK905" s="299">
        <f>COUNTIF($A$3:A$917,A905)</f>
        <v>1</v>
      </c>
    </row>
    <row r="906" spans="1:37" x14ac:dyDescent="0.25">
      <c r="A906" s="296">
        <v>504150295</v>
      </c>
      <c r="B906" s="296" t="s">
        <v>6945</v>
      </c>
      <c r="C906" s="296" t="s">
        <v>183</v>
      </c>
      <c r="D906" s="296" t="s">
        <v>183</v>
      </c>
      <c r="E906" s="296" t="s">
        <v>183</v>
      </c>
      <c r="F906" s="296" t="s">
        <v>6946</v>
      </c>
      <c r="G906" s="296" t="s">
        <v>183</v>
      </c>
      <c r="H906" s="296" t="s">
        <v>6947</v>
      </c>
      <c r="I906" s="296" t="s">
        <v>6927</v>
      </c>
      <c r="J906" s="296" t="s">
        <v>6948</v>
      </c>
      <c r="K906" s="296" t="s">
        <v>6949</v>
      </c>
      <c r="L906" s="296" t="s">
        <v>6950</v>
      </c>
      <c r="M906" s="296" t="s">
        <v>179</v>
      </c>
      <c r="N906" s="296" t="s">
        <v>6951</v>
      </c>
      <c r="O906" s="296" t="s">
        <v>6951</v>
      </c>
      <c r="P906" s="296" t="s">
        <v>6952</v>
      </c>
      <c r="Q906" s="296" t="s">
        <v>183</v>
      </c>
      <c r="R906" s="296" t="s">
        <v>6953</v>
      </c>
      <c r="S906" s="296" t="s">
        <v>185</v>
      </c>
      <c r="T906" s="296" t="s">
        <v>185</v>
      </c>
      <c r="U906" s="296" t="s">
        <v>186</v>
      </c>
      <c r="V906" s="296" t="s">
        <v>187</v>
      </c>
      <c r="W906" s="296" t="s">
        <v>188</v>
      </c>
      <c r="X906" s="296" t="s">
        <v>404</v>
      </c>
      <c r="Y906" s="296" t="s">
        <v>183</v>
      </c>
      <c r="Z906" s="296" t="s">
        <v>183</v>
      </c>
      <c r="AA906" s="296" t="s">
        <v>183</v>
      </c>
      <c r="AB906" s="296" t="s">
        <v>183</v>
      </c>
      <c r="AC906" s="296" t="s">
        <v>6954</v>
      </c>
      <c r="AD906" s="296" t="s">
        <v>6955</v>
      </c>
      <c r="AE906" s="296" t="s">
        <v>192</v>
      </c>
      <c r="AF906" s="296" t="s">
        <v>193</v>
      </c>
      <c r="AG906" s="296">
        <v>0</v>
      </c>
      <c r="AH906" s="298">
        <v>43970</v>
      </c>
      <c r="AJ906" s="296" t="s">
        <v>194</v>
      </c>
      <c r="AK906" s="299">
        <f>COUNTIF($A$3:A$917,A906)</f>
        <v>1</v>
      </c>
    </row>
    <row r="907" spans="1:37" x14ac:dyDescent="0.25">
      <c r="A907" s="296">
        <v>110800286</v>
      </c>
      <c r="B907" s="296" t="s">
        <v>6956</v>
      </c>
      <c r="C907" s="296" t="s">
        <v>183</v>
      </c>
      <c r="D907" s="296" t="s">
        <v>183</v>
      </c>
      <c r="E907" s="296" t="s">
        <v>183</v>
      </c>
      <c r="F907" s="296" t="s">
        <v>6957</v>
      </c>
      <c r="G907" s="296" t="s">
        <v>6958</v>
      </c>
      <c r="H907" s="296" t="s">
        <v>6959</v>
      </c>
      <c r="I907" s="296" t="s">
        <v>6960</v>
      </c>
      <c r="J907" s="296" t="s">
        <v>6961</v>
      </c>
      <c r="K907" s="296" t="s">
        <v>6962</v>
      </c>
      <c r="L907" s="296" t="s">
        <v>6956</v>
      </c>
      <c r="M907" s="296" t="s">
        <v>179</v>
      </c>
      <c r="N907" s="296" t="s">
        <v>6957</v>
      </c>
      <c r="O907" s="296" t="s">
        <v>6958</v>
      </c>
      <c r="P907" s="296" t="s">
        <v>6959</v>
      </c>
      <c r="Q907" s="296" t="s">
        <v>183</v>
      </c>
      <c r="R907" s="296" t="s">
        <v>6963</v>
      </c>
      <c r="S907" s="296" t="s">
        <v>6964</v>
      </c>
      <c r="T907" s="296" t="s">
        <v>6964</v>
      </c>
      <c r="U907" s="296" t="s">
        <v>186</v>
      </c>
      <c r="V907" s="296" t="s">
        <v>187</v>
      </c>
      <c r="W907" s="296" t="s">
        <v>188</v>
      </c>
      <c r="X907" s="296" t="s">
        <v>189</v>
      </c>
      <c r="Y907" s="296" t="s">
        <v>183</v>
      </c>
      <c r="Z907" s="296" t="s">
        <v>183</v>
      </c>
      <c r="AA907" s="296" t="s">
        <v>183</v>
      </c>
      <c r="AB907" s="296" t="s">
        <v>183</v>
      </c>
      <c r="AC907" s="296" t="s">
        <v>6965</v>
      </c>
      <c r="AD907" s="296" t="s">
        <v>6966</v>
      </c>
      <c r="AE907" s="296" t="s">
        <v>192</v>
      </c>
      <c r="AF907" s="296" t="s">
        <v>193</v>
      </c>
      <c r="AG907" s="296">
        <v>0</v>
      </c>
      <c r="AH907" s="298">
        <v>43643</v>
      </c>
      <c r="AJ907" s="296" t="s">
        <v>194</v>
      </c>
      <c r="AK907" s="299">
        <f>COUNTIF($A$3:A$917,A907)</f>
        <v>1</v>
      </c>
    </row>
    <row r="908" spans="1:37" x14ac:dyDescent="0.25">
      <c r="A908" s="296">
        <v>3002377976</v>
      </c>
      <c r="B908" s="296" t="s">
        <v>831</v>
      </c>
      <c r="C908" s="296" t="s">
        <v>832</v>
      </c>
      <c r="D908" s="296" t="s">
        <v>833</v>
      </c>
      <c r="E908" s="296" t="s">
        <v>172</v>
      </c>
      <c r="F908" s="296" t="s">
        <v>834</v>
      </c>
      <c r="G908" s="296" t="s">
        <v>835</v>
      </c>
      <c r="H908" s="296" t="s">
        <v>836</v>
      </c>
      <c r="I908" s="296" t="s">
        <v>6960</v>
      </c>
      <c r="J908" s="296" t="s">
        <v>837</v>
      </c>
      <c r="K908" s="296" t="s">
        <v>838</v>
      </c>
      <c r="L908" s="296" t="s">
        <v>831</v>
      </c>
      <c r="M908" s="296" t="s">
        <v>179</v>
      </c>
      <c r="N908" s="296" t="s">
        <v>834</v>
      </c>
      <c r="O908" s="296" t="s">
        <v>839</v>
      </c>
      <c r="P908" s="296" t="s">
        <v>840</v>
      </c>
      <c r="Q908" s="296" t="s">
        <v>183</v>
      </c>
      <c r="R908" s="296" t="s">
        <v>841</v>
      </c>
      <c r="S908" s="296" t="s">
        <v>185</v>
      </c>
      <c r="T908" s="296" t="s">
        <v>185</v>
      </c>
      <c r="U908" s="296" t="s">
        <v>186</v>
      </c>
      <c r="V908" s="296" t="s">
        <v>187</v>
      </c>
      <c r="W908" s="296" t="s">
        <v>188</v>
      </c>
      <c r="X908" s="296" t="s">
        <v>188</v>
      </c>
      <c r="Y908" s="296" t="s">
        <v>183</v>
      </c>
      <c r="Z908" s="296" t="s">
        <v>183</v>
      </c>
      <c r="AA908" s="296" t="s">
        <v>183</v>
      </c>
      <c r="AB908" s="296" t="s">
        <v>183</v>
      </c>
      <c r="AC908" s="296" t="s">
        <v>842</v>
      </c>
      <c r="AD908" s="296" t="s">
        <v>6967</v>
      </c>
      <c r="AE908" s="296" t="s">
        <v>192</v>
      </c>
      <c r="AF908" s="296" t="s">
        <v>193</v>
      </c>
      <c r="AG908" s="296">
        <v>0</v>
      </c>
      <c r="AH908" s="298">
        <v>42265</v>
      </c>
      <c r="AJ908" s="296" t="s">
        <v>194</v>
      </c>
      <c r="AK908" s="299">
        <f>COUNTIF($A$3:A$917,A908)</f>
        <v>2</v>
      </c>
    </row>
    <row r="909" spans="1:37" x14ac:dyDescent="0.25">
      <c r="A909" s="296">
        <v>3102933053</v>
      </c>
      <c r="B909" s="296" t="s">
        <v>6968</v>
      </c>
      <c r="C909" s="296" t="s">
        <v>183</v>
      </c>
      <c r="D909" s="296" t="s">
        <v>183</v>
      </c>
      <c r="E909" s="296" t="s">
        <v>183</v>
      </c>
      <c r="F909" s="296" t="s">
        <v>6969</v>
      </c>
      <c r="G909" s="296" t="s">
        <v>6969</v>
      </c>
      <c r="H909" s="296" t="s">
        <v>6970</v>
      </c>
      <c r="I909" s="296" t="s">
        <v>6960</v>
      </c>
      <c r="J909" s="296" t="s">
        <v>6971</v>
      </c>
      <c r="K909" s="296" t="s">
        <v>1330</v>
      </c>
      <c r="L909" s="296" t="s">
        <v>1331</v>
      </c>
      <c r="M909" s="296" t="s">
        <v>179</v>
      </c>
      <c r="N909" s="296" t="s">
        <v>1332</v>
      </c>
      <c r="O909" s="296" t="s">
        <v>183</v>
      </c>
      <c r="P909" s="296" t="s">
        <v>1333</v>
      </c>
      <c r="Q909" s="296" t="s">
        <v>183</v>
      </c>
      <c r="R909" s="296" t="s">
        <v>3590</v>
      </c>
      <c r="S909" s="296" t="s">
        <v>185</v>
      </c>
      <c r="T909" s="296" t="s">
        <v>185</v>
      </c>
      <c r="U909" s="296" t="s">
        <v>186</v>
      </c>
      <c r="V909" s="296" t="s">
        <v>187</v>
      </c>
      <c r="W909" s="296" t="s">
        <v>188</v>
      </c>
      <c r="X909" s="296" t="s">
        <v>189</v>
      </c>
      <c r="Y909" s="296" t="s">
        <v>183</v>
      </c>
      <c r="Z909" s="296" t="s">
        <v>183</v>
      </c>
      <c r="AA909" s="296" t="s">
        <v>183</v>
      </c>
      <c r="AB909" s="296" t="s">
        <v>183</v>
      </c>
      <c r="AC909" s="296" t="s">
        <v>3591</v>
      </c>
      <c r="AD909" s="296" t="s">
        <v>6972</v>
      </c>
      <c r="AE909" s="296" t="s">
        <v>192</v>
      </c>
      <c r="AF909" s="296" t="s">
        <v>193</v>
      </c>
      <c r="AG909" s="296">
        <v>0</v>
      </c>
      <c r="AH909" s="298">
        <v>45838</v>
      </c>
      <c r="AJ909" s="296" t="s">
        <v>194</v>
      </c>
      <c r="AK909" s="299">
        <f>COUNTIF($A$3:A$917,A909)</f>
        <v>1</v>
      </c>
    </row>
    <row r="910" spans="1:37" x14ac:dyDescent="0.25">
      <c r="A910" s="296">
        <v>3101806071</v>
      </c>
      <c r="B910" s="296" t="s">
        <v>6973</v>
      </c>
      <c r="C910" s="296" t="s">
        <v>183</v>
      </c>
      <c r="D910" s="296" t="s">
        <v>183</v>
      </c>
      <c r="E910" s="296" t="s">
        <v>183</v>
      </c>
      <c r="F910" s="296" t="s">
        <v>6974</v>
      </c>
      <c r="G910" s="296" t="s">
        <v>6974</v>
      </c>
      <c r="H910" s="296" t="s">
        <v>6975</v>
      </c>
      <c r="I910" s="296" t="s">
        <v>6960</v>
      </c>
      <c r="J910" s="296" t="s">
        <v>6976</v>
      </c>
      <c r="K910" s="296" t="s">
        <v>2049</v>
      </c>
      <c r="L910" s="296" t="s">
        <v>2044</v>
      </c>
      <c r="M910" s="296" t="s">
        <v>179</v>
      </c>
      <c r="N910" s="296" t="s">
        <v>2045</v>
      </c>
      <c r="O910" s="296" t="s">
        <v>2046</v>
      </c>
      <c r="P910" s="296" t="s">
        <v>2047</v>
      </c>
      <c r="Q910" s="296" t="s">
        <v>183</v>
      </c>
      <c r="R910" s="296" t="s">
        <v>6977</v>
      </c>
      <c r="S910" s="296" t="s">
        <v>185</v>
      </c>
      <c r="T910" s="296" t="s">
        <v>185</v>
      </c>
      <c r="U910" s="296" t="s">
        <v>186</v>
      </c>
      <c r="V910" s="296" t="s">
        <v>187</v>
      </c>
      <c r="W910" s="296" t="s">
        <v>188</v>
      </c>
      <c r="X910" s="296" t="s">
        <v>189</v>
      </c>
      <c r="Y910" s="296" t="s">
        <v>183</v>
      </c>
      <c r="Z910" s="296" t="s">
        <v>183</v>
      </c>
      <c r="AA910" s="296" t="s">
        <v>183</v>
      </c>
      <c r="AB910" s="296" t="s">
        <v>183</v>
      </c>
      <c r="AC910" s="296" t="s">
        <v>6978</v>
      </c>
      <c r="AD910" s="296" t="s">
        <v>6979</v>
      </c>
      <c r="AE910" s="296" t="s">
        <v>192</v>
      </c>
      <c r="AF910" s="296" t="s">
        <v>193</v>
      </c>
      <c r="AG910" s="296">
        <v>111485.5</v>
      </c>
      <c r="AH910" s="298">
        <v>43167</v>
      </c>
      <c r="AJ910" s="296" t="s">
        <v>194</v>
      </c>
      <c r="AK910" s="299">
        <f>COUNTIF($A$3:A$917,A910)</f>
        <v>1</v>
      </c>
    </row>
    <row r="911" spans="1:37" x14ac:dyDescent="0.25">
      <c r="A911" s="296">
        <v>110560694</v>
      </c>
      <c r="B911" s="296" t="s">
        <v>6531</v>
      </c>
      <c r="C911" s="296" t="s">
        <v>183</v>
      </c>
      <c r="D911" s="296" t="s">
        <v>183</v>
      </c>
      <c r="E911" s="296" t="s">
        <v>183</v>
      </c>
      <c r="F911" s="296" t="s">
        <v>6532</v>
      </c>
      <c r="G911" s="296" t="s">
        <v>6533</v>
      </c>
      <c r="H911" s="296" t="s">
        <v>6534</v>
      </c>
      <c r="I911" s="296" t="s">
        <v>6960</v>
      </c>
      <c r="J911" s="296" t="s">
        <v>6976</v>
      </c>
      <c r="K911" s="296" t="s">
        <v>177</v>
      </c>
      <c r="L911" s="296" t="s">
        <v>178</v>
      </c>
      <c r="M911" s="296" t="s">
        <v>179</v>
      </c>
      <c r="N911" s="296" t="s">
        <v>180</v>
      </c>
      <c r="O911" s="296" t="s">
        <v>181</v>
      </c>
      <c r="P911" s="296" t="s">
        <v>182</v>
      </c>
      <c r="Q911" s="296" t="s">
        <v>183</v>
      </c>
      <c r="R911" s="296" t="s">
        <v>1434</v>
      </c>
      <c r="S911" s="296" t="s">
        <v>185</v>
      </c>
      <c r="T911" s="296" t="s">
        <v>185</v>
      </c>
      <c r="U911" s="296" t="s">
        <v>186</v>
      </c>
      <c r="V911" s="296" t="s">
        <v>187</v>
      </c>
      <c r="W911" s="296" t="s">
        <v>188</v>
      </c>
      <c r="X911" s="296" t="s">
        <v>256</v>
      </c>
      <c r="Y911" s="296" t="s">
        <v>183</v>
      </c>
      <c r="Z911" s="296" t="s">
        <v>183</v>
      </c>
      <c r="AA911" s="296" t="s">
        <v>183</v>
      </c>
      <c r="AB911" s="296" t="s">
        <v>183</v>
      </c>
      <c r="AC911" s="296" t="s">
        <v>1435</v>
      </c>
      <c r="AD911" s="296" t="s">
        <v>6980</v>
      </c>
      <c r="AE911" s="296" t="s">
        <v>192</v>
      </c>
      <c r="AF911" s="296" t="s">
        <v>193</v>
      </c>
      <c r="AG911" s="296">
        <v>112757</v>
      </c>
      <c r="AH911" s="298">
        <v>41443</v>
      </c>
      <c r="AJ911" s="296" t="s">
        <v>194</v>
      </c>
      <c r="AK911" s="299">
        <f>COUNTIF($A$3:A$917,A911)</f>
        <v>3</v>
      </c>
    </row>
    <row r="912" spans="1:37" x14ac:dyDescent="0.25">
      <c r="A912" s="296">
        <v>112380200</v>
      </c>
      <c r="B912" s="296" t="s">
        <v>6168</v>
      </c>
      <c r="C912" s="296" t="s">
        <v>183</v>
      </c>
      <c r="D912" s="296" t="s">
        <v>183</v>
      </c>
      <c r="E912" s="296" t="s">
        <v>183</v>
      </c>
      <c r="F912" s="296" t="s">
        <v>6169</v>
      </c>
      <c r="G912" s="296" t="s">
        <v>6169</v>
      </c>
      <c r="H912" s="296" t="s">
        <v>6170</v>
      </c>
      <c r="I912" s="296" t="s">
        <v>6960</v>
      </c>
      <c r="J912" s="296" t="s">
        <v>6981</v>
      </c>
      <c r="K912" s="296" t="s">
        <v>812</v>
      </c>
      <c r="L912" s="296" t="s">
        <v>813</v>
      </c>
      <c r="M912" s="296" t="s">
        <v>179</v>
      </c>
      <c r="N912" s="296" t="s">
        <v>604</v>
      </c>
      <c r="O912" s="296" t="s">
        <v>604</v>
      </c>
      <c r="P912" s="296" t="s">
        <v>605</v>
      </c>
      <c r="Q912" s="296" t="s">
        <v>183</v>
      </c>
      <c r="R912" s="296" t="s">
        <v>6982</v>
      </c>
      <c r="S912" s="296" t="s">
        <v>185</v>
      </c>
      <c r="T912" s="296" t="s">
        <v>185</v>
      </c>
      <c r="U912" s="296" t="s">
        <v>186</v>
      </c>
      <c r="V912" s="296" t="s">
        <v>187</v>
      </c>
      <c r="W912" s="296" t="s">
        <v>188</v>
      </c>
      <c r="X912" s="296" t="s">
        <v>189</v>
      </c>
      <c r="Y912" s="296" t="s">
        <v>183</v>
      </c>
      <c r="Z912" s="296" t="s">
        <v>183</v>
      </c>
      <c r="AA912" s="296" t="s">
        <v>183</v>
      </c>
      <c r="AB912" s="296" t="s">
        <v>183</v>
      </c>
      <c r="AC912" s="296" t="s">
        <v>6983</v>
      </c>
      <c r="AD912" s="296" t="s">
        <v>6984</v>
      </c>
      <c r="AE912" s="296" t="s">
        <v>192</v>
      </c>
      <c r="AF912" s="296" t="s">
        <v>193</v>
      </c>
      <c r="AG912" s="296">
        <v>0</v>
      </c>
      <c r="AH912" s="298">
        <v>42475</v>
      </c>
      <c r="AJ912" s="296" t="s">
        <v>194</v>
      </c>
      <c r="AK912" s="299">
        <f>COUNTIF($A$3:A$917,A912)</f>
        <v>3</v>
      </c>
    </row>
    <row r="913" spans="1:37" x14ac:dyDescent="0.25">
      <c r="A913" s="296">
        <v>3101844453</v>
      </c>
      <c r="B913" s="296" t="s">
        <v>6985</v>
      </c>
      <c r="C913" s="296" t="s">
        <v>183</v>
      </c>
      <c r="D913" s="296" t="s">
        <v>183</v>
      </c>
      <c r="E913" s="296" t="s">
        <v>183</v>
      </c>
      <c r="F913" s="296" t="s">
        <v>6986</v>
      </c>
      <c r="G913" s="296" t="s">
        <v>183</v>
      </c>
      <c r="H913" s="296" t="s">
        <v>6987</v>
      </c>
      <c r="I913" s="296" t="s">
        <v>6960</v>
      </c>
      <c r="J913" s="296" t="s">
        <v>6988</v>
      </c>
      <c r="K913" s="296" t="s">
        <v>6989</v>
      </c>
      <c r="L913" s="296" t="s">
        <v>6990</v>
      </c>
      <c r="M913" s="296" t="s">
        <v>179</v>
      </c>
      <c r="N913" s="296" t="s">
        <v>6986</v>
      </c>
      <c r="O913" s="296" t="s">
        <v>6991</v>
      </c>
      <c r="P913" s="296" t="s">
        <v>6992</v>
      </c>
      <c r="Q913" s="296" t="s">
        <v>183</v>
      </c>
      <c r="R913" s="296" t="s">
        <v>6993</v>
      </c>
      <c r="S913" s="296" t="s">
        <v>185</v>
      </c>
      <c r="T913" s="296" t="s">
        <v>185</v>
      </c>
      <c r="U913" s="296" t="s">
        <v>186</v>
      </c>
      <c r="V913" s="296" t="s">
        <v>187</v>
      </c>
      <c r="W913" s="296" t="s">
        <v>188</v>
      </c>
      <c r="X913" s="296" t="s">
        <v>189</v>
      </c>
      <c r="Y913" s="296" t="s">
        <v>183</v>
      </c>
      <c r="Z913" s="296" t="s">
        <v>183</v>
      </c>
      <c r="AA913" s="296" t="s">
        <v>183</v>
      </c>
      <c r="AB913" s="296" t="s">
        <v>183</v>
      </c>
      <c r="AC913" s="296" t="s">
        <v>6994</v>
      </c>
      <c r="AD913" s="296" t="s">
        <v>6995</v>
      </c>
      <c r="AE913" s="296" t="s">
        <v>192</v>
      </c>
      <c r="AF913" s="296" t="s">
        <v>193</v>
      </c>
      <c r="AG913" s="296">
        <v>0</v>
      </c>
      <c r="AH913" s="298">
        <v>44670</v>
      </c>
      <c r="AJ913" s="296" t="s">
        <v>194</v>
      </c>
      <c r="AK913" s="299">
        <f>COUNTIF($A$3:A$917,A913)</f>
        <v>1</v>
      </c>
    </row>
    <row r="914" spans="1:37" x14ac:dyDescent="0.25">
      <c r="A914" s="296">
        <v>502240180</v>
      </c>
      <c r="B914" s="296" t="s">
        <v>6996</v>
      </c>
      <c r="C914" s="296" t="s">
        <v>183</v>
      </c>
      <c r="D914" s="296" t="s">
        <v>183</v>
      </c>
      <c r="E914" s="296" t="s">
        <v>183</v>
      </c>
      <c r="F914" s="296" t="s">
        <v>6997</v>
      </c>
      <c r="G914" s="296" t="s">
        <v>6997</v>
      </c>
      <c r="H914" s="296" t="s">
        <v>262</v>
      </c>
      <c r="I914" s="296" t="s">
        <v>6998</v>
      </c>
      <c r="J914" s="296" t="s">
        <v>6999</v>
      </c>
      <c r="K914" s="296" t="s">
        <v>7000</v>
      </c>
      <c r="L914" s="296" t="s">
        <v>7001</v>
      </c>
      <c r="M914" s="296" t="s">
        <v>179</v>
      </c>
      <c r="N914" s="296" t="s">
        <v>7002</v>
      </c>
      <c r="O914" s="296" t="s">
        <v>183</v>
      </c>
      <c r="P914" s="296" t="s">
        <v>7003</v>
      </c>
      <c r="Q914" s="296" t="s">
        <v>183</v>
      </c>
      <c r="R914" s="296" t="s">
        <v>7004</v>
      </c>
      <c r="S914" s="296" t="s">
        <v>185</v>
      </c>
      <c r="T914" s="296" t="s">
        <v>185</v>
      </c>
      <c r="U914" s="296" t="s">
        <v>186</v>
      </c>
      <c r="V914" s="296" t="s">
        <v>187</v>
      </c>
      <c r="W914" s="296" t="s">
        <v>188</v>
      </c>
      <c r="X914" s="296" t="s">
        <v>224</v>
      </c>
      <c r="Y914" s="296" t="s">
        <v>183</v>
      </c>
      <c r="Z914" s="296" t="s">
        <v>183</v>
      </c>
      <c r="AA914" s="296" t="s">
        <v>183</v>
      </c>
      <c r="AB914" s="296" t="s">
        <v>183</v>
      </c>
      <c r="AC914" s="296" t="s">
        <v>7005</v>
      </c>
      <c r="AD914" s="296" t="s">
        <v>7006</v>
      </c>
      <c r="AE914" s="296" t="s">
        <v>192</v>
      </c>
      <c r="AF914" s="296" t="s">
        <v>193</v>
      </c>
      <c r="AG914" s="296">
        <v>0</v>
      </c>
      <c r="AH914" s="298">
        <v>43250</v>
      </c>
      <c r="AI914" s="298">
        <v>45629</v>
      </c>
      <c r="AJ914" s="296" t="s">
        <v>194</v>
      </c>
      <c r="AK914" s="299">
        <f>COUNTIF($A$3:A$917,A914)</f>
        <v>1</v>
      </c>
    </row>
    <row r="915" spans="1:37" x14ac:dyDescent="0.25">
      <c r="A915" s="296">
        <v>504200428</v>
      </c>
      <c r="B915" s="296" t="s">
        <v>7007</v>
      </c>
      <c r="C915" s="296" t="s">
        <v>183</v>
      </c>
      <c r="D915" s="296" t="s">
        <v>183</v>
      </c>
      <c r="E915" s="296" t="s">
        <v>183</v>
      </c>
      <c r="F915" s="296" t="s">
        <v>7008</v>
      </c>
      <c r="G915" s="296" t="s">
        <v>183</v>
      </c>
      <c r="H915" s="296" t="s">
        <v>7009</v>
      </c>
      <c r="I915" s="296" t="s">
        <v>6998</v>
      </c>
      <c r="J915" s="296" t="s">
        <v>7010</v>
      </c>
      <c r="K915" s="296" t="s">
        <v>7011</v>
      </c>
      <c r="L915" s="296" t="s">
        <v>7012</v>
      </c>
      <c r="M915" s="296" t="s">
        <v>179</v>
      </c>
      <c r="N915" s="296" t="s">
        <v>7013</v>
      </c>
      <c r="O915" s="296" t="s">
        <v>7013</v>
      </c>
      <c r="P915" s="296" t="s">
        <v>7014</v>
      </c>
      <c r="Q915" s="296" t="s">
        <v>183</v>
      </c>
      <c r="R915" s="296" t="s">
        <v>7015</v>
      </c>
      <c r="S915" s="296" t="s">
        <v>185</v>
      </c>
      <c r="T915" s="296" t="s">
        <v>185</v>
      </c>
      <c r="U915" s="296" t="s">
        <v>186</v>
      </c>
      <c r="V915" s="296" t="s">
        <v>187</v>
      </c>
      <c r="W915" s="296" t="s">
        <v>188</v>
      </c>
      <c r="X915" s="296" t="s">
        <v>189</v>
      </c>
      <c r="Y915" s="296" t="s">
        <v>183</v>
      </c>
      <c r="Z915" s="296" t="s">
        <v>183</v>
      </c>
      <c r="AA915" s="296" t="s">
        <v>183</v>
      </c>
      <c r="AB915" s="296" t="s">
        <v>183</v>
      </c>
      <c r="AC915" s="296" t="s">
        <v>7016</v>
      </c>
      <c r="AD915" s="296" t="s">
        <v>7017</v>
      </c>
      <c r="AE915" s="296" t="s">
        <v>192</v>
      </c>
      <c r="AF915" s="296" t="s">
        <v>193</v>
      </c>
      <c r="AG915" s="296">
        <v>0</v>
      </c>
      <c r="AH915" s="298">
        <v>45250</v>
      </c>
      <c r="AJ915" s="296" t="s">
        <v>194</v>
      </c>
      <c r="AK915" s="299">
        <f>COUNTIF($A$3:A$917,A915)</f>
        <v>1</v>
      </c>
    </row>
    <row r="916" spans="1:37" x14ac:dyDescent="0.25">
      <c r="A916" s="296">
        <v>3101469529</v>
      </c>
      <c r="B916" s="296" t="s">
        <v>4838</v>
      </c>
      <c r="C916" s="296" t="s">
        <v>183</v>
      </c>
      <c r="D916" s="296" t="s">
        <v>183</v>
      </c>
      <c r="E916" s="296" t="s">
        <v>183</v>
      </c>
      <c r="F916" s="296" t="s">
        <v>4839</v>
      </c>
      <c r="G916" s="296" t="s">
        <v>4840</v>
      </c>
      <c r="H916" s="296" t="s">
        <v>4841</v>
      </c>
      <c r="I916" s="296" t="s">
        <v>6998</v>
      </c>
      <c r="J916" s="296" t="s">
        <v>7018</v>
      </c>
      <c r="K916" s="296" t="s">
        <v>4843</v>
      </c>
      <c r="L916" s="296" t="s">
        <v>4844</v>
      </c>
      <c r="M916" s="296" t="s">
        <v>179</v>
      </c>
      <c r="N916" s="296" t="s">
        <v>437</v>
      </c>
      <c r="O916" s="296" t="s">
        <v>183</v>
      </c>
      <c r="P916" s="296" t="s">
        <v>4845</v>
      </c>
      <c r="Q916" s="296" t="s">
        <v>183</v>
      </c>
      <c r="R916" s="296" t="s">
        <v>4846</v>
      </c>
      <c r="S916" s="296" t="s">
        <v>185</v>
      </c>
      <c r="T916" s="296" t="s">
        <v>185</v>
      </c>
      <c r="U916" s="296" t="s">
        <v>186</v>
      </c>
      <c r="V916" s="296" t="s">
        <v>187</v>
      </c>
      <c r="W916" s="296" t="s">
        <v>188</v>
      </c>
      <c r="X916" s="296" t="s">
        <v>224</v>
      </c>
      <c r="Y916" s="296" t="s">
        <v>183</v>
      </c>
      <c r="Z916" s="296" t="s">
        <v>183</v>
      </c>
      <c r="AA916" s="296" t="s">
        <v>183</v>
      </c>
      <c r="AB916" s="296" t="s">
        <v>183</v>
      </c>
      <c r="AC916" s="296" t="s">
        <v>4847</v>
      </c>
      <c r="AD916" s="296" t="s">
        <v>7019</v>
      </c>
      <c r="AE916" s="296" t="s">
        <v>192</v>
      </c>
      <c r="AF916" s="296" t="s">
        <v>193</v>
      </c>
      <c r="AG916" s="296">
        <v>15902.75</v>
      </c>
      <c r="AH916" s="298">
        <v>42864</v>
      </c>
      <c r="AJ916" s="296" t="s">
        <v>194</v>
      </c>
      <c r="AK916" s="299">
        <f>COUNTIF($A$3:A$917,A916)</f>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U627"/>
  <sheetViews>
    <sheetView topLeftCell="D611" workbookViewId="0">
      <selection activeCell="B10" sqref="B10"/>
    </sheetView>
  </sheetViews>
  <sheetFormatPr baseColWidth="10" defaultColWidth="11.42578125" defaultRowHeight="35.1" customHeight="1" x14ac:dyDescent="0.2"/>
  <cols>
    <col min="2" max="2" width="102.85546875" bestFit="1" customWidth="1"/>
    <col min="3" max="3" width="13.7109375" bestFit="1" customWidth="1"/>
    <col min="4" max="4" width="50.140625" bestFit="1" customWidth="1"/>
    <col min="5" max="5" width="46.42578125" bestFit="1" customWidth="1"/>
    <col min="6" max="6" width="23.28515625" customWidth="1"/>
    <col min="7" max="7" width="67.28515625" customWidth="1"/>
    <col min="8" max="8" width="51.5703125" bestFit="1" customWidth="1"/>
    <col min="9" max="9" width="23.140625" bestFit="1" customWidth="1"/>
    <col min="10" max="10" width="14.7109375" customWidth="1"/>
    <col min="13" max="13" width="73.42578125" customWidth="1"/>
    <col min="14" max="14" width="23.7109375" customWidth="1"/>
    <col min="15" max="15" width="19.7109375" bestFit="1" customWidth="1"/>
    <col min="17" max="17" width="58.42578125" bestFit="1" customWidth="1"/>
    <col min="21" max="21" width="115.42578125" bestFit="1" customWidth="1"/>
  </cols>
  <sheetData>
    <row r="2" spans="2:21" ht="35.1" customHeight="1" x14ac:dyDescent="0.2">
      <c r="U2" s="38" t="s">
        <v>7020</v>
      </c>
    </row>
    <row r="3" spans="2:21" ht="35.1" customHeight="1" x14ac:dyDescent="0.2">
      <c r="B3" t="s">
        <v>7021</v>
      </c>
      <c r="C3" t="s">
        <v>109</v>
      </c>
      <c r="D3" s="6" t="s">
        <v>7022</v>
      </c>
      <c r="E3" s="6" t="s">
        <v>7023</v>
      </c>
      <c r="I3" s="38" t="s">
        <v>50</v>
      </c>
      <c r="J3" s="72" t="s">
        <v>7024</v>
      </c>
      <c r="K3" s="72" t="s">
        <v>7025</v>
      </c>
      <c r="P3" s="7" t="s">
        <v>7026</v>
      </c>
      <c r="Q3" s="37" t="s">
        <v>7027</v>
      </c>
      <c r="U3" s="69" t="s">
        <v>7028</v>
      </c>
    </row>
    <row r="4" spans="2:21" ht="35.1" customHeight="1" x14ac:dyDescent="0.2">
      <c r="B4" t="s">
        <v>7029</v>
      </c>
      <c r="D4" s="7" t="s">
        <v>7030</v>
      </c>
      <c r="E4" s="7" t="s">
        <v>7031</v>
      </c>
      <c r="I4" s="39" t="s">
        <v>7021</v>
      </c>
      <c r="J4" s="71" t="s">
        <v>7032</v>
      </c>
      <c r="K4" s="39" t="s">
        <v>7033</v>
      </c>
      <c r="N4" s="136">
        <v>1</v>
      </c>
      <c r="Q4" s="37" t="s">
        <v>7034</v>
      </c>
      <c r="U4" s="69" t="s">
        <v>7035</v>
      </c>
    </row>
    <row r="5" spans="2:21" ht="35.1" customHeight="1" x14ac:dyDescent="0.2">
      <c r="D5" s="7" t="s">
        <v>7036</v>
      </c>
      <c r="E5" s="7" t="s">
        <v>7</v>
      </c>
      <c r="I5" s="39" t="s">
        <v>7037</v>
      </c>
      <c r="J5" s="71" t="s">
        <v>7038</v>
      </c>
      <c r="K5" s="39" t="s">
        <v>7039</v>
      </c>
      <c r="N5" s="136">
        <v>0</v>
      </c>
      <c r="U5" s="69" t="s">
        <v>7040</v>
      </c>
    </row>
    <row r="6" spans="2:21" ht="35.1" customHeight="1" x14ac:dyDescent="0.2">
      <c r="E6" s="7" t="s">
        <v>7041</v>
      </c>
      <c r="I6" s="39" t="s">
        <v>7038</v>
      </c>
      <c r="U6" s="69" t="s">
        <v>7042</v>
      </c>
    </row>
    <row r="7" spans="2:21" ht="35.1" customHeight="1" thickBot="1" x14ac:dyDescent="0.25">
      <c r="I7" s="34" t="s">
        <v>7043</v>
      </c>
      <c r="Q7" s="35" t="s">
        <v>7044</v>
      </c>
      <c r="U7" s="70" t="s">
        <v>7045</v>
      </c>
    </row>
    <row r="8" spans="2:21" ht="35.1" customHeight="1" thickBot="1" x14ac:dyDescent="0.25">
      <c r="B8" s="2" t="s">
        <v>7046</v>
      </c>
      <c r="C8" s="6" t="s">
        <v>7047</v>
      </c>
      <c r="D8" s="6" t="s">
        <v>7048</v>
      </c>
      <c r="F8" s="6" t="s">
        <v>7049</v>
      </c>
      <c r="G8" s="6"/>
      <c r="I8" s="9" t="s">
        <v>7050</v>
      </c>
      <c r="J8" s="10" t="s">
        <v>7051</v>
      </c>
      <c r="K8" s="10" t="s">
        <v>7052</v>
      </c>
      <c r="L8" s="10" t="s">
        <v>7053</v>
      </c>
      <c r="M8" s="51" t="s">
        <v>7054</v>
      </c>
      <c r="N8" s="52" t="s">
        <v>7055</v>
      </c>
      <c r="O8" s="10" t="s">
        <v>7056</v>
      </c>
      <c r="Q8" s="35" t="s">
        <v>7057</v>
      </c>
      <c r="U8" s="69" t="s">
        <v>7058</v>
      </c>
    </row>
    <row r="9" spans="2:21" ht="35.1" customHeight="1" x14ac:dyDescent="0.25">
      <c r="F9" s="8" t="s">
        <v>7059</v>
      </c>
      <c r="G9" s="8"/>
      <c r="I9" s="31"/>
      <c r="J9" s="32"/>
      <c r="K9" s="15"/>
      <c r="L9" s="18"/>
      <c r="M9" s="40"/>
      <c r="N9" s="15"/>
      <c r="O9" s="15"/>
      <c r="P9" s="79"/>
      <c r="Q9" s="36"/>
      <c r="U9" s="70" t="s">
        <v>7060</v>
      </c>
    </row>
    <row r="10" spans="2:21" ht="35.1" customHeight="1" x14ac:dyDescent="0.2">
      <c r="B10" s="3" t="s">
        <v>7061</v>
      </c>
      <c r="C10" t="s">
        <v>7062</v>
      </c>
      <c r="D10" s="3" t="s">
        <v>7063</v>
      </c>
      <c r="F10" s="8" t="s">
        <v>7064</v>
      </c>
      <c r="G10" s="8"/>
      <c r="I10" s="16"/>
      <c r="J10" s="17"/>
      <c r="K10" s="15"/>
      <c r="L10" s="18"/>
      <c r="M10" s="20"/>
      <c r="N10" s="22"/>
      <c r="O10" s="15"/>
      <c r="P10" s="79"/>
      <c r="Q10" s="55" t="s">
        <v>7065</v>
      </c>
      <c r="R10" s="56" t="s">
        <v>7066</v>
      </c>
      <c r="U10" s="69" t="s">
        <v>7067</v>
      </c>
    </row>
    <row r="11" spans="2:21" ht="35.1" customHeight="1" x14ac:dyDescent="0.2">
      <c r="B11" s="4" t="s">
        <v>7061</v>
      </c>
      <c r="C11" t="s">
        <v>7068</v>
      </c>
      <c r="D11" s="4" t="s">
        <v>7061</v>
      </c>
      <c r="F11" s="8" t="s">
        <v>7069</v>
      </c>
      <c r="G11" s="8"/>
      <c r="I11" s="16"/>
      <c r="J11" s="17"/>
      <c r="K11" s="15"/>
      <c r="L11" s="18"/>
      <c r="M11" s="41"/>
      <c r="N11" s="15"/>
      <c r="O11" s="15"/>
      <c r="P11" s="79"/>
      <c r="Q11" s="57" t="s">
        <v>7070</v>
      </c>
      <c r="R11" s="57">
        <v>40201</v>
      </c>
      <c r="U11" s="70" t="s">
        <v>7071</v>
      </c>
    </row>
    <row r="12" spans="2:21" ht="35.1" customHeight="1" x14ac:dyDescent="0.2">
      <c r="B12" s="1" t="s">
        <v>7072</v>
      </c>
      <c r="C12" t="s">
        <v>7073</v>
      </c>
      <c r="D12" s="4" t="s">
        <v>7074</v>
      </c>
      <c r="F12" s="8" t="s">
        <v>7075</v>
      </c>
      <c r="G12" s="8"/>
      <c r="I12" s="16"/>
      <c r="J12" s="17"/>
      <c r="K12" s="15"/>
      <c r="L12" s="18"/>
      <c r="M12" s="20"/>
      <c r="N12" s="15"/>
      <c r="O12" s="15"/>
      <c r="P12" s="79"/>
      <c r="Q12" s="57" t="s">
        <v>7076</v>
      </c>
      <c r="R12" s="57">
        <v>40202</v>
      </c>
      <c r="U12" s="70" t="s">
        <v>7077</v>
      </c>
    </row>
    <row r="13" spans="2:21" ht="35.1" customHeight="1" x14ac:dyDescent="0.2">
      <c r="B13" s="1" t="s">
        <v>7078</v>
      </c>
      <c r="C13" t="s">
        <v>7079</v>
      </c>
      <c r="D13" s="4" t="s">
        <v>7080</v>
      </c>
      <c r="F13" s="8" t="s">
        <v>7081</v>
      </c>
      <c r="G13" s="8"/>
      <c r="I13" s="16"/>
      <c r="J13" s="17"/>
      <c r="K13" s="15"/>
      <c r="L13" s="18"/>
      <c r="M13" s="20"/>
      <c r="N13" s="15"/>
      <c r="O13" s="15"/>
      <c r="P13" s="79"/>
      <c r="Q13" s="57" t="s">
        <v>7082</v>
      </c>
      <c r="R13" s="57">
        <v>40203</v>
      </c>
      <c r="U13" s="70" t="s">
        <v>7083</v>
      </c>
    </row>
    <row r="14" spans="2:21" ht="35.1" customHeight="1" x14ac:dyDescent="0.2">
      <c r="B14" s="1" t="s">
        <v>7084</v>
      </c>
      <c r="C14" t="s">
        <v>7085</v>
      </c>
      <c r="D14" s="4" t="s">
        <v>7086</v>
      </c>
      <c r="F14" s="8" t="s">
        <v>7087</v>
      </c>
      <c r="G14" s="8"/>
      <c r="I14" s="16"/>
      <c r="J14" s="17"/>
      <c r="K14" s="15"/>
      <c r="L14" s="18"/>
      <c r="M14" s="20"/>
      <c r="N14" s="15"/>
      <c r="O14" s="15"/>
      <c r="P14" s="79"/>
      <c r="Q14" s="57" t="s">
        <v>7088</v>
      </c>
      <c r="R14" s="57">
        <v>40204</v>
      </c>
      <c r="U14" s="70" t="s">
        <v>7089</v>
      </c>
    </row>
    <row r="15" spans="2:21" ht="35.1" customHeight="1" x14ac:dyDescent="0.2">
      <c r="B15" s="1" t="s">
        <v>7090</v>
      </c>
      <c r="C15" t="s">
        <v>7091</v>
      </c>
      <c r="D15" s="4" t="s">
        <v>7092</v>
      </c>
      <c r="F15" s="8" t="s">
        <v>7093</v>
      </c>
      <c r="G15" s="8"/>
      <c r="I15" s="16"/>
      <c r="J15" s="17"/>
      <c r="K15" s="15"/>
      <c r="L15" s="18"/>
      <c r="M15" s="20"/>
      <c r="N15" s="22"/>
      <c r="O15" s="15"/>
      <c r="P15" s="79"/>
      <c r="Q15" s="57" t="s">
        <v>7094</v>
      </c>
      <c r="R15" s="57">
        <v>40205</v>
      </c>
      <c r="U15" s="69" t="s">
        <v>7095</v>
      </c>
    </row>
    <row r="16" spans="2:21" ht="35.1" customHeight="1" x14ac:dyDescent="0.2">
      <c r="B16" s="1" t="s">
        <v>7096</v>
      </c>
      <c r="C16" t="s">
        <v>7097</v>
      </c>
      <c r="D16" s="4" t="s">
        <v>7098</v>
      </c>
      <c r="F16" s="8" t="s">
        <v>7099</v>
      </c>
      <c r="G16" s="8"/>
      <c r="I16" s="16"/>
      <c r="J16" s="17"/>
      <c r="K16" s="15"/>
      <c r="L16" s="18"/>
      <c r="M16" s="33"/>
      <c r="N16" s="15"/>
      <c r="O16" s="15"/>
      <c r="P16" s="79"/>
      <c r="Q16" s="57" t="s">
        <v>7100</v>
      </c>
      <c r="R16" s="57">
        <v>40206</v>
      </c>
    </row>
    <row r="17" spans="2:21" ht="35.1" customHeight="1" x14ac:dyDescent="0.2">
      <c r="B17" s="1" t="s">
        <v>7101</v>
      </c>
      <c r="D17" s="4" t="s">
        <v>7102</v>
      </c>
      <c r="F17" s="8" t="s">
        <v>7103</v>
      </c>
      <c r="G17" s="8"/>
      <c r="I17" s="16"/>
      <c r="J17" s="17"/>
      <c r="K17" s="15"/>
      <c r="L17" s="18"/>
      <c r="M17" s="20"/>
      <c r="N17" s="15"/>
      <c r="O17" s="15"/>
      <c r="P17" s="79"/>
      <c r="Q17" s="57" t="s">
        <v>7104</v>
      </c>
      <c r="R17" s="57">
        <v>40207</v>
      </c>
      <c r="U17" s="69"/>
    </row>
    <row r="18" spans="2:21" ht="35.1" customHeight="1" x14ac:dyDescent="0.2">
      <c r="B18" s="1" t="s">
        <v>7105</v>
      </c>
      <c r="D18" s="4" t="s">
        <v>7106</v>
      </c>
      <c r="F18" s="8" t="s">
        <v>7107</v>
      </c>
      <c r="G18" s="8"/>
      <c r="I18" s="16"/>
      <c r="J18" s="17"/>
      <c r="K18" s="15"/>
      <c r="L18" s="18"/>
      <c r="M18" s="33"/>
      <c r="N18" s="15"/>
      <c r="O18" s="15"/>
      <c r="P18" s="79"/>
      <c r="Q18" s="57" t="s">
        <v>7108</v>
      </c>
      <c r="R18" s="57">
        <v>40301</v>
      </c>
      <c r="U18" s="69"/>
    </row>
    <row r="19" spans="2:21" ht="35.1" customHeight="1" x14ac:dyDescent="0.2">
      <c r="B19" s="1" t="s">
        <v>7109</v>
      </c>
      <c r="D19" s="4" t="s">
        <v>7110</v>
      </c>
      <c r="F19" s="8" t="s">
        <v>7111</v>
      </c>
      <c r="G19" s="8"/>
      <c r="I19" s="16"/>
      <c r="J19" s="17"/>
      <c r="K19" s="15"/>
      <c r="L19" s="18"/>
      <c r="M19" s="33"/>
      <c r="N19" s="15"/>
      <c r="O19" s="15"/>
      <c r="P19" s="79"/>
      <c r="Q19" s="57" t="s">
        <v>7112</v>
      </c>
      <c r="R19" s="57">
        <v>40303</v>
      </c>
      <c r="U19" s="69"/>
    </row>
    <row r="20" spans="2:21" ht="35.1" customHeight="1" x14ac:dyDescent="0.2">
      <c r="B20" s="1" t="s">
        <v>7113</v>
      </c>
      <c r="D20" s="4" t="s">
        <v>7114</v>
      </c>
      <c r="F20" s="8" t="s">
        <v>7115</v>
      </c>
      <c r="G20" s="8"/>
      <c r="I20" s="16"/>
      <c r="J20" s="32"/>
      <c r="K20" s="15"/>
      <c r="L20" s="18"/>
      <c r="M20" s="33"/>
      <c r="N20" s="15"/>
      <c r="O20" s="15"/>
      <c r="P20" s="79"/>
      <c r="Q20" s="57" t="s">
        <v>7116</v>
      </c>
      <c r="R20" s="57">
        <v>40304</v>
      </c>
      <c r="U20" s="69"/>
    </row>
    <row r="21" spans="2:21" ht="35.1" customHeight="1" x14ac:dyDescent="0.2">
      <c r="B21" s="1" t="s">
        <v>7117</v>
      </c>
      <c r="D21" s="5" t="s">
        <v>7118</v>
      </c>
      <c r="F21" s="8" t="s">
        <v>7119</v>
      </c>
      <c r="G21" s="8"/>
      <c r="I21" s="16"/>
      <c r="J21" s="17"/>
      <c r="K21" s="15"/>
      <c r="L21" s="18"/>
      <c r="M21" s="20"/>
      <c r="N21" s="15"/>
      <c r="O21" s="15"/>
      <c r="P21" s="79"/>
      <c r="Q21" s="57" t="s">
        <v>7120</v>
      </c>
      <c r="R21" s="57">
        <v>40305</v>
      </c>
      <c r="U21" s="69"/>
    </row>
    <row r="22" spans="2:21" ht="35.1" customHeight="1" x14ac:dyDescent="0.25">
      <c r="B22" s="1" t="s">
        <v>7121</v>
      </c>
      <c r="D22" s="4" t="s">
        <v>7122</v>
      </c>
      <c r="F22" s="8" t="s">
        <v>7123</v>
      </c>
      <c r="G22" s="8"/>
      <c r="I22" s="29"/>
      <c r="J22" s="30"/>
      <c r="K22" s="15"/>
      <c r="L22" s="18"/>
      <c r="M22" s="20"/>
      <c r="N22" s="22"/>
      <c r="O22" s="22"/>
      <c r="P22" s="79"/>
      <c r="Q22" s="57" t="s">
        <v>7124</v>
      </c>
      <c r="R22" s="57">
        <v>40401</v>
      </c>
      <c r="U22" s="69"/>
    </row>
    <row r="23" spans="2:21" ht="35.1" customHeight="1" x14ac:dyDescent="0.2">
      <c r="B23" s="4" t="s">
        <v>7074</v>
      </c>
      <c r="D23" s="4" t="s">
        <v>7125</v>
      </c>
      <c r="F23" s="8" t="s">
        <v>7126</v>
      </c>
      <c r="G23" s="8"/>
      <c r="I23" s="16"/>
      <c r="J23" s="17"/>
      <c r="K23" s="15"/>
      <c r="L23" s="18"/>
      <c r="M23" s="20"/>
      <c r="N23" s="15"/>
      <c r="O23" s="15"/>
      <c r="P23" s="79"/>
      <c r="Q23" s="57" t="s">
        <v>7127</v>
      </c>
      <c r="R23" s="57">
        <v>40402</v>
      </c>
    </row>
    <row r="24" spans="2:21" ht="35.1" customHeight="1" x14ac:dyDescent="0.2">
      <c r="B24" s="1" t="s">
        <v>7128</v>
      </c>
      <c r="D24" s="4" t="s">
        <v>7129</v>
      </c>
      <c r="F24" s="8" t="s">
        <v>7130</v>
      </c>
      <c r="G24" s="8"/>
      <c r="I24" s="16"/>
      <c r="J24" s="17"/>
      <c r="K24" s="15"/>
      <c r="L24" s="18"/>
      <c r="M24" s="42"/>
      <c r="N24" s="15"/>
      <c r="O24" s="15"/>
      <c r="P24" s="79"/>
      <c r="Q24" s="57" t="s">
        <v>7131</v>
      </c>
      <c r="R24" s="57">
        <v>40403</v>
      </c>
    </row>
    <row r="25" spans="2:21" ht="35.1" customHeight="1" x14ac:dyDescent="0.2">
      <c r="B25" s="1" t="s">
        <v>7132</v>
      </c>
      <c r="D25" s="4" t="s">
        <v>7133</v>
      </c>
      <c r="F25" s="8" t="s">
        <v>7134</v>
      </c>
      <c r="G25" s="8"/>
      <c r="I25" s="16"/>
      <c r="J25" s="17"/>
      <c r="K25" s="15"/>
      <c r="L25" s="18"/>
      <c r="M25" s="20"/>
      <c r="N25" s="15"/>
      <c r="O25" s="15"/>
      <c r="P25" s="79"/>
      <c r="Q25" s="58" t="s">
        <v>7135</v>
      </c>
      <c r="R25" s="58">
        <v>40501</v>
      </c>
    </row>
    <row r="26" spans="2:21" ht="35.1" customHeight="1" x14ac:dyDescent="0.2">
      <c r="B26" s="1" t="s">
        <v>7136</v>
      </c>
      <c r="D26" s="4" t="s">
        <v>7137</v>
      </c>
      <c r="F26" s="8" t="s">
        <v>7138</v>
      </c>
      <c r="G26" s="8"/>
      <c r="I26" s="16"/>
      <c r="J26" s="17"/>
      <c r="K26" s="15"/>
      <c r="L26" s="18"/>
      <c r="M26" s="20"/>
      <c r="N26" s="15"/>
      <c r="O26" s="15"/>
      <c r="P26" s="79"/>
      <c r="Q26" s="58" t="s">
        <v>7139</v>
      </c>
      <c r="R26" s="58">
        <v>40503</v>
      </c>
    </row>
    <row r="27" spans="2:21" ht="35.1" customHeight="1" x14ac:dyDescent="0.2">
      <c r="B27" s="4" t="s">
        <v>7080</v>
      </c>
      <c r="D27" s="4" t="s">
        <v>7140</v>
      </c>
      <c r="F27" s="8" t="s">
        <v>7141</v>
      </c>
      <c r="G27" s="8"/>
      <c r="I27" s="16"/>
      <c r="J27" s="17"/>
      <c r="K27" s="15"/>
      <c r="L27" s="18"/>
      <c r="M27" s="20"/>
      <c r="N27" s="15"/>
      <c r="O27" s="15"/>
      <c r="P27" s="79"/>
      <c r="Q27" s="58" t="s">
        <v>7142</v>
      </c>
      <c r="R27" s="58">
        <v>40504</v>
      </c>
    </row>
    <row r="28" spans="2:21" ht="35.1" customHeight="1" x14ac:dyDescent="0.25">
      <c r="B28" s="1" t="s">
        <v>7143</v>
      </c>
      <c r="D28" s="4" t="s">
        <v>7144</v>
      </c>
      <c r="F28" s="8" t="s">
        <v>7145</v>
      </c>
      <c r="G28" s="8"/>
      <c r="I28" s="31"/>
      <c r="J28" s="23"/>
      <c r="K28" s="15"/>
      <c r="L28" s="18"/>
      <c r="M28" s="40"/>
      <c r="N28" s="15"/>
      <c r="O28" s="15"/>
      <c r="P28" s="79"/>
      <c r="Q28" s="58" t="s">
        <v>7146</v>
      </c>
      <c r="R28" s="58">
        <v>40601</v>
      </c>
      <c r="U28" s="69"/>
    </row>
    <row r="29" spans="2:21" ht="35.1" customHeight="1" x14ac:dyDescent="0.2">
      <c r="B29" s="1" t="s">
        <v>7147</v>
      </c>
      <c r="D29" s="4" t="s">
        <v>7148</v>
      </c>
      <c r="F29" s="8" t="s">
        <v>7149</v>
      </c>
      <c r="G29" s="8"/>
      <c r="I29" s="16"/>
      <c r="J29" s="17"/>
      <c r="K29" s="15"/>
      <c r="L29" s="18"/>
      <c r="M29" s="20"/>
      <c r="N29" s="22"/>
      <c r="O29" s="15"/>
      <c r="P29" s="79"/>
      <c r="Q29" s="58" t="s">
        <v>7150</v>
      </c>
      <c r="R29" s="58">
        <v>40602</v>
      </c>
      <c r="U29" s="68" t="s">
        <v>7151</v>
      </c>
    </row>
    <row r="30" spans="2:21" ht="35.1" customHeight="1" x14ac:dyDescent="0.2">
      <c r="B30" s="1" t="s">
        <v>7152</v>
      </c>
      <c r="D30" s="4" t="s">
        <v>7153</v>
      </c>
      <c r="F30" s="8" t="s">
        <v>7154</v>
      </c>
      <c r="G30" s="8"/>
      <c r="I30" s="16"/>
      <c r="J30" s="17"/>
      <c r="K30" s="15"/>
      <c r="L30" s="18"/>
      <c r="M30" s="33"/>
      <c r="N30" s="15"/>
      <c r="O30" s="15"/>
      <c r="P30" s="79"/>
      <c r="Q30" s="58" t="s">
        <v>7155</v>
      </c>
      <c r="R30" s="58">
        <v>40603</v>
      </c>
      <c r="U30" s="69"/>
    </row>
    <row r="31" spans="2:21" ht="35.1" customHeight="1" x14ac:dyDescent="0.25">
      <c r="B31" s="1" t="s">
        <v>7156</v>
      </c>
      <c r="F31" s="8" t="s">
        <v>7157</v>
      </c>
      <c r="G31" s="8"/>
      <c r="I31" s="29"/>
      <c r="J31" s="23"/>
      <c r="K31" s="15"/>
      <c r="L31" s="18"/>
      <c r="M31" s="43"/>
      <c r="N31" s="22"/>
      <c r="O31" s="22"/>
      <c r="P31" s="79"/>
      <c r="Q31" s="58" t="s">
        <v>7158</v>
      </c>
      <c r="R31" s="58">
        <v>40604</v>
      </c>
      <c r="U31" s="69" t="s">
        <v>7159</v>
      </c>
    </row>
    <row r="32" spans="2:21" ht="35.1" customHeight="1" x14ac:dyDescent="0.2">
      <c r="B32" s="1" t="s">
        <v>7132</v>
      </c>
      <c r="D32" s="3" t="s">
        <v>7160</v>
      </c>
      <c r="F32" s="8" t="s">
        <v>7161</v>
      </c>
      <c r="G32" s="8"/>
      <c r="I32" s="16"/>
      <c r="J32" s="17"/>
      <c r="K32" s="15"/>
      <c r="L32" s="18"/>
      <c r="M32" s="33"/>
      <c r="N32" s="15"/>
      <c r="O32" s="15"/>
      <c r="P32" s="79"/>
      <c r="Q32" s="58" t="s">
        <v>7162</v>
      </c>
      <c r="R32" s="58">
        <v>40605</v>
      </c>
      <c r="U32" s="69" t="s">
        <v>7163</v>
      </c>
    </row>
    <row r="33" spans="2:21" ht="35.1" customHeight="1" x14ac:dyDescent="0.2">
      <c r="B33" s="1" t="s">
        <v>7164</v>
      </c>
      <c r="D33" s="4" t="s">
        <v>7068</v>
      </c>
      <c r="F33" s="8" t="s">
        <v>7165</v>
      </c>
      <c r="G33" s="8"/>
      <c r="I33" s="16"/>
      <c r="J33" s="17"/>
      <c r="K33" s="15"/>
      <c r="L33" s="18"/>
      <c r="M33" s="44"/>
      <c r="N33" s="15"/>
      <c r="O33" s="15"/>
      <c r="P33" s="79"/>
      <c r="Q33" s="58" t="s">
        <v>7166</v>
      </c>
      <c r="R33" s="58">
        <v>40606</v>
      </c>
      <c r="U33" s="69" t="s">
        <v>7167</v>
      </c>
    </row>
    <row r="34" spans="2:21" ht="35.1" customHeight="1" x14ac:dyDescent="0.25">
      <c r="B34" s="1" t="s">
        <v>7168</v>
      </c>
      <c r="D34" s="4" t="s">
        <v>7169</v>
      </c>
      <c r="I34" s="31"/>
      <c r="J34" s="23"/>
      <c r="K34" s="15"/>
      <c r="L34" s="18"/>
      <c r="M34" s="40"/>
      <c r="N34" s="15"/>
      <c r="O34" s="15"/>
      <c r="P34" s="79"/>
      <c r="Q34" s="58" t="s">
        <v>7170</v>
      </c>
      <c r="R34" s="58">
        <v>40607</v>
      </c>
      <c r="U34" s="69"/>
    </row>
    <row r="35" spans="2:21" ht="35.1" customHeight="1" x14ac:dyDescent="0.2">
      <c r="B35" s="1" t="s">
        <v>7171</v>
      </c>
      <c r="D35" s="4" t="s">
        <v>7172</v>
      </c>
      <c r="F35" s="6" t="s">
        <v>7173</v>
      </c>
      <c r="G35" s="6"/>
      <c r="I35" s="16"/>
      <c r="J35" s="17"/>
      <c r="K35" s="15"/>
      <c r="L35" s="18"/>
      <c r="M35" s="20"/>
      <c r="N35" s="15"/>
      <c r="O35" s="15"/>
      <c r="P35" s="79"/>
      <c r="Q35" s="59" t="s">
        <v>7174</v>
      </c>
      <c r="R35" s="59">
        <v>40801</v>
      </c>
      <c r="U35" s="68" t="s">
        <v>7175</v>
      </c>
    </row>
    <row r="36" spans="2:21" ht="35.1" customHeight="1" x14ac:dyDescent="0.2">
      <c r="B36" s="1" t="s">
        <v>7176</v>
      </c>
      <c r="D36" s="4" t="s">
        <v>7177</v>
      </c>
      <c r="I36" s="16"/>
      <c r="J36" s="17"/>
      <c r="K36" s="15"/>
      <c r="L36" s="18"/>
      <c r="M36" s="20"/>
      <c r="N36" s="15"/>
      <c r="O36" s="15"/>
      <c r="P36" s="79"/>
      <c r="Q36" s="59" t="s">
        <v>7178</v>
      </c>
      <c r="R36" s="59">
        <v>40802</v>
      </c>
      <c r="U36" s="69"/>
    </row>
    <row r="37" spans="2:21" ht="35.1" customHeight="1" x14ac:dyDescent="0.2">
      <c r="B37" s="1" t="s">
        <v>7179</v>
      </c>
      <c r="D37" s="4" t="s">
        <v>7180</v>
      </c>
      <c r="F37" s="7" t="s">
        <v>7181</v>
      </c>
      <c r="G37" s="7"/>
      <c r="I37" s="16"/>
      <c r="J37" s="17"/>
      <c r="K37" s="15"/>
      <c r="L37" s="18"/>
      <c r="M37" s="20"/>
      <c r="N37" s="15"/>
      <c r="O37" s="15"/>
      <c r="P37" s="79"/>
      <c r="Q37" s="59" t="s">
        <v>7182</v>
      </c>
      <c r="R37" s="59">
        <v>40803</v>
      </c>
      <c r="U37" s="69" t="s">
        <v>7183</v>
      </c>
    </row>
    <row r="38" spans="2:21" ht="35.1" customHeight="1" x14ac:dyDescent="0.2">
      <c r="B38" s="1" t="s">
        <v>7184</v>
      </c>
      <c r="D38" s="4" t="s">
        <v>7185</v>
      </c>
      <c r="F38" s="7" t="s">
        <v>7186</v>
      </c>
      <c r="G38" s="7"/>
      <c r="I38" s="16"/>
      <c r="J38" s="17"/>
      <c r="K38" s="15"/>
      <c r="L38" s="18"/>
      <c r="M38" s="20"/>
      <c r="N38" s="15"/>
      <c r="O38" s="15"/>
      <c r="P38" s="79"/>
      <c r="Q38" s="59" t="s">
        <v>7187</v>
      </c>
      <c r="R38" s="59">
        <v>40804</v>
      </c>
      <c r="U38" s="69" t="s">
        <v>7188</v>
      </c>
    </row>
    <row r="39" spans="2:21" ht="35.1" customHeight="1" x14ac:dyDescent="0.2">
      <c r="B39" s="1" t="s">
        <v>7189</v>
      </c>
      <c r="D39" s="4" t="s">
        <v>7190</v>
      </c>
      <c r="F39" s="7" t="s">
        <v>7191</v>
      </c>
      <c r="G39" s="7"/>
      <c r="I39" s="16"/>
      <c r="J39" s="17"/>
      <c r="K39" s="15"/>
      <c r="L39" s="18"/>
      <c r="M39" s="42"/>
      <c r="N39" s="15"/>
      <c r="O39" s="15"/>
      <c r="P39" s="79"/>
      <c r="Q39" s="58" t="s">
        <v>7192</v>
      </c>
      <c r="R39" s="58">
        <v>40901</v>
      </c>
      <c r="U39" s="69" t="s">
        <v>7193</v>
      </c>
    </row>
    <row r="40" spans="2:21" ht="35.1" customHeight="1" x14ac:dyDescent="0.2">
      <c r="B40" s="4" t="s">
        <v>7086</v>
      </c>
      <c r="D40" s="4" t="s">
        <v>7194</v>
      </c>
      <c r="F40" s="7" t="s">
        <v>7195</v>
      </c>
      <c r="G40" s="7"/>
      <c r="I40" s="16"/>
      <c r="J40" s="17"/>
      <c r="K40" s="15"/>
      <c r="L40" s="18"/>
      <c r="M40" s="20"/>
      <c r="N40" s="22"/>
      <c r="O40" s="15"/>
      <c r="P40" s="79"/>
      <c r="Q40" s="58" t="s">
        <v>7196</v>
      </c>
      <c r="R40" s="58">
        <v>40902</v>
      </c>
      <c r="U40" s="69" t="s">
        <v>7197</v>
      </c>
    </row>
    <row r="41" spans="2:21" ht="35.1" customHeight="1" x14ac:dyDescent="0.2">
      <c r="B41" s="1" t="s">
        <v>7198</v>
      </c>
      <c r="D41" s="4" t="s">
        <v>7199</v>
      </c>
      <c r="I41" s="16"/>
      <c r="J41" s="17"/>
      <c r="K41" s="15"/>
      <c r="L41" s="18"/>
      <c r="M41" s="20"/>
      <c r="N41" s="22"/>
      <c r="O41" s="15"/>
      <c r="P41" s="79"/>
      <c r="Q41" s="58" t="s">
        <v>7200</v>
      </c>
      <c r="R41" s="58">
        <v>60101</v>
      </c>
      <c r="U41" s="69"/>
    </row>
    <row r="42" spans="2:21" ht="35.1" customHeight="1" x14ac:dyDescent="0.2">
      <c r="B42" s="1" t="s">
        <v>7201</v>
      </c>
      <c r="D42" s="4" t="s">
        <v>7202</v>
      </c>
      <c r="F42" s="6" t="s">
        <v>7203</v>
      </c>
      <c r="G42" s="6"/>
      <c r="I42" s="16"/>
      <c r="J42" s="17"/>
      <c r="K42" s="15"/>
      <c r="L42" s="18"/>
      <c r="M42" s="20"/>
      <c r="N42" s="22"/>
      <c r="O42" s="15"/>
      <c r="P42" s="79"/>
      <c r="Q42" s="58" t="s">
        <v>7204</v>
      </c>
      <c r="R42" s="58">
        <v>60102</v>
      </c>
      <c r="U42" s="68" t="s">
        <v>7205</v>
      </c>
    </row>
    <row r="43" spans="2:21" ht="35.1" customHeight="1" x14ac:dyDescent="0.2">
      <c r="B43" s="1" t="s">
        <v>7206</v>
      </c>
      <c r="D43" s="4" t="s">
        <v>7207</v>
      </c>
      <c r="I43" s="16"/>
      <c r="J43" s="17"/>
      <c r="K43" s="15"/>
      <c r="L43" s="18"/>
      <c r="M43" s="20"/>
      <c r="N43" s="15"/>
      <c r="O43" s="15"/>
      <c r="P43" s="79"/>
      <c r="Q43" s="58" t="s">
        <v>7208</v>
      </c>
      <c r="R43" s="58">
        <v>60103</v>
      </c>
      <c r="U43" s="68"/>
    </row>
    <row r="44" spans="2:21" ht="35.1" customHeight="1" x14ac:dyDescent="0.2">
      <c r="B44" s="1" t="s">
        <v>7209</v>
      </c>
      <c r="D44" s="4" t="s">
        <v>7210</v>
      </c>
      <c r="F44" s="7" t="s">
        <v>7211</v>
      </c>
      <c r="G44" s="7"/>
      <c r="I44" s="16"/>
      <c r="J44" s="17"/>
      <c r="K44" s="15"/>
      <c r="L44" s="18"/>
      <c r="M44" s="33"/>
      <c r="N44" s="15"/>
      <c r="O44" s="15"/>
      <c r="P44" s="79"/>
      <c r="Q44" s="58" t="s">
        <v>7212</v>
      </c>
      <c r="R44" s="58">
        <v>60104</v>
      </c>
      <c r="U44" s="69" t="s">
        <v>7213</v>
      </c>
    </row>
    <row r="45" spans="2:21" ht="35.1" customHeight="1" x14ac:dyDescent="0.2">
      <c r="B45" s="1" t="s">
        <v>7136</v>
      </c>
      <c r="D45" s="4" t="s">
        <v>7214</v>
      </c>
      <c r="F45" s="7" t="s">
        <v>7215</v>
      </c>
      <c r="G45" s="7"/>
      <c r="I45" s="16"/>
      <c r="J45" s="17"/>
      <c r="K45" s="15"/>
      <c r="L45" s="18"/>
      <c r="M45" s="20"/>
      <c r="N45" s="15"/>
      <c r="O45" s="15"/>
      <c r="P45" s="79"/>
      <c r="Q45" s="58" t="s">
        <v>7216</v>
      </c>
      <c r="R45" s="58">
        <v>60105</v>
      </c>
      <c r="U45" s="69"/>
    </row>
    <row r="46" spans="2:21" ht="35.1" customHeight="1" x14ac:dyDescent="0.25">
      <c r="B46" s="1" t="s">
        <v>7217</v>
      </c>
      <c r="D46" s="4" t="s">
        <v>7218</v>
      </c>
      <c r="F46" s="7" t="s">
        <v>7219</v>
      </c>
      <c r="G46" s="7"/>
      <c r="I46" s="27"/>
      <c r="J46" s="28"/>
      <c r="K46" s="15"/>
      <c r="L46" s="18"/>
      <c r="M46" s="45"/>
      <c r="N46" s="15"/>
      <c r="O46" s="15"/>
      <c r="P46" s="79"/>
      <c r="Q46" s="60" t="s">
        <v>7220</v>
      </c>
      <c r="R46" s="60">
        <v>60301</v>
      </c>
      <c r="U46" s="68" t="s">
        <v>7221</v>
      </c>
    </row>
    <row r="47" spans="2:21" ht="35.1" customHeight="1" x14ac:dyDescent="0.2">
      <c r="B47" s="1" t="s">
        <v>7222</v>
      </c>
      <c r="D47" s="4" t="s">
        <v>7223</v>
      </c>
      <c r="F47" s="7" t="s">
        <v>7224</v>
      </c>
      <c r="G47" s="7"/>
      <c r="I47" s="16"/>
      <c r="J47" s="17"/>
      <c r="K47" s="15"/>
      <c r="L47" s="18"/>
      <c r="M47" s="20"/>
      <c r="N47" s="22"/>
      <c r="O47" s="15"/>
      <c r="P47" s="79"/>
      <c r="Q47" s="60" t="s">
        <v>7225</v>
      </c>
      <c r="R47" s="60">
        <v>60302</v>
      </c>
      <c r="U47" s="68"/>
    </row>
    <row r="48" spans="2:21" ht="35.1" customHeight="1" x14ac:dyDescent="0.2">
      <c r="B48" s="1" t="s">
        <v>7132</v>
      </c>
      <c r="I48" s="16"/>
      <c r="J48" s="17"/>
      <c r="K48" s="15"/>
      <c r="L48" s="18"/>
      <c r="M48" s="20"/>
      <c r="N48" s="15"/>
      <c r="O48" s="15"/>
      <c r="P48" s="79"/>
      <c r="Q48" s="61" t="s">
        <v>7038</v>
      </c>
      <c r="R48" s="61" t="s">
        <v>7038</v>
      </c>
      <c r="U48" s="69" t="s">
        <v>7226</v>
      </c>
    </row>
    <row r="49" spans="2:21" ht="35.1" customHeight="1" x14ac:dyDescent="0.2">
      <c r="B49" s="1" t="s">
        <v>7227</v>
      </c>
      <c r="D49" s="3" t="s">
        <v>7228</v>
      </c>
      <c r="F49" s="6" t="s">
        <v>7229</v>
      </c>
      <c r="G49" s="6"/>
      <c r="I49" s="16"/>
      <c r="J49" s="17"/>
      <c r="K49" s="15"/>
      <c r="L49" s="18"/>
      <c r="M49" s="44"/>
      <c r="N49" s="22"/>
      <c r="O49" s="15"/>
      <c r="P49" s="79"/>
      <c r="Q49" s="62"/>
      <c r="R49" s="62"/>
      <c r="U49" s="69" t="s">
        <v>7230</v>
      </c>
    </row>
    <row r="50" spans="2:21" ht="35.1" customHeight="1" x14ac:dyDescent="0.2">
      <c r="B50" s="4" t="s">
        <v>7092</v>
      </c>
      <c r="D50" s="4" t="s">
        <v>7073</v>
      </c>
      <c r="F50" s="7" t="s">
        <v>7231</v>
      </c>
      <c r="G50" s="7"/>
      <c r="I50" s="16"/>
      <c r="J50" s="17"/>
      <c r="K50" s="15"/>
      <c r="L50" s="18"/>
      <c r="M50" s="20"/>
      <c r="N50" s="15"/>
      <c r="O50" s="15"/>
      <c r="P50" s="79"/>
      <c r="Q50" s="62"/>
      <c r="R50" s="62"/>
      <c r="U50" s="69" t="s">
        <v>7232</v>
      </c>
    </row>
    <row r="51" spans="2:21" ht="35.1" customHeight="1" x14ac:dyDescent="0.2">
      <c r="B51" s="1" t="s">
        <v>7233</v>
      </c>
      <c r="D51" s="4" t="s">
        <v>7234</v>
      </c>
      <c r="F51" s="7" t="s">
        <v>7235</v>
      </c>
      <c r="G51" s="7"/>
      <c r="I51" s="16"/>
      <c r="J51" s="17"/>
      <c r="K51" s="15"/>
      <c r="L51" s="18"/>
      <c r="M51" s="20"/>
      <c r="N51" s="15"/>
      <c r="O51" s="15"/>
      <c r="P51" s="79"/>
      <c r="Q51" s="62"/>
      <c r="R51" s="62"/>
      <c r="U51" s="69" t="s">
        <v>7236</v>
      </c>
    </row>
    <row r="52" spans="2:21" ht="35.1" customHeight="1" x14ac:dyDescent="0.2">
      <c r="B52" s="1" t="s">
        <v>7237</v>
      </c>
      <c r="D52" s="4" t="s">
        <v>7238</v>
      </c>
      <c r="F52" s="7" t="s">
        <v>7239</v>
      </c>
      <c r="G52" s="7"/>
      <c r="I52" s="16"/>
      <c r="J52" s="17"/>
      <c r="K52" s="15"/>
      <c r="L52" s="18"/>
      <c r="M52" s="20"/>
      <c r="N52" s="15"/>
      <c r="O52" s="15"/>
      <c r="P52" s="79"/>
      <c r="Q52" s="62"/>
      <c r="R52" s="62"/>
      <c r="U52" s="69" t="s">
        <v>7240</v>
      </c>
    </row>
    <row r="53" spans="2:21" ht="35.1" customHeight="1" x14ac:dyDescent="0.2">
      <c r="B53" s="1" t="s">
        <v>7241</v>
      </c>
      <c r="D53" s="4" t="s">
        <v>7242</v>
      </c>
      <c r="F53" s="7" t="s">
        <v>7243</v>
      </c>
      <c r="G53" s="7"/>
      <c r="I53" s="16"/>
      <c r="J53" s="17"/>
      <c r="K53" s="15"/>
      <c r="L53" s="18"/>
      <c r="M53" s="20"/>
      <c r="N53" s="15"/>
      <c r="O53" s="15"/>
      <c r="P53" s="79"/>
      <c r="U53" s="69" t="s">
        <v>7244</v>
      </c>
    </row>
    <row r="54" spans="2:21" ht="35.1" customHeight="1" x14ac:dyDescent="0.2">
      <c r="B54" s="4" t="s">
        <v>7098</v>
      </c>
      <c r="D54" s="4" t="s">
        <v>7245</v>
      </c>
      <c r="F54" s="7" t="s">
        <v>7038</v>
      </c>
      <c r="G54" s="7"/>
      <c r="I54" s="16"/>
      <c r="J54" s="17"/>
      <c r="K54" s="15"/>
      <c r="L54" s="18"/>
      <c r="M54" s="20"/>
      <c r="N54" s="15"/>
      <c r="O54" s="15"/>
      <c r="P54" s="79"/>
      <c r="U54" s="69"/>
    </row>
    <row r="55" spans="2:21" ht="35.1" customHeight="1" x14ac:dyDescent="0.2">
      <c r="B55" s="1" t="s">
        <v>7246</v>
      </c>
      <c r="D55" s="4" t="s">
        <v>7247</v>
      </c>
      <c r="I55" s="16"/>
      <c r="J55" s="17"/>
      <c r="K55" s="15"/>
      <c r="L55" s="18"/>
      <c r="M55" s="20"/>
      <c r="N55" s="15"/>
      <c r="O55" s="15"/>
      <c r="P55" s="79"/>
      <c r="U55" s="68" t="s">
        <v>7248</v>
      </c>
    </row>
    <row r="56" spans="2:21" ht="35.1" customHeight="1" x14ac:dyDescent="0.2">
      <c r="B56" s="1" t="s">
        <v>7249</v>
      </c>
      <c r="D56" s="4" t="s">
        <v>7250</v>
      </c>
      <c r="E56" s="7"/>
      <c r="F56" s="7" t="s">
        <v>7251</v>
      </c>
      <c r="G56" s="7"/>
      <c r="H56" s="7" t="s">
        <v>7252</v>
      </c>
      <c r="I56" s="16"/>
      <c r="J56" s="17"/>
      <c r="K56" s="15"/>
      <c r="L56" s="18"/>
      <c r="M56" s="20"/>
      <c r="N56" s="15"/>
      <c r="O56" s="15"/>
      <c r="P56" s="79"/>
      <c r="U56" s="69"/>
    </row>
    <row r="57" spans="2:21" ht="35.1" customHeight="1" x14ac:dyDescent="0.2">
      <c r="B57" s="1" t="s">
        <v>7253</v>
      </c>
      <c r="D57" s="4" t="s">
        <v>7254</v>
      </c>
      <c r="F57" s="7" t="s">
        <v>7255</v>
      </c>
      <c r="G57" s="7"/>
      <c r="H57" s="80">
        <v>1</v>
      </c>
      <c r="I57" s="16"/>
      <c r="J57" s="17"/>
      <c r="K57" s="15"/>
      <c r="L57" s="18"/>
      <c r="M57" s="20"/>
      <c r="N57" s="15"/>
      <c r="O57" s="15"/>
      <c r="P57" s="79"/>
      <c r="U57" s="69" t="s">
        <v>7256</v>
      </c>
    </row>
    <row r="58" spans="2:21" ht="35.1" customHeight="1" x14ac:dyDescent="0.2">
      <c r="B58" s="1" t="s">
        <v>7257</v>
      </c>
      <c r="F58" s="7" t="s">
        <v>7258</v>
      </c>
      <c r="G58" s="7"/>
      <c r="H58" s="80">
        <v>2</v>
      </c>
      <c r="I58" s="16"/>
      <c r="J58" s="17"/>
      <c r="K58" s="15"/>
      <c r="L58" s="18"/>
      <c r="M58" s="20"/>
      <c r="N58" s="15"/>
      <c r="O58" s="15"/>
      <c r="P58" s="79"/>
      <c r="U58" s="69" t="s">
        <v>7259</v>
      </c>
    </row>
    <row r="59" spans="2:21" ht="35.1" customHeight="1" x14ac:dyDescent="0.2">
      <c r="B59" s="1" t="s">
        <v>7260</v>
      </c>
      <c r="D59" s="3" t="s">
        <v>7261</v>
      </c>
      <c r="F59" s="7" t="s">
        <v>7262</v>
      </c>
      <c r="G59" s="7"/>
      <c r="H59" s="80">
        <v>3</v>
      </c>
      <c r="I59" s="16"/>
      <c r="J59" s="26"/>
      <c r="K59" s="15"/>
      <c r="L59" s="18"/>
      <c r="M59" s="20"/>
      <c r="N59" s="15"/>
      <c r="O59" s="15"/>
      <c r="P59" s="79"/>
      <c r="Q59" s="36"/>
      <c r="U59" s="69"/>
    </row>
    <row r="60" spans="2:21" ht="35.1" customHeight="1" x14ac:dyDescent="0.2">
      <c r="B60" s="1" t="s">
        <v>7263</v>
      </c>
      <c r="D60" s="4" t="s">
        <v>7079</v>
      </c>
      <c r="F60" s="7" t="s">
        <v>7264</v>
      </c>
      <c r="G60" s="7"/>
      <c r="H60" s="80">
        <v>4</v>
      </c>
      <c r="I60" s="16"/>
      <c r="J60" s="17"/>
      <c r="K60" s="15"/>
      <c r="L60" s="18"/>
      <c r="M60" s="33"/>
      <c r="N60" s="15"/>
      <c r="O60" s="15"/>
      <c r="P60" s="79"/>
      <c r="Q60" s="36"/>
      <c r="U60" s="68" t="s">
        <v>7265</v>
      </c>
    </row>
    <row r="61" spans="2:21" ht="35.1" customHeight="1" x14ac:dyDescent="0.2">
      <c r="B61" s="1" t="s">
        <v>7266</v>
      </c>
      <c r="D61" s="4" t="s">
        <v>7267</v>
      </c>
      <c r="F61" s="7" t="s">
        <v>7268</v>
      </c>
      <c r="G61" s="7"/>
      <c r="H61" s="80">
        <v>5</v>
      </c>
      <c r="I61" s="16"/>
      <c r="J61" s="17"/>
      <c r="K61" s="15"/>
      <c r="L61" s="18"/>
      <c r="M61" s="46"/>
      <c r="N61" s="15"/>
      <c r="O61" s="15"/>
      <c r="P61" s="79"/>
      <c r="U61" s="69"/>
    </row>
    <row r="62" spans="2:21" ht="35.1" customHeight="1" x14ac:dyDescent="0.2">
      <c r="B62" s="4" t="s">
        <v>7102</v>
      </c>
      <c r="D62" s="4" t="s">
        <v>7269</v>
      </c>
      <c r="F62" s="7" t="s">
        <v>7270</v>
      </c>
      <c r="G62" s="7"/>
      <c r="H62" s="80">
        <v>6</v>
      </c>
      <c r="I62" s="16"/>
      <c r="J62" s="17"/>
      <c r="K62" s="15"/>
      <c r="L62" s="18"/>
      <c r="M62" s="20"/>
      <c r="N62" s="15"/>
      <c r="O62" s="15"/>
      <c r="P62" s="79"/>
      <c r="U62" s="69" t="s">
        <v>7271</v>
      </c>
    </row>
    <row r="63" spans="2:21" ht="35.1" customHeight="1" x14ac:dyDescent="0.2">
      <c r="B63" s="1" t="s">
        <v>7272</v>
      </c>
      <c r="D63" s="4" t="s">
        <v>7273</v>
      </c>
      <c r="F63" s="7" t="s">
        <v>7274</v>
      </c>
      <c r="G63" s="7"/>
      <c r="H63" s="80">
        <v>7</v>
      </c>
      <c r="I63" s="16"/>
      <c r="J63" s="17"/>
      <c r="K63" s="15"/>
      <c r="L63" s="18"/>
      <c r="M63" s="20"/>
      <c r="N63" s="15"/>
      <c r="O63" s="15"/>
      <c r="P63" s="79"/>
      <c r="U63" s="69"/>
    </row>
    <row r="64" spans="2:21" ht="35.1" customHeight="1" x14ac:dyDescent="0.2">
      <c r="B64" s="1" t="s">
        <v>7275</v>
      </c>
      <c r="D64" s="4" t="s">
        <v>7276</v>
      </c>
      <c r="F64" s="7" t="s">
        <v>7277</v>
      </c>
      <c r="G64" s="7"/>
      <c r="H64" s="80">
        <v>8</v>
      </c>
      <c r="I64" s="16"/>
      <c r="J64" s="17"/>
      <c r="K64" s="15"/>
      <c r="L64" s="18"/>
      <c r="M64" s="45"/>
      <c r="N64" s="15"/>
      <c r="O64" s="15"/>
      <c r="P64" s="79"/>
      <c r="U64" s="68" t="s">
        <v>7278</v>
      </c>
    </row>
    <row r="65" spans="2:21" ht="35.1" customHeight="1" x14ac:dyDescent="0.2">
      <c r="B65" s="1" t="s">
        <v>7279</v>
      </c>
      <c r="D65" s="4" t="s">
        <v>7280</v>
      </c>
      <c r="F65" s="7" t="s">
        <v>7281</v>
      </c>
      <c r="G65" s="7"/>
      <c r="H65" s="80">
        <v>9</v>
      </c>
      <c r="I65" s="16"/>
      <c r="J65" s="17"/>
      <c r="K65" s="15"/>
      <c r="L65" s="18"/>
      <c r="M65" s="20"/>
      <c r="N65" s="15"/>
      <c r="O65" s="15"/>
      <c r="P65" s="79"/>
      <c r="U65" s="69"/>
    </row>
    <row r="66" spans="2:21" ht="35.1" customHeight="1" x14ac:dyDescent="0.2">
      <c r="B66" s="1" t="s">
        <v>7282</v>
      </c>
      <c r="D66" s="4" t="s">
        <v>7283</v>
      </c>
      <c r="F66" s="7" t="s">
        <v>7284</v>
      </c>
      <c r="G66" s="7"/>
      <c r="H66" s="80">
        <v>10</v>
      </c>
      <c r="I66" s="16"/>
      <c r="J66" s="17"/>
      <c r="K66" s="15"/>
      <c r="L66" s="18"/>
      <c r="M66" s="20"/>
      <c r="N66" s="15"/>
      <c r="O66" s="15"/>
      <c r="P66" s="79"/>
      <c r="U66" s="69" t="s">
        <v>7285</v>
      </c>
    </row>
    <row r="67" spans="2:21" ht="35.1" customHeight="1" x14ac:dyDescent="0.2">
      <c r="B67" s="1" t="s">
        <v>7286</v>
      </c>
      <c r="D67" s="4" t="s">
        <v>7287</v>
      </c>
      <c r="F67" s="7" t="s">
        <v>7288</v>
      </c>
      <c r="G67" s="7"/>
      <c r="H67" s="80">
        <v>11</v>
      </c>
      <c r="I67" s="16"/>
      <c r="J67" s="17"/>
      <c r="K67" s="15"/>
      <c r="L67" s="18"/>
      <c r="M67" s="20"/>
      <c r="N67" s="15"/>
      <c r="O67" s="15"/>
      <c r="P67" s="79"/>
      <c r="U67" s="69" t="s">
        <v>7289</v>
      </c>
    </row>
    <row r="68" spans="2:21" ht="35.1" customHeight="1" x14ac:dyDescent="0.2">
      <c r="B68" s="4" t="s">
        <v>7106</v>
      </c>
      <c r="D68" s="4" t="s">
        <v>7290</v>
      </c>
      <c r="F68" s="7" t="s">
        <v>7291</v>
      </c>
      <c r="G68" s="7"/>
      <c r="H68" s="80">
        <v>12</v>
      </c>
      <c r="I68" s="16"/>
      <c r="J68" s="23"/>
      <c r="K68" s="15"/>
      <c r="L68" s="18"/>
      <c r="M68" s="40"/>
      <c r="N68" s="15"/>
      <c r="O68" s="15"/>
      <c r="P68" s="79"/>
      <c r="U68" s="69"/>
    </row>
    <row r="69" spans="2:21" ht="35.1" customHeight="1" x14ac:dyDescent="0.2">
      <c r="B69" s="1" t="s">
        <v>7292</v>
      </c>
      <c r="D69" s="4" t="s">
        <v>7293</v>
      </c>
      <c r="H69" s="80">
        <v>13</v>
      </c>
      <c r="I69" s="16"/>
      <c r="J69" s="23"/>
      <c r="K69" s="15"/>
      <c r="L69" s="18"/>
      <c r="M69" s="40"/>
      <c r="N69" s="15"/>
      <c r="O69" s="15"/>
      <c r="P69" s="79"/>
      <c r="U69" s="68" t="s">
        <v>7294</v>
      </c>
    </row>
    <row r="70" spans="2:21" ht="35.1" customHeight="1" x14ac:dyDescent="0.2">
      <c r="B70" s="1" t="s">
        <v>7295</v>
      </c>
      <c r="F70" s="38" t="s">
        <v>7296</v>
      </c>
      <c r="G70" s="38"/>
      <c r="H70" s="80">
        <v>14</v>
      </c>
      <c r="I70" s="16"/>
      <c r="J70" s="17"/>
      <c r="K70" s="15"/>
      <c r="L70" s="18"/>
      <c r="M70" s="33"/>
      <c r="N70" s="15"/>
      <c r="O70" s="15"/>
      <c r="P70" s="79"/>
      <c r="U70" s="69"/>
    </row>
    <row r="71" spans="2:21" ht="35.1" customHeight="1" x14ac:dyDescent="0.2">
      <c r="B71" s="1" t="s">
        <v>7297</v>
      </c>
      <c r="D71" s="3" t="s">
        <v>7298</v>
      </c>
      <c r="F71">
        <v>2018</v>
      </c>
      <c r="H71" s="80">
        <v>15</v>
      </c>
      <c r="I71" s="16"/>
      <c r="J71" s="17"/>
      <c r="K71" s="15"/>
      <c r="L71" s="18"/>
      <c r="M71" s="20"/>
      <c r="N71" s="15"/>
      <c r="O71" s="15"/>
      <c r="P71" s="79"/>
      <c r="U71" s="69" t="s">
        <v>7299</v>
      </c>
    </row>
    <row r="72" spans="2:21" ht="35.1" customHeight="1" x14ac:dyDescent="0.2">
      <c r="B72" s="1" t="s">
        <v>7300</v>
      </c>
      <c r="D72" s="4" t="s">
        <v>7301</v>
      </c>
      <c r="F72">
        <v>2019</v>
      </c>
      <c r="H72" s="80">
        <v>16</v>
      </c>
      <c r="I72" s="16"/>
      <c r="J72" s="17"/>
      <c r="K72" s="15"/>
      <c r="L72" s="18"/>
      <c r="M72" s="20"/>
      <c r="N72" s="15"/>
      <c r="O72" s="15"/>
      <c r="P72" s="79"/>
      <c r="U72" s="69" t="s">
        <v>7302</v>
      </c>
    </row>
    <row r="73" spans="2:21" ht="35.1" customHeight="1" x14ac:dyDescent="0.2">
      <c r="B73" s="1" t="s">
        <v>7303</v>
      </c>
      <c r="D73" s="4" t="s">
        <v>7304</v>
      </c>
      <c r="F73">
        <v>2020</v>
      </c>
      <c r="H73" s="80">
        <v>17</v>
      </c>
      <c r="I73" s="16"/>
      <c r="J73" s="17"/>
      <c r="K73" s="15"/>
      <c r="L73" s="18"/>
      <c r="M73" s="20"/>
      <c r="N73" s="15"/>
      <c r="O73" s="15"/>
      <c r="P73" s="79"/>
      <c r="U73" s="69" t="s">
        <v>7305</v>
      </c>
    </row>
    <row r="74" spans="2:21" ht="35.1" customHeight="1" x14ac:dyDescent="0.2">
      <c r="B74" s="1" t="s">
        <v>7306</v>
      </c>
      <c r="D74" s="4" t="s">
        <v>7307</v>
      </c>
      <c r="F74">
        <v>2021</v>
      </c>
      <c r="H74" s="80">
        <v>18</v>
      </c>
      <c r="I74" s="16"/>
      <c r="J74" s="17"/>
      <c r="K74" s="15"/>
      <c r="L74" s="18"/>
      <c r="M74" s="20"/>
      <c r="N74" s="15"/>
      <c r="O74" s="15"/>
      <c r="P74" s="79"/>
      <c r="U74" s="69" t="s">
        <v>7308</v>
      </c>
    </row>
    <row r="75" spans="2:21" ht="35.1" customHeight="1" x14ac:dyDescent="0.2">
      <c r="B75" s="1" t="s">
        <v>7309</v>
      </c>
      <c r="D75" s="4" t="s">
        <v>7310</v>
      </c>
      <c r="F75">
        <v>2022</v>
      </c>
      <c r="H75" s="80">
        <v>19</v>
      </c>
      <c r="I75" s="16"/>
      <c r="J75" s="17"/>
      <c r="K75" s="15"/>
      <c r="L75" s="18"/>
      <c r="M75" s="20"/>
      <c r="N75" s="15"/>
      <c r="O75" s="15"/>
      <c r="P75" s="79"/>
      <c r="U75" s="69"/>
    </row>
    <row r="76" spans="2:21" ht="35.1" customHeight="1" x14ac:dyDescent="0.2">
      <c r="B76" s="4" t="s">
        <v>7110</v>
      </c>
      <c r="D76" s="4" t="s">
        <v>7311</v>
      </c>
      <c r="F76">
        <v>2023</v>
      </c>
      <c r="H76" s="80">
        <v>20</v>
      </c>
      <c r="I76" s="11"/>
      <c r="J76" s="12"/>
      <c r="K76" s="13"/>
      <c r="L76" s="14"/>
      <c r="M76" s="47"/>
      <c r="N76" s="15"/>
      <c r="O76" s="13"/>
      <c r="P76" s="79"/>
      <c r="U76" s="68" t="s">
        <v>7312</v>
      </c>
    </row>
    <row r="77" spans="2:21" ht="35.1" customHeight="1" x14ac:dyDescent="0.2">
      <c r="B77" s="1" t="s">
        <v>7313</v>
      </c>
      <c r="D77" s="4" t="s">
        <v>7314</v>
      </c>
      <c r="F77">
        <v>2024</v>
      </c>
      <c r="H77" s="80">
        <v>21</v>
      </c>
      <c r="I77" s="16"/>
      <c r="J77" s="17"/>
      <c r="K77" s="15"/>
      <c r="L77" s="18"/>
      <c r="M77" s="20"/>
      <c r="N77" s="15"/>
      <c r="O77" s="15"/>
      <c r="P77" s="79"/>
      <c r="U77" s="69"/>
    </row>
    <row r="78" spans="2:21" ht="35.1" customHeight="1" x14ac:dyDescent="0.2">
      <c r="B78" s="1" t="s">
        <v>7315</v>
      </c>
      <c r="D78" s="4" t="s">
        <v>7316</v>
      </c>
      <c r="F78">
        <v>2025</v>
      </c>
      <c r="H78" s="80">
        <v>22</v>
      </c>
      <c r="I78" s="16"/>
      <c r="J78" s="17"/>
      <c r="K78" s="15"/>
      <c r="L78" s="18"/>
      <c r="M78" s="20"/>
      <c r="N78" s="15"/>
      <c r="O78" s="15"/>
      <c r="P78" s="79"/>
      <c r="U78" s="69" t="s">
        <v>7317</v>
      </c>
    </row>
    <row r="79" spans="2:21" ht="35.1" customHeight="1" x14ac:dyDescent="0.2">
      <c r="B79" s="1" t="s">
        <v>7318</v>
      </c>
      <c r="D79" s="4" t="s">
        <v>7319</v>
      </c>
      <c r="F79">
        <v>2026</v>
      </c>
      <c r="H79" s="80">
        <v>23</v>
      </c>
      <c r="I79" s="16"/>
      <c r="J79" s="17"/>
      <c r="K79" s="15"/>
      <c r="L79" s="18"/>
      <c r="M79" s="20"/>
      <c r="N79" s="15"/>
      <c r="O79" s="15"/>
      <c r="P79" s="79"/>
      <c r="U79" s="69" t="s">
        <v>7320</v>
      </c>
    </row>
    <row r="80" spans="2:21" ht="35.1" customHeight="1" x14ac:dyDescent="0.2">
      <c r="B80" s="1" t="s">
        <v>7105</v>
      </c>
      <c r="D80" s="4" t="s">
        <v>7321</v>
      </c>
      <c r="F80">
        <v>2027</v>
      </c>
      <c r="H80" s="80">
        <v>24</v>
      </c>
      <c r="I80" s="16"/>
      <c r="J80" s="17"/>
      <c r="K80" s="15"/>
      <c r="L80" s="18"/>
      <c r="M80" s="33"/>
      <c r="N80" s="15"/>
      <c r="O80" s="15"/>
      <c r="P80" s="79"/>
      <c r="U80" s="68"/>
    </row>
    <row r="81" spans="2:21" ht="35.1" customHeight="1" x14ac:dyDescent="0.2">
      <c r="B81" s="1" t="s">
        <v>7322</v>
      </c>
      <c r="D81" s="4" t="s">
        <v>7323</v>
      </c>
      <c r="F81">
        <v>2028</v>
      </c>
      <c r="H81" s="80">
        <v>25</v>
      </c>
      <c r="I81" s="16"/>
      <c r="J81" s="17"/>
      <c r="K81" s="15"/>
      <c r="L81" s="18"/>
      <c r="M81" s="33"/>
      <c r="N81" s="15"/>
      <c r="O81" s="15"/>
      <c r="P81" s="79"/>
      <c r="U81" s="68" t="s">
        <v>7324</v>
      </c>
    </row>
    <row r="82" spans="2:21" ht="35.1" customHeight="1" x14ac:dyDescent="0.2">
      <c r="B82" s="1" t="s">
        <v>7325</v>
      </c>
      <c r="D82" s="4" t="s">
        <v>7326</v>
      </c>
      <c r="F82">
        <v>2029</v>
      </c>
      <c r="H82" s="80">
        <v>26</v>
      </c>
      <c r="I82" s="16"/>
      <c r="J82" s="17"/>
      <c r="K82" s="15"/>
      <c r="L82" s="18"/>
      <c r="M82" s="20"/>
      <c r="N82" s="22"/>
      <c r="O82" s="22"/>
      <c r="P82" s="79"/>
      <c r="U82" s="69"/>
    </row>
    <row r="83" spans="2:21" ht="35.1" customHeight="1" x14ac:dyDescent="0.2">
      <c r="B83" s="4" t="s">
        <v>7114</v>
      </c>
      <c r="F83">
        <v>2030</v>
      </c>
      <c r="H83" s="80">
        <v>27</v>
      </c>
      <c r="I83" s="16"/>
      <c r="J83" s="17"/>
      <c r="K83" s="15"/>
      <c r="L83" s="18"/>
      <c r="M83" s="20"/>
      <c r="N83" s="15"/>
      <c r="O83" s="15"/>
      <c r="P83" s="79"/>
      <c r="U83" s="69" t="s">
        <v>7327</v>
      </c>
    </row>
    <row r="84" spans="2:21" ht="35.1" customHeight="1" x14ac:dyDescent="0.2">
      <c r="B84" s="1" t="s">
        <v>7328</v>
      </c>
      <c r="D84" s="3" t="s">
        <v>7329</v>
      </c>
      <c r="F84">
        <v>2031</v>
      </c>
      <c r="H84" s="80">
        <v>28</v>
      </c>
      <c r="I84" s="16"/>
      <c r="J84" s="17"/>
      <c r="K84" s="15"/>
      <c r="L84" s="18"/>
      <c r="M84" s="33"/>
      <c r="N84" s="15"/>
      <c r="O84" s="15"/>
      <c r="P84" s="79"/>
      <c r="U84" s="69" t="s">
        <v>7330</v>
      </c>
    </row>
    <row r="85" spans="2:21" ht="35.1" customHeight="1" x14ac:dyDescent="0.2">
      <c r="B85" s="1" t="s">
        <v>7331</v>
      </c>
      <c r="D85" s="4" t="s">
        <v>7091</v>
      </c>
      <c r="F85">
        <v>2032</v>
      </c>
      <c r="H85" s="80">
        <v>29</v>
      </c>
      <c r="I85" s="16"/>
      <c r="J85" s="17"/>
      <c r="K85" s="15"/>
      <c r="L85" s="18"/>
      <c r="M85" s="20"/>
      <c r="N85" s="15"/>
      <c r="O85" s="15"/>
      <c r="P85" s="79"/>
      <c r="Q85" s="36"/>
      <c r="U85" s="69" t="s">
        <v>7332</v>
      </c>
    </row>
    <row r="86" spans="2:21" ht="35.1" customHeight="1" x14ac:dyDescent="0.2">
      <c r="B86" s="1" t="s">
        <v>7132</v>
      </c>
      <c r="D86" s="4" t="s">
        <v>7333</v>
      </c>
      <c r="F86">
        <v>2033</v>
      </c>
      <c r="H86" s="80">
        <v>30</v>
      </c>
      <c r="I86" s="16"/>
      <c r="J86" s="19"/>
      <c r="K86" s="15"/>
      <c r="L86" s="18"/>
      <c r="M86" s="20"/>
      <c r="N86" s="15"/>
      <c r="O86" s="15"/>
      <c r="P86" s="79"/>
    </row>
    <row r="87" spans="2:21" ht="35.1" customHeight="1" x14ac:dyDescent="0.2">
      <c r="B87" s="1" t="s">
        <v>7334</v>
      </c>
      <c r="D87" s="4" t="s">
        <v>7335</v>
      </c>
      <c r="H87" s="80">
        <v>31</v>
      </c>
      <c r="I87" s="16"/>
      <c r="J87" s="19"/>
      <c r="K87" s="15"/>
      <c r="L87" s="18"/>
      <c r="M87" s="20"/>
      <c r="N87" s="15"/>
      <c r="O87" s="15"/>
      <c r="P87" s="79"/>
    </row>
    <row r="88" spans="2:21" ht="35.1" customHeight="1" x14ac:dyDescent="0.2">
      <c r="B88" s="1" t="s">
        <v>7336</v>
      </c>
      <c r="D88" s="4" t="s">
        <v>7337</v>
      </c>
      <c r="I88" s="16"/>
      <c r="J88" s="17"/>
      <c r="K88" s="15"/>
      <c r="L88" s="18"/>
      <c r="M88" s="20"/>
      <c r="N88" s="15"/>
      <c r="O88" s="15"/>
      <c r="P88" s="79"/>
    </row>
    <row r="89" spans="2:21" ht="35.1" customHeight="1" x14ac:dyDescent="0.2">
      <c r="B89" s="5" t="s">
        <v>7118</v>
      </c>
      <c r="D89" s="4" t="s">
        <v>7338</v>
      </c>
      <c r="I89" s="16"/>
      <c r="J89" s="17"/>
      <c r="K89" s="15"/>
      <c r="L89" s="18"/>
      <c r="M89" s="46"/>
      <c r="N89" s="15"/>
      <c r="O89" s="15"/>
      <c r="P89" s="79"/>
    </row>
    <row r="90" spans="2:21" ht="35.1" customHeight="1" x14ac:dyDescent="0.2">
      <c r="B90" s="1" t="s">
        <v>7339</v>
      </c>
      <c r="D90" s="4" t="s">
        <v>7340</v>
      </c>
      <c r="I90" s="16"/>
      <c r="J90" s="17"/>
      <c r="K90" s="15"/>
      <c r="L90" s="18"/>
      <c r="M90" s="40"/>
      <c r="N90" s="15"/>
      <c r="O90" s="15"/>
      <c r="P90" s="79"/>
    </row>
    <row r="91" spans="2:21" ht="35.1" customHeight="1" x14ac:dyDescent="0.2">
      <c r="B91" s="1" t="s">
        <v>7136</v>
      </c>
      <c r="D91" s="4" t="s">
        <v>7341</v>
      </c>
      <c r="I91" s="16"/>
      <c r="J91" s="17"/>
      <c r="K91" s="15"/>
      <c r="L91" s="18"/>
      <c r="M91" s="20"/>
      <c r="N91" s="22"/>
      <c r="O91" s="15"/>
      <c r="P91" s="79"/>
    </row>
    <row r="92" spans="2:21" ht="35.1" customHeight="1" x14ac:dyDescent="0.2">
      <c r="B92" s="1" t="s">
        <v>7342</v>
      </c>
      <c r="D92" s="4" t="s">
        <v>7343</v>
      </c>
      <c r="I92" s="16"/>
      <c r="J92" s="17"/>
      <c r="K92" s="15"/>
      <c r="L92" s="18"/>
      <c r="M92" s="20"/>
      <c r="N92" s="15"/>
      <c r="O92" s="15"/>
      <c r="P92" s="79"/>
    </row>
    <row r="93" spans="2:21" ht="35.1" customHeight="1" x14ac:dyDescent="0.2">
      <c r="B93" s="1" t="s">
        <v>7344</v>
      </c>
      <c r="D93" s="4" t="s">
        <v>7345</v>
      </c>
      <c r="I93" s="16"/>
      <c r="J93" s="17"/>
      <c r="K93" s="15"/>
      <c r="L93" s="18"/>
      <c r="M93" s="20"/>
      <c r="N93" s="22"/>
      <c r="O93" s="15"/>
      <c r="P93" s="79"/>
    </row>
    <row r="94" spans="2:21" ht="35.1" customHeight="1" x14ac:dyDescent="0.2">
      <c r="B94" s="1" t="s">
        <v>7346</v>
      </c>
      <c r="D94" s="4" t="s">
        <v>7347</v>
      </c>
      <c r="I94" s="16"/>
      <c r="J94" s="17"/>
      <c r="K94" s="15"/>
      <c r="L94" s="18"/>
      <c r="M94" s="20"/>
      <c r="N94" s="15"/>
      <c r="O94" s="15"/>
      <c r="P94" s="79"/>
    </row>
    <row r="95" spans="2:21" ht="35.1" customHeight="1" x14ac:dyDescent="0.2">
      <c r="B95" s="4" t="s">
        <v>7122</v>
      </c>
      <c r="D95" s="4" t="s">
        <v>7348</v>
      </c>
      <c r="I95" s="16"/>
      <c r="J95" s="17"/>
      <c r="K95" s="15"/>
      <c r="L95" s="18"/>
      <c r="M95" s="20"/>
      <c r="N95" s="15"/>
      <c r="O95" s="15"/>
      <c r="P95" s="79"/>
    </row>
    <row r="96" spans="2:21" ht="35.1" customHeight="1" x14ac:dyDescent="0.2">
      <c r="B96" s="1" t="s">
        <v>7349</v>
      </c>
      <c r="I96" s="16"/>
      <c r="J96" s="17"/>
      <c r="K96" s="15"/>
      <c r="L96" s="18"/>
      <c r="M96" s="45"/>
      <c r="N96" s="15"/>
      <c r="O96" s="15"/>
      <c r="P96" s="79"/>
    </row>
    <row r="97" spans="2:16" ht="35.1" customHeight="1" x14ac:dyDescent="0.2">
      <c r="B97" s="1" t="s">
        <v>7350</v>
      </c>
      <c r="D97" s="3" t="s">
        <v>7351</v>
      </c>
      <c r="I97" s="16"/>
      <c r="J97" s="17"/>
      <c r="K97" s="15"/>
      <c r="L97" s="18"/>
      <c r="M97" s="48"/>
      <c r="N97" s="15"/>
      <c r="O97" s="15"/>
      <c r="P97" s="79"/>
    </row>
    <row r="98" spans="2:16" ht="35.1" customHeight="1" x14ac:dyDescent="0.2">
      <c r="B98" s="1" t="s">
        <v>7352</v>
      </c>
      <c r="D98" s="4" t="s">
        <v>7353</v>
      </c>
      <c r="I98" s="16"/>
      <c r="J98" s="17"/>
      <c r="K98" s="15"/>
      <c r="L98" s="18"/>
      <c r="M98" s="20"/>
      <c r="N98" s="15"/>
      <c r="O98" s="15"/>
      <c r="P98" s="79"/>
    </row>
    <row r="99" spans="2:16" ht="35.1" customHeight="1" x14ac:dyDescent="0.2">
      <c r="B99" s="1" t="s">
        <v>7354</v>
      </c>
      <c r="D99" s="4" t="s">
        <v>7355</v>
      </c>
      <c r="I99" s="16"/>
      <c r="J99" s="17"/>
      <c r="K99" s="15"/>
      <c r="L99" s="18"/>
      <c r="M99" s="20"/>
      <c r="N99" s="15"/>
      <c r="O99" s="15"/>
      <c r="P99" s="79"/>
    </row>
    <row r="100" spans="2:16" ht="35.1" customHeight="1" x14ac:dyDescent="0.2">
      <c r="B100" s="1" t="s">
        <v>7356</v>
      </c>
      <c r="D100" s="4" t="s">
        <v>7357</v>
      </c>
      <c r="I100" s="16"/>
      <c r="J100" s="17"/>
      <c r="K100" s="15"/>
      <c r="L100" s="18"/>
      <c r="M100" s="20"/>
      <c r="N100" s="15"/>
      <c r="O100" s="15"/>
      <c r="P100" s="79"/>
    </row>
    <row r="101" spans="2:16" ht="35.1" customHeight="1" x14ac:dyDescent="0.25">
      <c r="B101" s="4" t="s">
        <v>7125</v>
      </c>
      <c r="D101" s="4" t="s">
        <v>7358</v>
      </c>
      <c r="I101" s="24"/>
      <c r="J101" s="25"/>
      <c r="K101" s="15"/>
      <c r="L101" s="18"/>
      <c r="M101" s="20"/>
      <c r="N101" s="22"/>
      <c r="O101" s="22"/>
      <c r="P101" s="79"/>
    </row>
    <row r="102" spans="2:16" ht="35.1" customHeight="1" x14ac:dyDescent="0.2">
      <c r="B102" s="1" t="s">
        <v>7359</v>
      </c>
      <c r="D102" s="4" t="s">
        <v>7360</v>
      </c>
      <c r="I102" s="16"/>
      <c r="J102" s="17"/>
      <c r="K102" s="15"/>
      <c r="L102" s="18"/>
      <c r="M102" s="33"/>
      <c r="N102" s="15"/>
      <c r="O102" s="15"/>
      <c r="P102" s="79"/>
    </row>
    <row r="103" spans="2:16" ht="35.1" customHeight="1" x14ac:dyDescent="0.25">
      <c r="B103" s="1" t="s">
        <v>7361</v>
      </c>
      <c r="D103" s="4" t="s">
        <v>7362</v>
      </c>
      <c r="I103" s="24"/>
      <c r="J103" s="25"/>
      <c r="K103" s="15"/>
      <c r="L103" s="18"/>
      <c r="M103" s="20"/>
      <c r="N103" s="22"/>
      <c r="O103" s="22"/>
      <c r="P103" s="79"/>
    </row>
    <row r="104" spans="2:16" ht="35.1" customHeight="1" x14ac:dyDescent="0.2">
      <c r="B104" s="1" t="s">
        <v>7363</v>
      </c>
      <c r="I104" s="16"/>
      <c r="J104" s="17"/>
      <c r="K104" s="15"/>
      <c r="L104" s="18"/>
      <c r="M104" s="45"/>
      <c r="N104" s="15"/>
      <c r="O104" s="15"/>
      <c r="P104" s="79"/>
    </row>
    <row r="105" spans="2:16" ht="35.1" customHeight="1" x14ac:dyDescent="0.2">
      <c r="B105" s="1" t="s">
        <v>7364</v>
      </c>
      <c r="E105" t="s">
        <v>7365</v>
      </c>
      <c r="I105" s="16"/>
      <c r="J105" s="17"/>
      <c r="K105" s="15"/>
      <c r="L105" s="18"/>
      <c r="M105" s="20"/>
      <c r="N105" s="15"/>
      <c r="O105" s="15"/>
      <c r="P105" s="79"/>
    </row>
    <row r="106" spans="2:16" ht="35.1" customHeight="1" x14ac:dyDescent="0.2">
      <c r="B106" s="1" t="s">
        <v>7366</v>
      </c>
      <c r="I106" s="16"/>
      <c r="J106" s="32"/>
      <c r="K106" s="15"/>
      <c r="L106" s="18"/>
      <c r="M106" s="33"/>
      <c r="N106" s="15"/>
      <c r="O106" s="15"/>
      <c r="P106" s="79"/>
    </row>
    <row r="107" spans="2:16" ht="35.1" customHeight="1" x14ac:dyDescent="0.25">
      <c r="B107" s="4" t="s">
        <v>7129</v>
      </c>
      <c r="D107">
        <v>1</v>
      </c>
      <c r="E107" s="62" t="s">
        <v>7367</v>
      </c>
      <c r="F107" s="62">
        <v>503170889</v>
      </c>
      <c r="G107" s="160" t="s">
        <v>7368</v>
      </c>
      <c r="H107" s="161" t="s">
        <v>7369</v>
      </c>
      <c r="I107" s="31"/>
      <c r="J107" s="23"/>
      <c r="K107" s="15"/>
      <c r="L107" s="18"/>
      <c r="M107" s="40"/>
      <c r="N107" s="15"/>
      <c r="O107" s="15"/>
      <c r="P107" s="79"/>
    </row>
    <row r="108" spans="2:16" ht="35.1" customHeight="1" x14ac:dyDescent="0.25">
      <c r="B108" s="1" t="s">
        <v>7370</v>
      </c>
      <c r="D108">
        <f>1+D107</f>
        <v>2</v>
      </c>
      <c r="E108" s="62" t="s">
        <v>130</v>
      </c>
      <c r="F108" s="62">
        <v>502140609</v>
      </c>
      <c r="G108" s="160" t="s">
        <v>7371</v>
      </c>
      <c r="H108" s="161" t="s">
        <v>7369</v>
      </c>
      <c r="I108" s="31"/>
      <c r="J108" s="23"/>
      <c r="K108" s="15"/>
      <c r="L108" s="18"/>
      <c r="M108" s="40"/>
      <c r="N108" s="15"/>
      <c r="O108" s="15"/>
      <c r="P108" s="79"/>
    </row>
    <row r="109" spans="2:16" ht="35.1" customHeight="1" x14ac:dyDescent="0.2">
      <c r="B109" s="1" t="s">
        <v>7372</v>
      </c>
      <c r="D109">
        <f t="shared" ref="D109:D127" si="0">1+D108</f>
        <v>3</v>
      </c>
      <c r="E109" s="62" t="s">
        <v>7373</v>
      </c>
      <c r="F109" s="62">
        <v>603090875</v>
      </c>
      <c r="G109" s="160" t="s">
        <v>7374</v>
      </c>
      <c r="H109" s="161" t="s">
        <v>7369</v>
      </c>
      <c r="I109" s="16"/>
      <c r="J109" s="17"/>
      <c r="K109" s="15"/>
      <c r="L109" s="18"/>
      <c r="M109" s="33"/>
      <c r="N109" s="15"/>
      <c r="O109" s="15"/>
      <c r="P109" s="79"/>
    </row>
    <row r="110" spans="2:16" ht="35.1" customHeight="1" x14ac:dyDescent="0.2">
      <c r="B110" s="1" t="s">
        <v>7375</v>
      </c>
      <c r="D110">
        <f t="shared" si="0"/>
        <v>4</v>
      </c>
      <c r="E110" s="62" t="s">
        <v>132</v>
      </c>
      <c r="F110" s="62">
        <v>108770167</v>
      </c>
      <c r="G110" s="160" t="s">
        <v>7376</v>
      </c>
      <c r="H110" s="161" t="s">
        <v>7377</v>
      </c>
      <c r="I110" s="16"/>
      <c r="J110" s="17"/>
      <c r="K110" s="15"/>
      <c r="L110" s="18"/>
      <c r="M110" s="33"/>
      <c r="N110" s="15"/>
      <c r="O110" s="15"/>
      <c r="P110" s="79"/>
    </row>
    <row r="111" spans="2:16" ht="35.1" customHeight="1" x14ac:dyDescent="0.2">
      <c r="B111" s="4" t="s">
        <v>7133</v>
      </c>
      <c r="D111">
        <f t="shared" si="0"/>
        <v>5</v>
      </c>
      <c r="E111" s="74" t="s">
        <v>7378</v>
      </c>
      <c r="F111" s="162">
        <v>503920334</v>
      </c>
      <c r="G111" s="171" t="s">
        <v>7379</v>
      </c>
      <c r="H111" s="161" t="s">
        <v>7380</v>
      </c>
      <c r="I111" s="16"/>
      <c r="J111" s="17"/>
      <c r="K111" s="15"/>
      <c r="L111" s="18"/>
      <c r="M111" s="33"/>
      <c r="N111" s="15"/>
      <c r="O111" s="15"/>
      <c r="P111" s="79"/>
    </row>
    <row r="112" spans="2:16" ht="35.1" customHeight="1" x14ac:dyDescent="0.2">
      <c r="B112" s="1" t="s">
        <v>7381</v>
      </c>
      <c r="D112">
        <f t="shared" si="0"/>
        <v>6</v>
      </c>
      <c r="E112" s="62" t="s">
        <v>7382</v>
      </c>
      <c r="F112" s="62">
        <v>109850926</v>
      </c>
      <c r="G112" s="160" t="s">
        <v>7383</v>
      </c>
      <c r="H112" s="161" t="s">
        <v>7384</v>
      </c>
      <c r="I112" s="16"/>
      <c r="J112" s="17"/>
      <c r="K112" s="15"/>
      <c r="L112" s="18"/>
      <c r="M112" s="33"/>
      <c r="N112" s="15"/>
      <c r="O112" s="15"/>
      <c r="P112" s="79"/>
    </row>
    <row r="113" spans="2:16" ht="35.1" customHeight="1" x14ac:dyDescent="0.2">
      <c r="B113" s="1" t="s">
        <v>7385</v>
      </c>
      <c r="D113">
        <f t="shared" si="0"/>
        <v>7</v>
      </c>
      <c r="E113" s="62" t="s">
        <v>7386</v>
      </c>
      <c r="F113" s="62">
        <v>603970773</v>
      </c>
      <c r="G113" s="160" t="s">
        <v>7387</v>
      </c>
      <c r="H113" s="161" t="s">
        <v>7388</v>
      </c>
      <c r="I113" s="16"/>
      <c r="J113" s="17"/>
      <c r="K113" s="15"/>
      <c r="L113" s="18"/>
      <c r="M113" s="33"/>
      <c r="N113" s="15"/>
      <c r="O113" s="15"/>
      <c r="P113" s="79"/>
    </row>
    <row r="114" spans="2:16" ht="35.1" customHeight="1" x14ac:dyDescent="0.2">
      <c r="B114" s="1" t="s">
        <v>7389</v>
      </c>
      <c r="D114">
        <f t="shared" si="0"/>
        <v>8</v>
      </c>
      <c r="E114" s="62" t="s">
        <v>7390</v>
      </c>
      <c r="F114" s="62">
        <v>109140785</v>
      </c>
      <c r="G114" s="160" t="s">
        <v>7391</v>
      </c>
      <c r="H114" s="161" t="s">
        <v>7392</v>
      </c>
      <c r="I114" s="16"/>
      <c r="J114" s="17"/>
      <c r="K114" s="15"/>
      <c r="L114" s="18"/>
      <c r="M114" s="33"/>
      <c r="N114" s="15"/>
      <c r="O114" s="15"/>
      <c r="P114" s="79"/>
    </row>
    <row r="115" spans="2:16" ht="35.1" customHeight="1" x14ac:dyDescent="0.2">
      <c r="B115" s="1" t="s">
        <v>7136</v>
      </c>
      <c r="D115">
        <f t="shared" si="0"/>
        <v>9</v>
      </c>
      <c r="E115" s="62" t="s">
        <v>7393</v>
      </c>
      <c r="F115" s="62">
        <v>108440863</v>
      </c>
      <c r="G115" s="160" t="s">
        <v>7394</v>
      </c>
      <c r="H115" s="161" t="s">
        <v>7395</v>
      </c>
      <c r="I115" s="16"/>
      <c r="J115" s="17"/>
      <c r="K115" s="15"/>
      <c r="L115" s="18"/>
      <c r="M115" s="33"/>
      <c r="N115" s="15"/>
      <c r="O115" s="15"/>
      <c r="P115" s="79"/>
    </row>
    <row r="116" spans="2:16" ht="35.1" customHeight="1" x14ac:dyDescent="0.2">
      <c r="B116" s="4" t="s">
        <v>7137</v>
      </c>
      <c r="D116">
        <f t="shared" si="0"/>
        <v>10</v>
      </c>
      <c r="E116" s="62" t="s">
        <v>7396</v>
      </c>
      <c r="F116" s="62">
        <v>207080293</v>
      </c>
      <c r="G116" s="160" t="s">
        <v>7397</v>
      </c>
      <c r="H116" s="161" t="s">
        <v>7395</v>
      </c>
      <c r="I116" s="11"/>
      <c r="J116" s="12"/>
      <c r="K116" s="13"/>
      <c r="L116" s="14"/>
      <c r="M116" s="49"/>
      <c r="N116" s="15"/>
      <c r="O116" s="13"/>
      <c r="P116" s="79"/>
    </row>
    <row r="117" spans="2:16" ht="35.1" customHeight="1" x14ac:dyDescent="0.2">
      <c r="B117" s="1" t="s">
        <v>7398</v>
      </c>
      <c r="D117">
        <f t="shared" si="0"/>
        <v>11</v>
      </c>
      <c r="E117" s="74" t="s">
        <v>7399</v>
      </c>
      <c r="F117" s="62">
        <v>502950045</v>
      </c>
      <c r="G117" s="160" t="s">
        <v>7400</v>
      </c>
      <c r="H117" s="74" t="s">
        <v>7395</v>
      </c>
      <c r="I117" s="16"/>
      <c r="J117" s="17"/>
      <c r="K117" s="15"/>
      <c r="L117" s="18"/>
      <c r="M117" s="20"/>
      <c r="N117" s="15"/>
      <c r="O117" s="15"/>
      <c r="P117" s="79"/>
    </row>
    <row r="118" spans="2:16" ht="35.1" customHeight="1" x14ac:dyDescent="0.2">
      <c r="B118" s="1" t="s">
        <v>7381</v>
      </c>
      <c r="D118">
        <f t="shared" si="0"/>
        <v>12</v>
      </c>
      <c r="E118" s="62" t="s">
        <v>59</v>
      </c>
      <c r="F118" s="162">
        <v>502820803</v>
      </c>
      <c r="G118" s="160" t="s">
        <v>7401</v>
      </c>
      <c r="H118" s="161" t="s">
        <v>7402</v>
      </c>
      <c r="I118" s="16"/>
      <c r="J118" s="17"/>
      <c r="K118" s="15"/>
      <c r="L118" s="18"/>
      <c r="M118" s="33"/>
      <c r="N118" s="15"/>
      <c r="O118" s="15"/>
      <c r="P118" s="79"/>
    </row>
    <row r="119" spans="2:16" ht="35.1" customHeight="1" x14ac:dyDescent="0.2">
      <c r="B119" s="1" t="s">
        <v>7403</v>
      </c>
      <c r="D119">
        <f t="shared" si="0"/>
        <v>13</v>
      </c>
      <c r="E119" s="74" t="s">
        <v>7404</v>
      </c>
      <c r="F119" s="162">
        <v>118470489</v>
      </c>
      <c r="G119" s="300" t="s">
        <v>7405</v>
      </c>
      <c r="H119" s="161" t="s">
        <v>7402</v>
      </c>
      <c r="I119" s="16"/>
      <c r="J119" s="17"/>
      <c r="K119" s="15"/>
      <c r="L119" s="18"/>
      <c r="M119" s="33"/>
      <c r="N119" s="15"/>
      <c r="O119" s="15"/>
      <c r="P119" s="79"/>
    </row>
    <row r="120" spans="2:16" ht="35.1" customHeight="1" x14ac:dyDescent="0.2">
      <c r="B120" s="1" t="s">
        <v>7406</v>
      </c>
      <c r="D120">
        <f t="shared" si="0"/>
        <v>14</v>
      </c>
      <c r="E120" s="74" t="s">
        <v>7407</v>
      </c>
      <c r="F120" s="162">
        <v>116680794</v>
      </c>
      <c r="G120" s="160" t="s">
        <v>7408</v>
      </c>
      <c r="H120" s="161" t="s">
        <v>7402</v>
      </c>
      <c r="I120" s="16"/>
      <c r="J120" s="17"/>
      <c r="K120" s="15"/>
      <c r="L120" s="18"/>
      <c r="M120" s="33"/>
      <c r="N120" s="15"/>
      <c r="O120" s="15"/>
      <c r="P120" s="79"/>
    </row>
    <row r="121" spans="2:16" ht="35.1" customHeight="1" x14ac:dyDescent="0.2">
      <c r="B121" s="4" t="s">
        <v>7140</v>
      </c>
      <c r="D121">
        <f t="shared" si="0"/>
        <v>15</v>
      </c>
      <c r="E121" s="62" t="s">
        <v>7409</v>
      </c>
      <c r="F121" s="62">
        <v>504100858</v>
      </c>
      <c r="G121" s="163" t="s">
        <v>7410</v>
      </c>
      <c r="H121" s="161" t="s">
        <v>7402</v>
      </c>
      <c r="I121" s="16"/>
      <c r="J121" s="17"/>
      <c r="K121" s="15"/>
      <c r="L121" s="18"/>
      <c r="M121" s="20"/>
      <c r="N121" s="15"/>
      <c r="O121" s="15"/>
      <c r="P121" s="79"/>
    </row>
    <row r="122" spans="2:16" ht="35.1" customHeight="1" x14ac:dyDescent="0.2">
      <c r="B122" s="1" t="s">
        <v>7411</v>
      </c>
      <c r="D122">
        <f t="shared" si="0"/>
        <v>16</v>
      </c>
      <c r="E122" s="62" t="s">
        <v>7412</v>
      </c>
      <c r="F122" s="62">
        <v>504110305</v>
      </c>
      <c r="G122" s="163" t="s">
        <v>7413</v>
      </c>
      <c r="H122" s="161" t="s">
        <v>7402</v>
      </c>
      <c r="I122" s="16"/>
      <c r="J122" s="17"/>
      <c r="K122" s="15"/>
      <c r="L122" s="18"/>
      <c r="M122" s="20"/>
      <c r="N122" s="15"/>
      <c r="O122" s="15"/>
      <c r="P122" s="79"/>
    </row>
    <row r="123" spans="2:16" ht="35.1" customHeight="1" x14ac:dyDescent="0.2">
      <c r="B123" s="1" t="s">
        <v>7414</v>
      </c>
      <c r="D123">
        <f t="shared" si="0"/>
        <v>17</v>
      </c>
      <c r="E123" s="74"/>
      <c r="F123" s="62"/>
      <c r="G123" s="62"/>
      <c r="H123" s="62"/>
      <c r="I123" s="16"/>
      <c r="J123" s="21"/>
      <c r="K123" s="15"/>
      <c r="L123" s="18"/>
      <c r="M123" s="45"/>
      <c r="N123" s="15"/>
      <c r="O123" s="15"/>
      <c r="P123" s="79"/>
    </row>
    <row r="124" spans="2:16" ht="35.1" customHeight="1" x14ac:dyDescent="0.2">
      <c r="B124" s="1" t="s">
        <v>7415</v>
      </c>
      <c r="D124">
        <f t="shared" si="0"/>
        <v>18</v>
      </c>
      <c r="E124" s="74"/>
      <c r="F124" s="62"/>
      <c r="G124" s="62"/>
      <c r="H124" s="62"/>
      <c r="I124" s="16"/>
      <c r="J124" s="17"/>
      <c r="K124" s="15"/>
      <c r="L124" s="18"/>
      <c r="M124" s="20"/>
      <c r="N124" s="15"/>
      <c r="O124" s="15"/>
      <c r="P124" s="79"/>
    </row>
    <row r="125" spans="2:16" ht="35.1" customHeight="1" x14ac:dyDescent="0.2">
      <c r="B125" s="4" t="s">
        <v>7144</v>
      </c>
      <c r="D125">
        <f t="shared" si="0"/>
        <v>19</v>
      </c>
      <c r="I125" s="16"/>
      <c r="J125" s="17"/>
      <c r="K125" s="15"/>
      <c r="L125" s="18"/>
      <c r="M125" s="50"/>
      <c r="N125" s="15"/>
      <c r="O125" s="15"/>
      <c r="P125" s="79"/>
    </row>
    <row r="126" spans="2:16" ht="35.1" customHeight="1" x14ac:dyDescent="0.2">
      <c r="B126" s="1" t="s">
        <v>7416</v>
      </c>
      <c r="D126">
        <f t="shared" si="0"/>
        <v>20</v>
      </c>
      <c r="I126" s="16"/>
      <c r="J126" s="17"/>
      <c r="K126" s="15"/>
      <c r="L126" s="18"/>
      <c r="M126" s="20"/>
      <c r="N126" s="15"/>
      <c r="O126" s="15"/>
      <c r="P126" s="79"/>
    </row>
    <row r="127" spans="2:16" ht="35.1" customHeight="1" x14ac:dyDescent="0.2">
      <c r="B127" s="1" t="s">
        <v>7417</v>
      </c>
      <c r="D127">
        <f t="shared" si="0"/>
        <v>21</v>
      </c>
      <c r="I127" s="16"/>
      <c r="J127" s="17"/>
      <c r="K127" s="15"/>
      <c r="L127" s="18"/>
      <c r="M127" s="20"/>
      <c r="N127" s="15"/>
      <c r="O127" s="15"/>
      <c r="P127" s="79"/>
    </row>
    <row r="128" spans="2:16" ht="35.1" customHeight="1" x14ac:dyDescent="0.2">
      <c r="B128" s="1" t="s">
        <v>7418</v>
      </c>
      <c r="D128">
        <v>19</v>
      </c>
      <c r="I128" s="16"/>
      <c r="J128" s="17"/>
      <c r="K128" s="15"/>
      <c r="L128" s="18"/>
      <c r="M128" s="46"/>
      <c r="N128" s="15"/>
      <c r="O128" s="15"/>
      <c r="P128" s="79"/>
    </row>
    <row r="129" spans="2:16" ht="35.1" customHeight="1" x14ac:dyDescent="0.2">
      <c r="B129" s="1" t="s">
        <v>7419</v>
      </c>
      <c r="D129">
        <v>20</v>
      </c>
      <c r="I129" s="16"/>
      <c r="J129" s="17"/>
      <c r="K129" s="15"/>
      <c r="L129" s="18"/>
      <c r="M129" s="20"/>
      <c r="N129" s="15"/>
      <c r="O129" s="15"/>
      <c r="P129" s="79"/>
    </row>
    <row r="130" spans="2:16" ht="35.1" customHeight="1" x14ac:dyDescent="0.2">
      <c r="B130" s="4" t="s">
        <v>7148</v>
      </c>
      <c r="I130" s="16"/>
      <c r="J130" s="17"/>
      <c r="K130" s="15"/>
      <c r="L130" s="18"/>
      <c r="M130" s="46"/>
      <c r="N130" s="15"/>
      <c r="O130" s="15"/>
      <c r="P130" s="79"/>
    </row>
    <row r="131" spans="2:16" ht="35.1" customHeight="1" x14ac:dyDescent="0.2">
      <c r="B131" s="1" t="s">
        <v>7420</v>
      </c>
      <c r="I131" s="16"/>
      <c r="J131" s="17"/>
      <c r="K131" s="15"/>
      <c r="L131" s="18"/>
      <c r="M131" s="20"/>
      <c r="N131" s="15"/>
      <c r="O131" s="15"/>
      <c r="P131" s="79"/>
    </row>
    <row r="132" spans="2:16" ht="35.1" customHeight="1" x14ac:dyDescent="0.2">
      <c r="B132" s="1" t="s">
        <v>7421</v>
      </c>
      <c r="I132" s="16"/>
      <c r="J132" s="17"/>
      <c r="K132" s="15"/>
      <c r="L132" s="18"/>
      <c r="M132" s="20"/>
      <c r="N132" s="15"/>
      <c r="O132" s="15"/>
      <c r="P132" s="79"/>
    </row>
    <row r="133" spans="2:16" ht="35.1" customHeight="1" x14ac:dyDescent="0.2">
      <c r="B133" s="1" t="s">
        <v>7422</v>
      </c>
      <c r="I133" s="16"/>
      <c r="J133" s="17"/>
      <c r="K133" s="15"/>
      <c r="L133" s="18"/>
      <c r="M133" s="20"/>
      <c r="N133" s="15"/>
      <c r="O133" s="15"/>
      <c r="P133" s="79"/>
    </row>
    <row r="134" spans="2:16" ht="35.1" customHeight="1" x14ac:dyDescent="0.2">
      <c r="B134" s="1" t="s">
        <v>7423</v>
      </c>
      <c r="I134" s="16"/>
      <c r="J134" s="17"/>
      <c r="K134" s="15"/>
      <c r="L134" s="18"/>
      <c r="M134" s="20"/>
      <c r="N134" s="15"/>
      <c r="O134" s="15"/>
      <c r="P134" s="79"/>
    </row>
    <row r="135" spans="2:16" ht="35.1" customHeight="1" x14ac:dyDescent="0.2">
      <c r="B135" s="1" t="s">
        <v>7381</v>
      </c>
      <c r="I135" s="16"/>
      <c r="J135" s="17"/>
      <c r="K135" s="15"/>
      <c r="L135" s="18"/>
      <c r="M135" s="20"/>
      <c r="N135" s="15"/>
      <c r="O135" s="15"/>
      <c r="P135" s="79"/>
    </row>
    <row r="136" spans="2:16" ht="35.1" customHeight="1" x14ac:dyDescent="0.2">
      <c r="B136" s="1" t="s">
        <v>7424</v>
      </c>
      <c r="I136" s="16"/>
      <c r="J136" s="17"/>
      <c r="K136" s="15"/>
      <c r="L136" s="18"/>
      <c r="M136" s="20"/>
      <c r="N136" s="15"/>
      <c r="O136" s="15"/>
      <c r="P136" s="79"/>
    </row>
    <row r="137" spans="2:16" ht="35.1" customHeight="1" x14ac:dyDescent="0.2">
      <c r="B137" s="1" t="s">
        <v>7425</v>
      </c>
      <c r="I137" s="16"/>
      <c r="J137" s="17"/>
      <c r="K137" s="15"/>
      <c r="L137" s="18"/>
      <c r="M137" s="33"/>
      <c r="N137" s="15"/>
      <c r="O137" s="15"/>
      <c r="P137" s="79"/>
    </row>
    <row r="138" spans="2:16" ht="35.1" customHeight="1" x14ac:dyDescent="0.2">
      <c r="B138" s="1" t="s">
        <v>7426</v>
      </c>
      <c r="I138" s="16"/>
      <c r="J138" s="17"/>
      <c r="K138" s="15"/>
      <c r="L138" s="18"/>
      <c r="M138" s="20"/>
      <c r="N138" s="15"/>
      <c r="O138" s="15"/>
      <c r="P138" s="79"/>
    </row>
    <row r="139" spans="2:16" ht="35.1" customHeight="1" x14ac:dyDescent="0.2">
      <c r="B139" s="1" t="s">
        <v>7427</v>
      </c>
      <c r="I139" s="16"/>
      <c r="J139" s="17"/>
      <c r="K139" s="15"/>
      <c r="L139" s="18"/>
      <c r="M139" s="20"/>
      <c r="N139" s="15"/>
      <c r="O139" s="15"/>
      <c r="P139" s="79"/>
    </row>
    <row r="140" spans="2:16" ht="35.1" customHeight="1" x14ac:dyDescent="0.2">
      <c r="B140" s="1" t="s">
        <v>7428</v>
      </c>
      <c r="I140" s="16"/>
      <c r="J140" s="17"/>
      <c r="K140" s="15"/>
      <c r="L140" s="18"/>
      <c r="M140" s="20"/>
      <c r="N140" s="15"/>
      <c r="O140" s="15"/>
      <c r="P140" s="79"/>
    </row>
    <row r="141" spans="2:16" ht="35.1" customHeight="1" x14ac:dyDescent="0.2">
      <c r="B141" s="1" t="s">
        <v>7429</v>
      </c>
      <c r="I141" s="16"/>
      <c r="J141" s="17"/>
      <c r="K141" s="15"/>
      <c r="L141" s="18"/>
      <c r="M141" s="33"/>
      <c r="N141" s="15"/>
      <c r="O141" s="15"/>
      <c r="P141" s="79"/>
    </row>
    <row r="142" spans="2:16" ht="35.1" customHeight="1" x14ac:dyDescent="0.2">
      <c r="B142" s="4" t="s">
        <v>7153</v>
      </c>
      <c r="I142" s="16"/>
      <c r="J142" s="17"/>
      <c r="K142" s="15"/>
      <c r="L142" s="18"/>
      <c r="M142" s="48"/>
      <c r="N142" s="15"/>
      <c r="O142" s="15"/>
      <c r="P142" s="79"/>
    </row>
    <row r="143" spans="2:16" ht="35.1" customHeight="1" x14ac:dyDescent="0.2">
      <c r="B143" s="1" t="s">
        <v>7398</v>
      </c>
      <c r="I143" s="16"/>
      <c r="J143" s="17"/>
      <c r="K143" s="15"/>
      <c r="L143" s="18"/>
      <c r="M143" s="20"/>
      <c r="N143" s="15"/>
      <c r="O143" s="15"/>
      <c r="P143" s="79"/>
    </row>
    <row r="144" spans="2:16" ht="35.1" customHeight="1" x14ac:dyDescent="0.2">
      <c r="B144" s="1" t="s">
        <v>7430</v>
      </c>
      <c r="I144" s="16"/>
      <c r="J144" s="17"/>
      <c r="K144" s="15"/>
      <c r="L144" s="18"/>
      <c r="M144" s="20"/>
      <c r="N144" s="15"/>
      <c r="O144" s="15"/>
      <c r="P144" s="79"/>
    </row>
    <row r="145" spans="2:16" ht="35.1" customHeight="1" x14ac:dyDescent="0.2">
      <c r="B145" s="1" t="s">
        <v>7431</v>
      </c>
      <c r="I145" s="16"/>
      <c r="J145" s="17"/>
      <c r="K145" s="15"/>
      <c r="L145" s="18"/>
      <c r="M145" s="20"/>
      <c r="N145" s="15"/>
      <c r="O145" s="15"/>
      <c r="P145" s="79"/>
    </row>
    <row r="146" spans="2:16" ht="35.1" customHeight="1" x14ac:dyDescent="0.2">
      <c r="B146" s="1" t="s">
        <v>7339</v>
      </c>
      <c r="I146" s="16"/>
      <c r="J146" s="17"/>
      <c r="K146" s="15"/>
      <c r="L146" s="18"/>
      <c r="M146" s="20"/>
      <c r="N146" s="15"/>
      <c r="O146" s="15"/>
      <c r="P146" s="79"/>
    </row>
    <row r="147" spans="2:16" ht="35.1" customHeight="1" x14ac:dyDescent="0.2">
      <c r="B147" s="1" t="s">
        <v>7432</v>
      </c>
      <c r="I147" s="16"/>
      <c r="J147" s="17"/>
      <c r="K147" s="15"/>
      <c r="L147" s="18"/>
      <c r="M147" s="20"/>
      <c r="N147" s="15"/>
      <c r="O147" s="15"/>
      <c r="P147" s="79"/>
    </row>
    <row r="148" spans="2:16" ht="35.1" customHeight="1" x14ac:dyDescent="0.2">
      <c r="B148" s="1" t="s">
        <v>7132</v>
      </c>
      <c r="I148" s="16"/>
      <c r="J148" s="17"/>
      <c r="K148" s="15"/>
      <c r="L148" s="18"/>
      <c r="M148" s="20"/>
      <c r="N148" s="15"/>
      <c r="O148" s="15"/>
      <c r="P148" s="79"/>
    </row>
    <row r="149" spans="2:16" ht="35.1" customHeight="1" x14ac:dyDescent="0.2">
      <c r="B149" s="1"/>
      <c r="I149" s="16"/>
      <c r="J149" s="17"/>
      <c r="K149" s="15"/>
      <c r="L149" s="18"/>
      <c r="M149" s="20"/>
      <c r="N149" s="15"/>
      <c r="O149" s="15"/>
      <c r="P149" s="79"/>
    </row>
    <row r="150" spans="2:16" ht="35.1" customHeight="1" x14ac:dyDescent="0.2">
      <c r="B150" s="3" t="s">
        <v>7068</v>
      </c>
      <c r="I150" s="16"/>
      <c r="J150" s="17"/>
      <c r="K150" s="15"/>
      <c r="L150" s="18"/>
      <c r="M150" s="20"/>
      <c r="N150" s="15"/>
      <c r="O150" s="15"/>
      <c r="P150" s="79"/>
    </row>
    <row r="151" spans="2:16" ht="35.1" customHeight="1" x14ac:dyDescent="0.2">
      <c r="B151" s="4" t="s">
        <v>7068</v>
      </c>
      <c r="I151" s="16"/>
      <c r="J151" s="17"/>
      <c r="K151" s="15"/>
      <c r="L151" s="18"/>
      <c r="M151" s="53"/>
      <c r="N151" s="54"/>
      <c r="O151" s="15"/>
      <c r="P151" s="79"/>
    </row>
    <row r="152" spans="2:16" ht="35.1" customHeight="1" x14ac:dyDescent="0.2">
      <c r="B152" s="1" t="s">
        <v>7160</v>
      </c>
      <c r="M152" s="53"/>
      <c r="N152" s="54"/>
      <c r="P152" s="79"/>
    </row>
    <row r="153" spans="2:16" ht="35.1" customHeight="1" x14ac:dyDescent="0.2">
      <c r="B153" s="1" t="s">
        <v>7063</v>
      </c>
    </row>
    <row r="154" spans="2:16" ht="35.1" customHeight="1" x14ac:dyDescent="0.2">
      <c r="B154" s="1" t="s">
        <v>7433</v>
      </c>
      <c r="D154" s="64" t="s">
        <v>7434</v>
      </c>
      <c r="E154" s="65" t="s">
        <v>7435</v>
      </c>
      <c r="F154" s="132" t="s">
        <v>7436</v>
      </c>
      <c r="G154" s="132"/>
      <c r="I154" t="s">
        <v>7437</v>
      </c>
      <c r="N154" s="15" t="s">
        <v>7438</v>
      </c>
    </row>
    <row r="155" spans="2:16" ht="35.1" customHeight="1" x14ac:dyDescent="0.2">
      <c r="B155" s="1" t="s">
        <v>7132</v>
      </c>
      <c r="D155" s="64" t="s">
        <v>7437</v>
      </c>
      <c r="E155" s="79" t="s">
        <v>7437</v>
      </c>
      <c r="F155" s="79" t="s">
        <v>7065</v>
      </c>
      <c r="G155" s="79"/>
      <c r="M155" s="150" t="s">
        <v>252</v>
      </c>
      <c r="N155" s="151" t="s">
        <v>7439</v>
      </c>
      <c r="O155" s="131"/>
    </row>
    <row r="156" spans="2:16" ht="35.1" customHeight="1" x14ac:dyDescent="0.2">
      <c r="B156" s="1" t="s">
        <v>7440</v>
      </c>
      <c r="D156" s="63" t="s">
        <v>7441</v>
      </c>
      <c r="E156" s="67" t="s">
        <v>186</v>
      </c>
      <c r="F156" s="135">
        <v>1</v>
      </c>
      <c r="G156" s="63"/>
      <c r="M156" s="150" t="s">
        <v>3615</v>
      </c>
      <c r="N156" s="151" t="s">
        <v>7442</v>
      </c>
    </row>
    <row r="157" spans="2:16" ht="35.1" customHeight="1" x14ac:dyDescent="0.2">
      <c r="B157" s="1" t="s">
        <v>7339</v>
      </c>
      <c r="D157" s="63" t="s">
        <v>7443</v>
      </c>
      <c r="E157" s="67" t="s">
        <v>7444</v>
      </c>
      <c r="F157" s="67" t="s">
        <v>7445</v>
      </c>
      <c r="G157" s="73"/>
      <c r="M157" s="150" t="s">
        <v>7446</v>
      </c>
      <c r="N157" s="151" t="s">
        <v>7447</v>
      </c>
    </row>
    <row r="158" spans="2:16" ht="35.1" customHeight="1" x14ac:dyDescent="0.2">
      <c r="B158" s="1" t="s">
        <v>7385</v>
      </c>
      <c r="E158" s="67" t="s">
        <v>7448</v>
      </c>
      <c r="F158" s="134" t="s">
        <v>1723</v>
      </c>
      <c r="G158" s="73"/>
      <c r="M158" s="150" t="s">
        <v>2363</v>
      </c>
      <c r="N158" s="151" t="s">
        <v>7449</v>
      </c>
    </row>
    <row r="159" spans="2:16" ht="35.1" customHeight="1" x14ac:dyDescent="0.2">
      <c r="B159" s="1" t="s">
        <v>7136</v>
      </c>
      <c r="E159" s="67" t="s">
        <v>7450</v>
      </c>
      <c r="F159" s="134" t="s">
        <v>7451</v>
      </c>
      <c r="G159" s="73"/>
      <c r="M159" s="150" t="s">
        <v>799</v>
      </c>
      <c r="N159" s="151" t="s">
        <v>7452</v>
      </c>
    </row>
    <row r="160" spans="2:16" ht="35.1" customHeight="1" x14ac:dyDescent="0.2">
      <c r="B160" s="1" t="s">
        <v>7453</v>
      </c>
      <c r="E160" s="67" t="s">
        <v>7454</v>
      </c>
      <c r="F160" s="67" t="s">
        <v>187</v>
      </c>
      <c r="G160" s="73"/>
      <c r="M160" s="150" t="s">
        <v>635</v>
      </c>
      <c r="N160" s="151" t="s">
        <v>7455</v>
      </c>
    </row>
    <row r="161" spans="2:14" ht="35.1" customHeight="1" x14ac:dyDescent="0.2">
      <c r="B161" s="1" t="s">
        <v>7143</v>
      </c>
      <c r="E161" s="67" t="s">
        <v>7456</v>
      </c>
      <c r="F161" s="134" t="s">
        <v>7457</v>
      </c>
      <c r="G161" s="73"/>
      <c r="M161" s="150" t="s">
        <v>7458</v>
      </c>
      <c r="N161" s="151" t="s">
        <v>7459</v>
      </c>
    </row>
    <row r="162" spans="2:14" ht="81" customHeight="1" x14ac:dyDescent="0.2">
      <c r="B162" s="1" t="s">
        <v>7460</v>
      </c>
      <c r="E162" s="67" t="s">
        <v>7461</v>
      </c>
      <c r="F162" s="134" t="s">
        <v>7462</v>
      </c>
      <c r="G162" s="73"/>
      <c r="M162" s="150" t="s">
        <v>667</v>
      </c>
      <c r="N162" s="151" t="s">
        <v>7463</v>
      </c>
    </row>
    <row r="163" spans="2:14" ht="35.1" customHeight="1" x14ac:dyDescent="0.2">
      <c r="B163" s="1" t="s">
        <v>7464</v>
      </c>
      <c r="E163" s="67" t="s">
        <v>7465</v>
      </c>
      <c r="F163" s="67" t="s">
        <v>7466</v>
      </c>
      <c r="G163" s="73"/>
      <c r="M163" s="150" t="s">
        <v>6579</v>
      </c>
      <c r="N163" s="151" t="s">
        <v>7467</v>
      </c>
    </row>
    <row r="164" spans="2:14" ht="35.1" customHeight="1" x14ac:dyDescent="0.2">
      <c r="B164" s="1" t="s">
        <v>7468</v>
      </c>
      <c r="E164" s="67" t="s">
        <v>7469</v>
      </c>
      <c r="F164" s="134" t="s">
        <v>1057</v>
      </c>
      <c r="G164" s="73"/>
      <c r="M164" s="150" t="s">
        <v>810</v>
      </c>
      <c r="N164" s="151" t="s">
        <v>7470</v>
      </c>
    </row>
    <row r="165" spans="2:14" ht="35.1" customHeight="1" x14ac:dyDescent="0.2">
      <c r="B165" s="1" t="s">
        <v>7471</v>
      </c>
      <c r="E165" s="67" t="s">
        <v>7472</v>
      </c>
      <c r="F165" s="67" t="s">
        <v>7473</v>
      </c>
      <c r="G165" s="73"/>
      <c r="M165" s="150" t="s">
        <v>1312</v>
      </c>
      <c r="N165" s="151" t="s">
        <v>7474</v>
      </c>
    </row>
    <row r="166" spans="2:14" ht="35.1" customHeight="1" x14ac:dyDescent="0.2">
      <c r="B166" s="4" t="s">
        <v>7169</v>
      </c>
      <c r="E166" s="67" t="s">
        <v>7475</v>
      </c>
      <c r="F166" s="134" t="s">
        <v>7476</v>
      </c>
      <c r="G166" s="73"/>
      <c r="M166" s="150" t="s">
        <v>698</v>
      </c>
      <c r="N166" s="151" t="s">
        <v>7477</v>
      </c>
    </row>
    <row r="167" spans="2:14" ht="35.1" customHeight="1" x14ac:dyDescent="0.2">
      <c r="B167" s="1" t="s">
        <v>7478</v>
      </c>
      <c r="E167" s="67" t="s">
        <v>7479</v>
      </c>
      <c r="F167" s="67" t="s">
        <v>7480</v>
      </c>
      <c r="G167" s="73"/>
      <c r="M167" s="150" t="s">
        <v>3572</v>
      </c>
      <c r="N167" s="151" t="s">
        <v>7481</v>
      </c>
    </row>
    <row r="168" spans="2:14" ht="35.1" customHeight="1" x14ac:dyDescent="0.2">
      <c r="B168" s="1" t="s">
        <v>7198</v>
      </c>
      <c r="E168" s="67" t="s">
        <v>7482</v>
      </c>
      <c r="F168" s="134" t="s">
        <v>7483</v>
      </c>
      <c r="G168" s="73"/>
      <c r="M168" s="150" t="s">
        <v>997</v>
      </c>
      <c r="N168" s="151" t="s">
        <v>7484</v>
      </c>
    </row>
    <row r="169" spans="2:14" ht="35.1" customHeight="1" x14ac:dyDescent="0.2">
      <c r="B169" s="1" t="s">
        <v>7359</v>
      </c>
      <c r="E169" s="67" t="s">
        <v>7485</v>
      </c>
      <c r="F169" s="67" t="s">
        <v>7486</v>
      </c>
      <c r="G169" s="73"/>
      <c r="M169" s="150" t="s">
        <v>1925</v>
      </c>
      <c r="N169" s="151" t="s">
        <v>7487</v>
      </c>
    </row>
    <row r="170" spans="2:14" ht="35.1" customHeight="1" x14ac:dyDescent="0.2">
      <c r="B170" s="1" t="s">
        <v>7488</v>
      </c>
      <c r="E170" s="67" t="s">
        <v>7489</v>
      </c>
      <c r="F170" s="134" t="s">
        <v>7490</v>
      </c>
      <c r="G170" s="73"/>
      <c r="M170" s="150" t="s">
        <v>2239</v>
      </c>
      <c r="N170" s="151" t="s">
        <v>7491</v>
      </c>
    </row>
    <row r="171" spans="2:14" ht="35.1" customHeight="1" x14ac:dyDescent="0.2">
      <c r="B171" s="1" t="s">
        <v>7492</v>
      </c>
      <c r="E171" s="67" t="s">
        <v>7493</v>
      </c>
      <c r="F171" s="67" t="s">
        <v>7494</v>
      </c>
      <c r="G171" s="73"/>
      <c r="M171" s="150" t="s">
        <v>5793</v>
      </c>
      <c r="N171" s="151" t="s">
        <v>7495</v>
      </c>
    </row>
    <row r="172" spans="2:14" ht="35.1" customHeight="1" x14ac:dyDescent="0.2">
      <c r="B172" s="1" t="s">
        <v>7136</v>
      </c>
      <c r="E172" s="133"/>
      <c r="F172" s="133">
        <v>17</v>
      </c>
      <c r="G172" s="158"/>
      <c r="M172" s="150" t="s">
        <v>3135</v>
      </c>
      <c r="N172" s="151" t="s">
        <v>7496</v>
      </c>
    </row>
    <row r="173" spans="2:14" ht="35.1" customHeight="1" x14ac:dyDescent="0.2">
      <c r="B173" s="1" t="s">
        <v>7339</v>
      </c>
      <c r="E173" s="133"/>
      <c r="F173" s="133">
        <v>18</v>
      </c>
      <c r="G173" s="158"/>
      <c r="M173" s="150" t="s">
        <v>3976</v>
      </c>
      <c r="N173" s="151" t="s">
        <v>7497</v>
      </c>
    </row>
    <row r="174" spans="2:14" ht="35.1" customHeight="1" x14ac:dyDescent="0.2">
      <c r="B174" s="1" t="s">
        <v>7498</v>
      </c>
      <c r="E174" s="133"/>
      <c r="F174" s="133">
        <v>19</v>
      </c>
      <c r="G174" s="158"/>
      <c r="M174" s="150" t="s">
        <v>2501</v>
      </c>
      <c r="N174" s="151" t="s">
        <v>7499</v>
      </c>
    </row>
    <row r="175" spans="2:14" ht="35.1" customHeight="1" x14ac:dyDescent="0.2">
      <c r="B175" s="1" t="s">
        <v>7500</v>
      </c>
      <c r="E175" s="133"/>
      <c r="F175" s="133">
        <v>20</v>
      </c>
      <c r="G175" s="158"/>
      <c r="M175" s="150" t="s">
        <v>2580</v>
      </c>
      <c r="N175" s="151" t="s">
        <v>7501</v>
      </c>
    </row>
    <row r="176" spans="2:14" ht="35.1" customHeight="1" x14ac:dyDescent="0.2">
      <c r="B176" s="1" t="s">
        <v>7502</v>
      </c>
      <c r="E176" s="66"/>
      <c r="F176" s="133">
        <v>21</v>
      </c>
      <c r="G176" s="158"/>
      <c r="M176" s="150" t="s">
        <v>939</v>
      </c>
      <c r="N176" s="151" t="s">
        <v>7503</v>
      </c>
    </row>
    <row r="177" spans="2:14" ht="35.1" customHeight="1" x14ac:dyDescent="0.2">
      <c r="B177" s="1" t="s">
        <v>7334</v>
      </c>
      <c r="E177" s="66"/>
      <c r="F177" s="133">
        <v>22</v>
      </c>
      <c r="G177" s="158"/>
      <c r="M177" s="150" t="s">
        <v>6927</v>
      </c>
      <c r="N177" s="151" t="s">
        <v>7504</v>
      </c>
    </row>
    <row r="178" spans="2:14" ht="35.1" customHeight="1" x14ac:dyDescent="0.2">
      <c r="B178" s="1" t="s">
        <v>7505</v>
      </c>
      <c r="E178" s="66"/>
      <c r="F178" s="133">
        <v>23</v>
      </c>
      <c r="G178" s="158"/>
      <c r="M178" s="150" t="s">
        <v>2921</v>
      </c>
      <c r="N178" s="151" t="s">
        <v>7506</v>
      </c>
    </row>
    <row r="179" spans="2:14" ht="35.1" customHeight="1" x14ac:dyDescent="0.2">
      <c r="B179" s="1" t="s">
        <v>7507</v>
      </c>
      <c r="E179" s="66"/>
      <c r="F179" s="133">
        <v>24</v>
      </c>
      <c r="G179" s="158"/>
      <c r="M179" s="150" t="s">
        <v>2997</v>
      </c>
      <c r="N179" s="151" t="s">
        <v>7508</v>
      </c>
    </row>
    <row r="180" spans="2:14" ht="35.1" customHeight="1" x14ac:dyDescent="0.2">
      <c r="B180" s="4" t="s">
        <v>7172</v>
      </c>
      <c r="E180" s="133"/>
      <c r="F180" s="133">
        <v>25</v>
      </c>
      <c r="G180" s="158"/>
      <c r="M180" s="150" t="s">
        <v>2027</v>
      </c>
      <c r="N180" s="151" t="s">
        <v>7509</v>
      </c>
    </row>
    <row r="181" spans="2:14" ht="35.1" customHeight="1" x14ac:dyDescent="0.2">
      <c r="B181" s="1" t="s">
        <v>7510</v>
      </c>
      <c r="E181" s="66"/>
      <c r="F181" s="133">
        <v>26</v>
      </c>
      <c r="G181" s="158"/>
      <c r="M181" s="150" t="s">
        <v>1542</v>
      </c>
      <c r="N181" s="151" t="s">
        <v>7511</v>
      </c>
    </row>
    <row r="182" spans="2:14" ht="35.1" customHeight="1" x14ac:dyDescent="0.2">
      <c r="B182" s="1" t="s">
        <v>7339</v>
      </c>
      <c r="E182" s="66"/>
      <c r="F182" s="133">
        <v>27</v>
      </c>
      <c r="G182" s="158"/>
      <c r="M182" s="150" t="s">
        <v>5614</v>
      </c>
      <c r="N182" s="151" t="s">
        <v>7512</v>
      </c>
    </row>
    <row r="183" spans="2:14" ht="35.1" customHeight="1" x14ac:dyDescent="0.2">
      <c r="B183" s="1" t="s">
        <v>7063</v>
      </c>
      <c r="E183" s="66"/>
      <c r="F183" s="133">
        <v>28</v>
      </c>
      <c r="G183" s="158"/>
      <c r="M183" s="150" t="s">
        <v>175</v>
      </c>
      <c r="N183" s="151" t="s">
        <v>7513</v>
      </c>
    </row>
    <row r="184" spans="2:14" ht="35.1" customHeight="1" x14ac:dyDescent="0.2">
      <c r="B184" s="1" t="s">
        <v>7514</v>
      </c>
      <c r="E184" s="66"/>
      <c r="F184" s="133">
        <v>29</v>
      </c>
      <c r="G184" s="158"/>
      <c r="M184" s="150" t="s">
        <v>5073</v>
      </c>
      <c r="N184" s="151" t="s">
        <v>7515</v>
      </c>
    </row>
    <row r="185" spans="2:14" ht="35.1" customHeight="1" x14ac:dyDescent="0.2">
      <c r="B185" s="1" t="s">
        <v>7516</v>
      </c>
      <c r="E185" s="66"/>
      <c r="F185" s="133">
        <v>30</v>
      </c>
      <c r="G185" s="158"/>
      <c r="M185" s="150" t="s">
        <v>949</v>
      </c>
      <c r="N185" s="151" t="s">
        <v>7517</v>
      </c>
    </row>
    <row r="186" spans="2:14" ht="35.1" customHeight="1" x14ac:dyDescent="0.2">
      <c r="B186" s="1" t="s">
        <v>7518</v>
      </c>
      <c r="E186" s="66"/>
      <c r="F186" s="133">
        <v>31</v>
      </c>
      <c r="G186" s="158"/>
      <c r="M186" s="150" t="s">
        <v>4301</v>
      </c>
      <c r="N186" s="151" t="s">
        <v>7519</v>
      </c>
    </row>
    <row r="187" spans="2:14" ht="35.1" customHeight="1" x14ac:dyDescent="0.2">
      <c r="B187" s="1" t="s">
        <v>7520</v>
      </c>
      <c r="E187" s="66"/>
      <c r="F187" s="133">
        <v>32</v>
      </c>
      <c r="G187" s="158"/>
      <c r="M187" s="150" t="s">
        <v>6116</v>
      </c>
      <c r="N187" s="151" t="s">
        <v>7521</v>
      </c>
    </row>
    <row r="188" spans="2:14" ht="35.1" customHeight="1" x14ac:dyDescent="0.2">
      <c r="B188" s="1" t="s">
        <v>7522</v>
      </c>
      <c r="E188" s="66"/>
      <c r="F188" s="133">
        <v>33</v>
      </c>
      <c r="G188" s="158"/>
      <c r="M188" s="150" t="s">
        <v>4916</v>
      </c>
      <c r="N188" s="151" t="s">
        <v>7523</v>
      </c>
    </row>
    <row r="189" spans="2:14" ht="35.1" customHeight="1" x14ac:dyDescent="0.2">
      <c r="B189" s="4" t="s">
        <v>7177</v>
      </c>
      <c r="E189" s="66"/>
      <c r="F189" s="133">
        <v>34</v>
      </c>
      <c r="G189" s="158"/>
      <c r="M189" s="150" t="s">
        <v>6179</v>
      </c>
      <c r="N189" s="151" t="s">
        <v>7524</v>
      </c>
    </row>
    <row r="190" spans="2:14" ht="35.1" customHeight="1" x14ac:dyDescent="0.2">
      <c r="B190" s="1" t="s">
        <v>7525</v>
      </c>
      <c r="E190" s="66"/>
      <c r="F190" s="133">
        <v>35</v>
      </c>
      <c r="G190" s="158"/>
      <c r="M190" s="150" t="s">
        <v>5036</v>
      </c>
      <c r="N190" s="151" t="s">
        <v>7526</v>
      </c>
    </row>
    <row r="191" spans="2:14" ht="35.1" customHeight="1" x14ac:dyDescent="0.2">
      <c r="B191" s="1" t="s">
        <v>7527</v>
      </c>
      <c r="E191" s="66"/>
      <c r="F191" s="133">
        <v>36</v>
      </c>
      <c r="G191" s="158"/>
      <c r="M191" s="150" t="s">
        <v>1688</v>
      </c>
      <c r="N191" s="151" t="s">
        <v>7528</v>
      </c>
    </row>
    <row r="192" spans="2:14" ht="35.1" customHeight="1" x14ac:dyDescent="0.2">
      <c r="B192" s="1" t="s">
        <v>7529</v>
      </c>
      <c r="E192" s="66"/>
      <c r="F192" s="133">
        <v>37</v>
      </c>
      <c r="G192" s="158"/>
      <c r="M192" s="150" t="s">
        <v>6498</v>
      </c>
      <c r="N192" s="151" t="s">
        <v>7530</v>
      </c>
    </row>
    <row r="193" spans="2:14" ht="35.1" customHeight="1" x14ac:dyDescent="0.2">
      <c r="B193" s="4" t="s">
        <v>7180</v>
      </c>
      <c r="E193" s="133"/>
      <c r="F193" s="133">
        <v>38</v>
      </c>
      <c r="G193" s="158"/>
      <c r="M193" s="150" t="s">
        <v>5886</v>
      </c>
      <c r="N193" s="151" t="s">
        <v>7531</v>
      </c>
    </row>
    <row r="194" spans="2:14" ht="35.1" customHeight="1" x14ac:dyDescent="0.2">
      <c r="B194" s="1" t="s">
        <v>7532</v>
      </c>
      <c r="E194" s="66"/>
      <c r="F194" s="133">
        <v>39</v>
      </c>
      <c r="G194" s="158"/>
      <c r="M194" s="150" t="s">
        <v>5820</v>
      </c>
      <c r="N194" s="151" t="s">
        <v>7533</v>
      </c>
    </row>
    <row r="195" spans="2:14" ht="35.1" customHeight="1" x14ac:dyDescent="0.2">
      <c r="B195" s="1" t="s">
        <v>7534</v>
      </c>
      <c r="E195" s="66"/>
      <c r="F195" s="133">
        <v>40</v>
      </c>
      <c r="G195" s="158"/>
      <c r="M195" s="150" t="s">
        <v>2700</v>
      </c>
      <c r="N195" s="151" t="s">
        <v>7535</v>
      </c>
    </row>
    <row r="196" spans="2:14" ht="35.1" customHeight="1" x14ac:dyDescent="0.2">
      <c r="B196" s="1" t="s">
        <v>7389</v>
      </c>
      <c r="E196" s="66"/>
      <c r="F196" s="133">
        <v>41</v>
      </c>
      <c r="G196" s="158"/>
      <c r="M196" s="150" t="s">
        <v>4264</v>
      </c>
      <c r="N196" s="151" t="s">
        <v>7536</v>
      </c>
    </row>
    <row r="197" spans="2:14" ht="35.1" customHeight="1" x14ac:dyDescent="0.2">
      <c r="B197" s="1" t="s">
        <v>7339</v>
      </c>
      <c r="E197" s="66"/>
      <c r="F197" s="133">
        <v>42</v>
      </c>
      <c r="G197" s="158"/>
      <c r="M197" s="150" t="s">
        <v>7537</v>
      </c>
      <c r="N197" s="151" t="s">
        <v>7538</v>
      </c>
    </row>
    <row r="198" spans="2:14" ht="35.1" customHeight="1" x14ac:dyDescent="0.2">
      <c r="B198" s="1" t="s">
        <v>7334</v>
      </c>
      <c r="E198" s="66"/>
      <c r="F198" s="133">
        <v>43</v>
      </c>
      <c r="G198" s="158"/>
      <c r="M198" s="150" t="s">
        <v>2431</v>
      </c>
      <c r="N198" s="151" t="s">
        <v>7539</v>
      </c>
    </row>
    <row r="199" spans="2:14" ht="35.1" customHeight="1" x14ac:dyDescent="0.2">
      <c r="B199" s="1" t="s">
        <v>7063</v>
      </c>
      <c r="E199" s="66"/>
      <c r="F199" s="133">
        <v>44</v>
      </c>
      <c r="G199" s="158"/>
      <c r="M199" s="150" t="s">
        <v>984</v>
      </c>
      <c r="N199" s="151" t="s">
        <v>7540</v>
      </c>
    </row>
    <row r="200" spans="2:14" ht="35.1" customHeight="1" x14ac:dyDescent="0.2">
      <c r="B200" s="1" t="s">
        <v>7541</v>
      </c>
      <c r="E200" s="66"/>
      <c r="F200" s="133">
        <v>45</v>
      </c>
      <c r="G200" s="158"/>
      <c r="M200" s="150" t="s">
        <v>5211</v>
      </c>
      <c r="N200" s="151" t="s">
        <v>7542</v>
      </c>
    </row>
    <row r="201" spans="2:14" ht="35.1" customHeight="1" x14ac:dyDescent="0.2">
      <c r="B201" s="4" t="s">
        <v>7185</v>
      </c>
      <c r="E201" s="66"/>
      <c r="F201" s="133">
        <v>46</v>
      </c>
      <c r="G201" s="158"/>
      <c r="M201" s="150" t="s">
        <v>3128</v>
      </c>
      <c r="N201" s="151" t="s">
        <v>7543</v>
      </c>
    </row>
    <row r="202" spans="2:14" ht="35.1" customHeight="1" x14ac:dyDescent="0.2">
      <c r="B202" s="1" t="s">
        <v>7544</v>
      </c>
      <c r="E202" s="66"/>
      <c r="F202" s="133">
        <v>47</v>
      </c>
      <c r="G202" s="158"/>
      <c r="M202" s="150" t="s">
        <v>4412</v>
      </c>
      <c r="N202" s="151" t="s">
        <v>7545</v>
      </c>
    </row>
    <row r="203" spans="2:14" ht="35.1" customHeight="1" x14ac:dyDescent="0.2">
      <c r="B203" s="1"/>
      <c r="E203" s="133"/>
      <c r="F203" s="133">
        <v>48</v>
      </c>
      <c r="G203" s="158"/>
      <c r="M203" s="150" t="s">
        <v>2846</v>
      </c>
      <c r="N203" s="151" t="s">
        <v>7546</v>
      </c>
    </row>
    <row r="204" spans="2:14" ht="35.1" customHeight="1" x14ac:dyDescent="0.2">
      <c r="B204" s="1" t="s">
        <v>7147</v>
      </c>
      <c r="E204" s="66"/>
      <c r="F204" s="133">
        <v>49</v>
      </c>
      <c r="G204" s="158"/>
      <c r="M204" s="150" t="s">
        <v>4217</v>
      </c>
      <c r="N204" s="151" t="s">
        <v>7547</v>
      </c>
    </row>
    <row r="205" spans="2:14" ht="35.1" customHeight="1" x14ac:dyDescent="0.2">
      <c r="B205" s="1" t="s">
        <v>7063</v>
      </c>
      <c r="E205" s="133"/>
      <c r="F205" s="133">
        <v>50</v>
      </c>
      <c r="G205" s="158"/>
      <c r="M205" s="150" t="s">
        <v>908</v>
      </c>
      <c r="N205" s="151" t="s">
        <v>7548</v>
      </c>
    </row>
    <row r="206" spans="2:14" ht="35.1" customHeight="1" x14ac:dyDescent="0.2">
      <c r="B206" s="1" t="s">
        <v>7549</v>
      </c>
      <c r="M206" s="150" t="s">
        <v>7550</v>
      </c>
      <c r="N206" s="151" t="s">
        <v>7551</v>
      </c>
    </row>
    <row r="207" spans="2:14" ht="35.1" customHeight="1" x14ac:dyDescent="0.2">
      <c r="B207" s="1" t="s">
        <v>7372</v>
      </c>
      <c r="M207" s="150" t="s">
        <v>2948</v>
      </c>
      <c r="N207" s="151" t="s">
        <v>7552</v>
      </c>
    </row>
    <row r="208" spans="2:14" ht="35.1" customHeight="1" x14ac:dyDescent="0.2">
      <c r="B208" s="1" t="s">
        <v>7359</v>
      </c>
      <c r="M208" s="150" t="s">
        <v>7553</v>
      </c>
      <c r="N208" s="151" t="s">
        <v>7554</v>
      </c>
    </row>
    <row r="209" spans="2:14" ht="35.1" customHeight="1" x14ac:dyDescent="0.2">
      <c r="B209" s="1" t="s">
        <v>7176</v>
      </c>
      <c r="M209" s="150" t="s">
        <v>6745</v>
      </c>
      <c r="N209" s="151" t="s">
        <v>7555</v>
      </c>
    </row>
    <row r="210" spans="2:14" ht="35.1" customHeight="1" x14ac:dyDescent="0.2">
      <c r="B210" s="4" t="s">
        <v>7190</v>
      </c>
      <c r="M210" s="150" t="s">
        <v>5564</v>
      </c>
      <c r="N210" s="151" t="s">
        <v>7556</v>
      </c>
    </row>
    <row r="211" spans="2:14" ht="35.1" customHeight="1" x14ac:dyDescent="0.2">
      <c r="B211" s="1" t="s">
        <v>7557</v>
      </c>
      <c r="M211" s="150" t="s">
        <v>961</v>
      </c>
      <c r="N211" s="151" t="s">
        <v>7558</v>
      </c>
    </row>
    <row r="212" spans="2:14" ht="35.1" customHeight="1" x14ac:dyDescent="0.2">
      <c r="B212" s="1" t="s">
        <v>7559</v>
      </c>
      <c r="M212" s="150" t="s">
        <v>2473</v>
      </c>
      <c r="N212" s="151" t="s">
        <v>7560</v>
      </c>
    </row>
    <row r="213" spans="2:14" ht="35.1" customHeight="1" x14ac:dyDescent="0.2">
      <c r="B213" s="1" t="s">
        <v>7561</v>
      </c>
      <c r="M213" s="150" t="s">
        <v>2614</v>
      </c>
      <c r="N213" s="151" t="s">
        <v>7562</v>
      </c>
    </row>
    <row r="214" spans="2:14" ht="35.1" customHeight="1" x14ac:dyDescent="0.2">
      <c r="B214" s="1" t="s">
        <v>7198</v>
      </c>
      <c r="M214" s="150" t="s">
        <v>2397</v>
      </c>
      <c r="N214" s="151" t="s">
        <v>7563</v>
      </c>
    </row>
    <row r="215" spans="2:14" ht="35.1" customHeight="1" x14ac:dyDescent="0.2">
      <c r="B215" s="1" t="s">
        <v>7564</v>
      </c>
      <c r="M215" s="150" t="s">
        <v>6960</v>
      </c>
      <c r="N215" s="151" t="s">
        <v>7565</v>
      </c>
    </row>
    <row r="216" spans="2:14" ht="35.1" customHeight="1" x14ac:dyDescent="0.2">
      <c r="B216" s="1" t="s">
        <v>7566</v>
      </c>
      <c r="M216" s="150" t="s">
        <v>7567</v>
      </c>
      <c r="N216" s="151" t="s">
        <v>7568</v>
      </c>
    </row>
    <row r="217" spans="2:14" ht="35.1" customHeight="1" x14ac:dyDescent="0.2">
      <c r="B217" s="1" t="s">
        <v>7569</v>
      </c>
      <c r="M217" s="150" t="s">
        <v>5806</v>
      </c>
      <c r="N217" s="151" t="s">
        <v>7570</v>
      </c>
    </row>
    <row r="218" spans="2:14" ht="35.1" customHeight="1" x14ac:dyDescent="0.2">
      <c r="B218" s="4" t="s">
        <v>7194</v>
      </c>
      <c r="M218" s="150" t="s">
        <v>7571</v>
      </c>
      <c r="N218" s="151" t="s">
        <v>7572</v>
      </c>
    </row>
    <row r="219" spans="2:14" ht="35.1" customHeight="1" x14ac:dyDescent="0.2">
      <c r="B219" s="1" t="s">
        <v>7381</v>
      </c>
      <c r="M219" s="150" t="s">
        <v>612</v>
      </c>
      <c r="N219" s="151" t="s">
        <v>7573</v>
      </c>
    </row>
    <row r="220" spans="2:14" ht="35.1" customHeight="1" x14ac:dyDescent="0.2">
      <c r="B220" s="1" t="s">
        <v>7359</v>
      </c>
      <c r="M220" s="150" t="s">
        <v>442</v>
      </c>
      <c r="N220" s="151" t="s">
        <v>7574</v>
      </c>
    </row>
    <row r="221" spans="2:14" ht="35.1" customHeight="1" x14ac:dyDescent="0.2">
      <c r="B221" s="1" t="s">
        <v>7136</v>
      </c>
      <c r="M221" s="150" t="s">
        <v>4343</v>
      </c>
      <c r="N221" s="151" t="s">
        <v>7575</v>
      </c>
    </row>
    <row r="222" spans="2:14" ht="35.1" customHeight="1" x14ac:dyDescent="0.2">
      <c r="B222" s="1" t="s">
        <v>7576</v>
      </c>
      <c r="M222" s="150" t="s">
        <v>6095</v>
      </c>
      <c r="N222" s="151" t="s">
        <v>7577</v>
      </c>
    </row>
    <row r="223" spans="2:14" ht="35.1" customHeight="1" x14ac:dyDescent="0.2">
      <c r="B223" s="1" t="s">
        <v>7578</v>
      </c>
      <c r="M223" s="150" t="s">
        <v>5903</v>
      </c>
      <c r="N223" s="151" t="s">
        <v>7579</v>
      </c>
    </row>
    <row r="224" spans="2:14" ht="35.1" customHeight="1" x14ac:dyDescent="0.2">
      <c r="B224" s="4" t="s">
        <v>7199</v>
      </c>
      <c r="M224" s="150" t="s">
        <v>5966</v>
      </c>
      <c r="N224" s="151" t="s">
        <v>7580</v>
      </c>
    </row>
    <row r="225" spans="2:14" ht="35.1" customHeight="1" x14ac:dyDescent="0.2">
      <c r="B225" s="1" t="s">
        <v>7581</v>
      </c>
      <c r="M225" s="150" t="s">
        <v>6466</v>
      </c>
      <c r="N225" s="151" t="s">
        <v>7582</v>
      </c>
    </row>
    <row r="226" spans="2:14" ht="35.1" customHeight="1" x14ac:dyDescent="0.2">
      <c r="B226" s="1" t="s">
        <v>7583</v>
      </c>
      <c r="M226" s="150" t="s">
        <v>6830</v>
      </c>
      <c r="N226" s="151" t="s">
        <v>7584</v>
      </c>
    </row>
    <row r="227" spans="2:14" ht="35.1" customHeight="1" x14ac:dyDescent="0.2">
      <c r="B227" s="1" t="s">
        <v>7585</v>
      </c>
      <c r="M227" s="150" t="s">
        <v>6107</v>
      </c>
      <c r="N227" s="151" t="s">
        <v>7586</v>
      </c>
    </row>
    <row r="228" spans="2:14" ht="35.1" customHeight="1" x14ac:dyDescent="0.2">
      <c r="B228" s="1" t="s">
        <v>7587</v>
      </c>
      <c r="M228" s="150" t="s">
        <v>2274</v>
      </c>
      <c r="N228" s="151" t="s">
        <v>7588</v>
      </c>
    </row>
    <row r="229" spans="2:14" ht="35.1" customHeight="1" x14ac:dyDescent="0.2">
      <c r="B229" s="1" t="s">
        <v>7589</v>
      </c>
      <c r="M229" s="150" t="s">
        <v>6998</v>
      </c>
      <c r="N229" s="151" t="s">
        <v>7590</v>
      </c>
    </row>
    <row r="230" spans="2:14" ht="35.1" customHeight="1" x14ac:dyDescent="0.2">
      <c r="B230" s="4" t="s">
        <v>7202</v>
      </c>
      <c r="M230" s="150" t="s">
        <v>3963</v>
      </c>
      <c r="N230" s="151" t="s">
        <v>7591</v>
      </c>
    </row>
    <row r="231" spans="2:14" ht="35.1" customHeight="1" x14ac:dyDescent="0.2">
      <c r="B231" s="1" t="s">
        <v>7592</v>
      </c>
      <c r="M231" s="150" t="s">
        <v>7593</v>
      </c>
      <c r="N231" s="151" t="s">
        <v>7594</v>
      </c>
    </row>
    <row r="232" spans="2:14" ht="35.1" customHeight="1" x14ac:dyDescent="0.2">
      <c r="B232" s="1" t="s">
        <v>7595</v>
      </c>
      <c r="M232" s="150" t="s">
        <v>4276</v>
      </c>
      <c r="N232" s="151" t="s">
        <v>7596</v>
      </c>
    </row>
    <row r="233" spans="2:14" ht="35.1" customHeight="1" x14ac:dyDescent="0.2">
      <c r="B233" s="1" t="s">
        <v>7597</v>
      </c>
      <c r="M233" s="150" t="s">
        <v>6874</v>
      </c>
      <c r="N233" s="151" t="s">
        <v>7598</v>
      </c>
    </row>
    <row r="234" spans="2:14" ht="35.1" customHeight="1" x14ac:dyDescent="0.2">
      <c r="B234" s="1" t="s">
        <v>7599</v>
      </c>
      <c r="M234" s="150" t="s">
        <v>6900</v>
      </c>
      <c r="N234" s="151" t="s">
        <v>7600</v>
      </c>
    </row>
    <row r="235" spans="2:14" ht="35.1" customHeight="1" x14ac:dyDescent="0.2">
      <c r="B235" s="1" t="s">
        <v>7601</v>
      </c>
      <c r="M235" s="150" t="s">
        <v>4206</v>
      </c>
      <c r="N235" s="151" t="s">
        <v>7602</v>
      </c>
    </row>
    <row r="236" spans="2:14" ht="35.1" customHeight="1" x14ac:dyDescent="0.2">
      <c r="B236" s="1" t="s">
        <v>7603</v>
      </c>
      <c r="M236" s="150" t="s">
        <v>6735</v>
      </c>
      <c r="N236" s="151" t="s">
        <v>7604</v>
      </c>
    </row>
    <row r="237" spans="2:14" ht="35.1" customHeight="1" x14ac:dyDescent="0.2">
      <c r="B237" s="1" t="s">
        <v>7605</v>
      </c>
      <c r="M237" s="150" t="s">
        <v>2601</v>
      </c>
      <c r="N237" s="151" t="s">
        <v>7606</v>
      </c>
    </row>
    <row r="238" spans="2:14" ht="35.1" customHeight="1" x14ac:dyDescent="0.2">
      <c r="B238" s="1" t="s">
        <v>7607</v>
      </c>
      <c r="M238" s="150" t="s">
        <v>4384</v>
      </c>
      <c r="N238" s="151" t="s">
        <v>7608</v>
      </c>
    </row>
    <row r="239" spans="2:14" ht="35.1" customHeight="1" x14ac:dyDescent="0.2">
      <c r="B239" s="1" t="s">
        <v>7609</v>
      </c>
      <c r="M239" s="150" t="s">
        <v>7610</v>
      </c>
      <c r="N239" s="151" t="s">
        <v>7611</v>
      </c>
    </row>
    <row r="240" spans="2:14" ht="35.1" customHeight="1" x14ac:dyDescent="0.2">
      <c r="B240" s="1" t="s">
        <v>7612</v>
      </c>
      <c r="M240" s="150" t="s">
        <v>7613</v>
      </c>
      <c r="N240" s="151" t="s">
        <v>7614</v>
      </c>
    </row>
    <row r="241" spans="2:14" ht="35.1" customHeight="1" x14ac:dyDescent="0.2">
      <c r="B241" s="1" t="s">
        <v>7615</v>
      </c>
      <c r="M241" s="150" t="s">
        <v>6802</v>
      </c>
      <c r="N241" s="151" t="s">
        <v>7616</v>
      </c>
    </row>
    <row r="242" spans="2:14" ht="35.1" customHeight="1" x14ac:dyDescent="0.2">
      <c r="B242" s="1" t="s">
        <v>7263</v>
      </c>
      <c r="M242" s="150" t="s">
        <v>6814</v>
      </c>
      <c r="N242" s="151" t="s">
        <v>7617</v>
      </c>
    </row>
    <row r="243" spans="2:14" ht="35.1" customHeight="1" x14ac:dyDescent="0.2">
      <c r="B243" s="1" t="s">
        <v>7618</v>
      </c>
      <c r="M243" s="150" t="s">
        <v>3028</v>
      </c>
      <c r="N243" s="151" t="s">
        <v>7619</v>
      </c>
    </row>
    <row r="244" spans="2:14" ht="35.1" customHeight="1" x14ac:dyDescent="0.2">
      <c r="B244" s="4" t="s">
        <v>7207</v>
      </c>
      <c r="M244" s="150" t="s">
        <v>6089</v>
      </c>
      <c r="N244" s="151" t="s">
        <v>7620</v>
      </c>
    </row>
    <row r="245" spans="2:14" ht="35.1" customHeight="1" x14ac:dyDescent="0.2">
      <c r="B245" s="1" t="s">
        <v>7621</v>
      </c>
      <c r="M245" s="150" t="s">
        <v>2096</v>
      </c>
      <c r="N245" s="151" t="s">
        <v>7622</v>
      </c>
    </row>
    <row r="246" spans="2:14" ht="35.1" customHeight="1" x14ac:dyDescent="0.2">
      <c r="B246" s="1" t="s">
        <v>7623</v>
      </c>
      <c r="M246" s="150" t="s">
        <v>7624</v>
      </c>
      <c r="N246" s="151" t="s">
        <v>7625</v>
      </c>
    </row>
    <row r="247" spans="2:14" ht="35.1" customHeight="1" x14ac:dyDescent="0.2">
      <c r="B247" s="1" t="s">
        <v>7626</v>
      </c>
      <c r="M247" s="150" t="s">
        <v>4356</v>
      </c>
      <c r="N247" s="151" t="s">
        <v>7627</v>
      </c>
    </row>
    <row r="248" spans="2:14" ht="35.1" customHeight="1" x14ac:dyDescent="0.2">
      <c r="B248" s="1" t="s">
        <v>7292</v>
      </c>
      <c r="M248" s="150" t="s">
        <v>6763</v>
      </c>
      <c r="N248" s="151" t="s">
        <v>7628</v>
      </c>
    </row>
    <row r="249" spans="2:14" ht="35.1" customHeight="1" x14ac:dyDescent="0.2">
      <c r="B249" s="1" t="s">
        <v>7629</v>
      </c>
      <c r="M249" s="150" t="s">
        <v>1869</v>
      </c>
      <c r="N249" s="151" t="s">
        <v>7630</v>
      </c>
    </row>
    <row r="250" spans="2:14" ht="35.1" customHeight="1" x14ac:dyDescent="0.2">
      <c r="B250" s="1" t="s">
        <v>7096</v>
      </c>
      <c r="M250" s="150" t="s">
        <v>971</v>
      </c>
      <c r="N250" s="151" t="s">
        <v>7631</v>
      </c>
    </row>
    <row r="251" spans="2:14" ht="35.1" customHeight="1" x14ac:dyDescent="0.2">
      <c r="B251" s="1" t="s">
        <v>7632</v>
      </c>
      <c r="M251" s="150" t="s">
        <v>2817</v>
      </c>
      <c r="N251" s="151" t="s">
        <v>7633</v>
      </c>
    </row>
    <row r="252" spans="2:14" ht="35.1" customHeight="1" x14ac:dyDescent="0.2">
      <c r="B252" s="4" t="s">
        <v>7210</v>
      </c>
      <c r="M252" s="150" t="s">
        <v>5031</v>
      </c>
      <c r="N252" s="151" t="s">
        <v>7634</v>
      </c>
    </row>
    <row r="253" spans="2:14" ht="35.1" customHeight="1" x14ac:dyDescent="0.2">
      <c r="B253" s="1" t="s">
        <v>7635</v>
      </c>
      <c r="M253" s="150" t="s">
        <v>7636</v>
      </c>
      <c r="N253" s="151" t="s">
        <v>7637</v>
      </c>
    </row>
    <row r="254" spans="2:14" ht="35.1" customHeight="1" x14ac:dyDescent="0.2">
      <c r="B254" s="1" t="s">
        <v>7638</v>
      </c>
      <c r="M254" s="150" t="s">
        <v>3131</v>
      </c>
      <c r="N254" s="151" t="s">
        <v>7639</v>
      </c>
    </row>
    <row r="255" spans="2:14" ht="35.1" customHeight="1" x14ac:dyDescent="0.2">
      <c r="B255" s="1" t="s">
        <v>7640</v>
      </c>
      <c r="M255" s="150" t="s">
        <v>6420</v>
      </c>
      <c r="N255" s="151" t="s">
        <v>7641</v>
      </c>
    </row>
    <row r="256" spans="2:14" ht="35.1" customHeight="1" x14ac:dyDescent="0.2">
      <c r="B256" s="1" t="s">
        <v>7381</v>
      </c>
      <c r="M256" s="150" t="s">
        <v>7642</v>
      </c>
      <c r="N256" s="151" t="s">
        <v>7643</v>
      </c>
    </row>
    <row r="257" spans="2:14" ht="35.1" customHeight="1" x14ac:dyDescent="0.2">
      <c r="B257" s="1" t="s">
        <v>7644</v>
      </c>
      <c r="M257" s="150" t="s">
        <v>921</v>
      </c>
      <c r="N257" s="151" t="s">
        <v>7645</v>
      </c>
    </row>
    <row r="258" spans="2:14" ht="35.1" customHeight="1" x14ac:dyDescent="0.2">
      <c r="B258" s="4" t="s">
        <v>7214</v>
      </c>
      <c r="M258" s="150" t="s">
        <v>7646</v>
      </c>
      <c r="N258" s="151" t="s">
        <v>7647</v>
      </c>
    </row>
    <row r="259" spans="2:14" ht="35.1" customHeight="1" x14ac:dyDescent="0.2">
      <c r="B259" s="1" t="s">
        <v>7648</v>
      </c>
      <c r="M259" s="150" t="s">
        <v>7649</v>
      </c>
      <c r="N259" s="151" t="s">
        <v>7650</v>
      </c>
    </row>
    <row r="260" spans="2:14" ht="35.1" customHeight="1" x14ac:dyDescent="0.2">
      <c r="B260" s="1" t="s">
        <v>7651</v>
      </c>
      <c r="M260" s="150" t="s">
        <v>6571</v>
      </c>
      <c r="N260" s="151" t="s">
        <v>7652</v>
      </c>
    </row>
    <row r="261" spans="2:14" ht="35.1" customHeight="1" x14ac:dyDescent="0.2">
      <c r="B261" s="1" t="s">
        <v>7653</v>
      </c>
      <c r="M261" s="150" t="s">
        <v>2741</v>
      </c>
      <c r="N261" s="151" t="s">
        <v>7654</v>
      </c>
    </row>
    <row r="262" spans="2:14" ht="35.1" customHeight="1" x14ac:dyDescent="0.2">
      <c r="B262" s="1" t="s">
        <v>7655</v>
      </c>
      <c r="M262" s="150" t="s">
        <v>2082</v>
      </c>
      <c r="N262" s="151" t="s">
        <v>7656</v>
      </c>
    </row>
    <row r="263" spans="2:14" ht="35.1" customHeight="1" x14ac:dyDescent="0.2">
      <c r="B263" s="1" t="s">
        <v>7657</v>
      </c>
      <c r="M263" s="150" t="s">
        <v>2120</v>
      </c>
      <c r="N263" s="151" t="s">
        <v>7658</v>
      </c>
    </row>
    <row r="264" spans="2:14" ht="35.1" customHeight="1" x14ac:dyDescent="0.2">
      <c r="B264" s="1" t="s">
        <v>7659</v>
      </c>
      <c r="M264" s="150" t="s">
        <v>5169</v>
      </c>
      <c r="N264" s="151" t="s">
        <v>7660</v>
      </c>
    </row>
    <row r="265" spans="2:14" ht="35.1" customHeight="1" x14ac:dyDescent="0.2">
      <c r="B265" s="1" t="s">
        <v>7661</v>
      </c>
      <c r="M265" s="150" t="s">
        <v>6879</v>
      </c>
      <c r="N265" s="151" t="s">
        <v>7662</v>
      </c>
    </row>
    <row r="266" spans="2:14" ht="35.1" customHeight="1" x14ac:dyDescent="0.2">
      <c r="B266" s="4" t="s">
        <v>7218</v>
      </c>
      <c r="M266" s="150" t="s">
        <v>2671</v>
      </c>
      <c r="N266" s="151" t="s">
        <v>7663</v>
      </c>
    </row>
    <row r="267" spans="2:14" ht="35.1" customHeight="1" x14ac:dyDescent="0.2">
      <c r="B267" s="1" t="s">
        <v>7664</v>
      </c>
      <c r="M267" s="150" t="s">
        <v>5115</v>
      </c>
      <c r="N267" s="151" t="s">
        <v>7665</v>
      </c>
    </row>
    <row r="268" spans="2:14" ht="35.1" customHeight="1" x14ac:dyDescent="0.2">
      <c r="B268" s="1" t="s">
        <v>7666</v>
      </c>
      <c r="M268" s="150" t="s">
        <v>2383</v>
      </c>
      <c r="N268" s="151" t="s">
        <v>7667</v>
      </c>
    </row>
    <row r="269" spans="2:14" ht="35.1" customHeight="1" x14ac:dyDescent="0.2">
      <c r="B269" s="1" t="s">
        <v>7668</v>
      </c>
      <c r="M269" s="150" t="s">
        <v>5124</v>
      </c>
      <c r="N269" s="151" t="s">
        <v>7669</v>
      </c>
    </row>
    <row r="270" spans="2:14" ht="35.1" customHeight="1" x14ac:dyDescent="0.2">
      <c r="B270" s="1" t="s">
        <v>7670</v>
      </c>
      <c r="M270" s="150" t="s">
        <v>3083</v>
      </c>
      <c r="N270" s="151" t="s">
        <v>7671</v>
      </c>
    </row>
    <row r="271" spans="2:14" ht="35.1" customHeight="1" x14ac:dyDescent="0.2">
      <c r="B271" s="4" t="s">
        <v>7223</v>
      </c>
      <c r="M271" s="150" t="s">
        <v>4389</v>
      </c>
      <c r="N271" s="151" t="s">
        <v>7672</v>
      </c>
    </row>
    <row r="272" spans="2:14" ht="35.1" customHeight="1" x14ac:dyDescent="0.2">
      <c r="B272" s="1" t="s">
        <v>7136</v>
      </c>
      <c r="M272" s="150" t="s">
        <v>6924</v>
      </c>
      <c r="N272" s="151" t="s">
        <v>7673</v>
      </c>
    </row>
    <row r="273" spans="2:14" ht="35.1" customHeight="1" x14ac:dyDescent="0.2">
      <c r="B273" s="1" t="s">
        <v>7597</v>
      </c>
      <c r="M273" s="150" t="s">
        <v>7674</v>
      </c>
      <c r="N273" s="151" t="s">
        <v>7675</v>
      </c>
    </row>
    <row r="274" spans="2:14" ht="35.1" customHeight="1" x14ac:dyDescent="0.2">
      <c r="B274" s="1" t="s">
        <v>7676</v>
      </c>
      <c r="M274" s="150" t="s">
        <v>6485</v>
      </c>
      <c r="N274" s="151" t="s">
        <v>7677</v>
      </c>
    </row>
    <row r="275" spans="2:14" ht="35.1" customHeight="1" x14ac:dyDescent="0.2">
      <c r="B275" s="1"/>
      <c r="M275" s="150" t="s">
        <v>7678</v>
      </c>
      <c r="N275" s="151" t="s">
        <v>7679</v>
      </c>
    </row>
    <row r="276" spans="2:14" ht="35.1" customHeight="1" x14ac:dyDescent="0.2">
      <c r="B276" s="3" t="s">
        <v>7073</v>
      </c>
      <c r="M276" s="150" t="s">
        <v>6904</v>
      </c>
      <c r="N276" s="151" t="s">
        <v>7680</v>
      </c>
    </row>
    <row r="277" spans="2:14" ht="35.1" customHeight="1" x14ac:dyDescent="0.2">
      <c r="B277" s="4" t="s">
        <v>7073</v>
      </c>
      <c r="M277" s="150" t="s">
        <v>3472</v>
      </c>
      <c r="N277" s="151" t="s">
        <v>7681</v>
      </c>
    </row>
    <row r="278" spans="2:14" ht="35.1" customHeight="1" x14ac:dyDescent="0.2">
      <c r="B278" s="1" t="s">
        <v>7682</v>
      </c>
      <c r="M278" s="150" t="s">
        <v>7683</v>
      </c>
      <c r="N278" s="151" t="s">
        <v>7684</v>
      </c>
    </row>
    <row r="279" spans="2:14" ht="35.1" customHeight="1" x14ac:dyDescent="0.2">
      <c r="B279" s="1" t="s">
        <v>7685</v>
      </c>
      <c r="M279" s="150" t="s">
        <v>2015</v>
      </c>
      <c r="N279" s="151" t="s">
        <v>7686</v>
      </c>
    </row>
    <row r="280" spans="2:14" ht="35.1" customHeight="1" x14ac:dyDescent="0.2">
      <c r="B280" s="1" t="s">
        <v>7687</v>
      </c>
      <c r="M280" s="150" t="s">
        <v>7688</v>
      </c>
      <c r="N280" s="151" t="s">
        <v>7689</v>
      </c>
    </row>
    <row r="281" spans="2:14" ht="35.1" customHeight="1" x14ac:dyDescent="0.2">
      <c r="B281" s="1" t="s">
        <v>7690</v>
      </c>
      <c r="M281" s="150" t="s">
        <v>7691</v>
      </c>
      <c r="N281" s="151" t="s">
        <v>7692</v>
      </c>
    </row>
    <row r="282" spans="2:14" ht="35.1" customHeight="1" x14ac:dyDescent="0.2">
      <c r="B282" s="1" t="s">
        <v>7693</v>
      </c>
      <c r="M282" s="150" t="s">
        <v>4145</v>
      </c>
      <c r="N282" s="151" t="s">
        <v>7694</v>
      </c>
    </row>
    <row r="283" spans="2:14" ht="35.1" customHeight="1" x14ac:dyDescent="0.2">
      <c r="B283" s="1" t="s">
        <v>7695</v>
      </c>
      <c r="M283" s="150" t="s">
        <v>7696</v>
      </c>
      <c r="N283" s="151" t="s">
        <v>7697</v>
      </c>
    </row>
    <row r="284" spans="2:14" ht="35.1" customHeight="1" x14ac:dyDescent="0.2">
      <c r="B284" s="1" t="s">
        <v>7698</v>
      </c>
      <c r="M284" s="150" t="s">
        <v>7699</v>
      </c>
      <c r="N284" s="151" t="s">
        <v>7700</v>
      </c>
    </row>
    <row r="285" spans="2:14" ht="35.1" customHeight="1" x14ac:dyDescent="0.2">
      <c r="B285" s="1" t="s">
        <v>7701</v>
      </c>
      <c r="M285" s="150" t="s">
        <v>2494</v>
      </c>
      <c r="N285" s="151" t="s">
        <v>7702</v>
      </c>
    </row>
    <row r="286" spans="2:14" ht="35.1" customHeight="1" x14ac:dyDescent="0.2">
      <c r="B286" s="1" t="s">
        <v>7703</v>
      </c>
      <c r="M286" s="150" t="s">
        <v>3147</v>
      </c>
      <c r="N286" s="151" t="s">
        <v>7704</v>
      </c>
    </row>
    <row r="287" spans="2:14" ht="35.1" customHeight="1" x14ac:dyDescent="0.2">
      <c r="B287" s="1" t="s">
        <v>7705</v>
      </c>
      <c r="M287" s="150" t="s">
        <v>5780</v>
      </c>
      <c r="N287" s="151" t="s">
        <v>7706</v>
      </c>
    </row>
    <row r="288" spans="2:14" ht="35.1" customHeight="1" x14ac:dyDescent="0.2">
      <c r="B288" s="1" t="s">
        <v>7707</v>
      </c>
      <c r="M288" s="150" t="s">
        <v>2937</v>
      </c>
      <c r="N288" s="151" t="s">
        <v>7708</v>
      </c>
    </row>
    <row r="289" spans="2:14" ht="35.1" customHeight="1" x14ac:dyDescent="0.2">
      <c r="B289" s="4" t="s">
        <v>7234</v>
      </c>
      <c r="M289" s="150" t="s">
        <v>5607</v>
      </c>
      <c r="N289" s="151" t="s">
        <v>7709</v>
      </c>
    </row>
    <row r="290" spans="2:14" ht="35.1" customHeight="1" x14ac:dyDescent="0.2">
      <c r="B290" s="1" t="s">
        <v>7710</v>
      </c>
      <c r="M290" s="150" t="s">
        <v>1996</v>
      </c>
      <c r="N290" s="151" t="s">
        <v>7711</v>
      </c>
    </row>
    <row r="291" spans="2:14" ht="35.1" customHeight="1" x14ac:dyDescent="0.2">
      <c r="B291" s="1" t="s">
        <v>7198</v>
      </c>
      <c r="M291" s="150" t="s">
        <v>6820</v>
      </c>
      <c r="N291" s="151" t="s">
        <v>7712</v>
      </c>
    </row>
    <row r="292" spans="2:14" ht="35.1" customHeight="1" x14ac:dyDescent="0.2">
      <c r="B292" s="1" t="s">
        <v>7713</v>
      </c>
      <c r="M292" s="150" t="s">
        <v>7714</v>
      </c>
      <c r="N292" s="151" t="s">
        <v>7715</v>
      </c>
    </row>
    <row r="293" spans="2:14" ht="35.1" customHeight="1" x14ac:dyDescent="0.2">
      <c r="B293" s="1" t="s">
        <v>7716</v>
      </c>
      <c r="M293" s="150" t="s">
        <v>7717</v>
      </c>
      <c r="N293" s="151" t="s">
        <v>7718</v>
      </c>
    </row>
    <row r="294" spans="2:14" ht="35.1" customHeight="1" x14ac:dyDescent="0.2">
      <c r="B294" s="4" t="s">
        <v>7238</v>
      </c>
      <c r="M294" s="150" t="s">
        <v>7719</v>
      </c>
      <c r="N294" s="151" t="s">
        <v>7720</v>
      </c>
    </row>
    <row r="295" spans="2:14" ht="35.1" customHeight="1" x14ac:dyDescent="0.2">
      <c r="B295" s="1" t="s">
        <v>7721</v>
      </c>
      <c r="M295" s="150" t="s">
        <v>5150</v>
      </c>
      <c r="N295" s="151" t="s">
        <v>7722</v>
      </c>
    </row>
    <row r="296" spans="2:14" ht="35.1" customHeight="1" x14ac:dyDescent="0.2">
      <c r="B296" s="1" t="s">
        <v>7723</v>
      </c>
      <c r="M296" s="150" t="s">
        <v>7724</v>
      </c>
      <c r="N296" s="151" t="s">
        <v>7725</v>
      </c>
    </row>
    <row r="297" spans="2:14" ht="35.1" customHeight="1" x14ac:dyDescent="0.2">
      <c r="B297" s="1" t="s">
        <v>7359</v>
      </c>
      <c r="M297" s="150" t="s">
        <v>4407</v>
      </c>
      <c r="N297" s="151" t="s">
        <v>7726</v>
      </c>
    </row>
    <row r="298" spans="2:14" ht="35.1" customHeight="1" x14ac:dyDescent="0.2">
      <c r="B298" s="1" t="s">
        <v>7136</v>
      </c>
      <c r="M298" s="150" t="s">
        <v>2350</v>
      </c>
      <c r="N298" s="151" t="s">
        <v>7727</v>
      </c>
    </row>
    <row r="299" spans="2:14" ht="35.1" customHeight="1" x14ac:dyDescent="0.2">
      <c r="B299" s="1" t="s">
        <v>7334</v>
      </c>
      <c r="M299" s="150" t="s">
        <v>6743</v>
      </c>
      <c r="N299" s="151" t="s">
        <v>7728</v>
      </c>
    </row>
    <row r="300" spans="2:14" ht="35.1" customHeight="1" x14ac:dyDescent="0.2">
      <c r="B300" s="1" t="s">
        <v>7703</v>
      </c>
      <c r="M300" s="150" t="s">
        <v>4359</v>
      </c>
      <c r="N300" s="151" t="s">
        <v>7729</v>
      </c>
    </row>
    <row r="301" spans="2:14" ht="35.1" customHeight="1" x14ac:dyDescent="0.2">
      <c r="B301" s="1" t="s">
        <v>7478</v>
      </c>
      <c r="M301" s="150" t="s">
        <v>6772</v>
      </c>
      <c r="N301" s="151" t="s">
        <v>7730</v>
      </c>
    </row>
    <row r="302" spans="2:14" ht="35.1" customHeight="1" x14ac:dyDescent="0.2">
      <c r="B302" s="1" t="s">
        <v>7731</v>
      </c>
      <c r="M302" s="150" t="s">
        <v>6396</v>
      </c>
      <c r="N302" s="151" t="s">
        <v>7732</v>
      </c>
    </row>
    <row r="303" spans="2:14" ht="35.1" customHeight="1" x14ac:dyDescent="0.2">
      <c r="B303" s="4" t="s">
        <v>7242</v>
      </c>
      <c r="M303" s="150" t="s">
        <v>7733</v>
      </c>
      <c r="N303" s="151" t="s">
        <v>7734</v>
      </c>
    </row>
    <row r="304" spans="2:14" ht="35.1" customHeight="1" x14ac:dyDescent="0.2">
      <c r="B304" s="1" t="s">
        <v>7735</v>
      </c>
      <c r="M304" s="150" t="s">
        <v>7736</v>
      </c>
      <c r="N304" s="151" t="s">
        <v>7737</v>
      </c>
    </row>
    <row r="305" spans="2:14" ht="35.1" customHeight="1" x14ac:dyDescent="0.2">
      <c r="B305" s="1" t="s">
        <v>7738</v>
      </c>
      <c r="M305" s="150" t="s">
        <v>3102</v>
      </c>
      <c r="N305" s="151" t="s">
        <v>7739</v>
      </c>
    </row>
    <row r="306" spans="2:14" ht="35.1" customHeight="1" x14ac:dyDescent="0.2">
      <c r="B306" s="1" t="s">
        <v>7425</v>
      </c>
      <c r="M306" s="150" t="s">
        <v>7740</v>
      </c>
      <c r="N306" s="151" t="s">
        <v>7741</v>
      </c>
    </row>
    <row r="307" spans="2:14" ht="35.1" customHeight="1" x14ac:dyDescent="0.2">
      <c r="B307" s="4" t="s">
        <v>7245</v>
      </c>
      <c r="M307" s="150" t="s">
        <v>7742</v>
      </c>
      <c r="N307" s="151" t="s">
        <v>7743</v>
      </c>
    </row>
    <row r="308" spans="2:14" ht="35.1" customHeight="1" x14ac:dyDescent="0.2">
      <c r="B308" s="1" t="s">
        <v>7744</v>
      </c>
      <c r="M308" s="150" t="s">
        <v>7745</v>
      </c>
      <c r="N308" s="151" t="s">
        <v>7746</v>
      </c>
    </row>
    <row r="309" spans="2:14" ht="35.1" customHeight="1" x14ac:dyDescent="0.2">
      <c r="B309" s="1" t="s">
        <v>7747</v>
      </c>
      <c r="M309" s="150"/>
      <c r="N309" s="151"/>
    </row>
    <row r="310" spans="2:14" ht="35.1" customHeight="1" x14ac:dyDescent="0.2">
      <c r="B310" s="1" t="s">
        <v>7748</v>
      </c>
      <c r="M310" s="150"/>
      <c r="N310" s="151"/>
    </row>
    <row r="311" spans="2:14" ht="35.1" customHeight="1" x14ac:dyDescent="0.2">
      <c r="B311" s="1" t="s">
        <v>7432</v>
      </c>
      <c r="M311" s="150"/>
      <c r="N311" s="151"/>
    </row>
    <row r="312" spans="2:14" ht="35.1" customHeight="1" x14ac:dyDescent="0.2">
      <c r="B312" s="1" t="s">
        <v>7749</v>
      </c>
      <c r="M312" s="150"/>
      <c r="N312" s="151"/>
    </row>
    <row r="313" spans="2:14" ht="35.1" customHeight="1" x14ac:dyDescent="0.25">
      <c r="B313" s="1" t="s">
        <v>7750</v>
      </c>
      <c r="M313" s="107" t="s">
        <v>7751</v>
      </c>
      <c r="N313" s="167" t="s">
        <v>57</v>
      </c>
    </row>
    <row r="314" spans="2:14" ht="35.1" customHeight="1" x14ac:dyDescent="0.2">
      <c r="B314" s="1" t="s">
        <v>7752</v>
      </c>
      <c r="M314" s="99"/>
      <c r="N314" s="103"/>
    </row>
    <row r="315" spans="2:14" ht="35.1" customHeight="1" x14ac:dyDescent="0.2">
      <c r="B315" s="1" t="s">
        <v>7753</v>
      </c>
      <c r="M315" s="100"/>
      <c r="N315" s="104"/>
    </row>
    <row r="316" spans="2:14" ht="35.1" customHeight="1" x14ac:dyDescent="0.2">
      <c r="B316" s="1" t="s">
        <v>7754</v>
      </c>
      <c r="M316" s="99"/>
      <c r="N316" s="103"/>
    </row>
    <row r="317" spans="2:14" ht="35.1" customHeight="1" x14ac:dyDescent="0.2">
      <c r="B317" s="1" t="s">
        <v>7755</v>
      </c>
      <c r="M317" s="100"/>
      <c r="N317" s="104"/>
    </row>
    <row r="318" spans="2:14" ht="35.1" customHeight="1" x14ac:dyDescent="0.2">
      <c r="B318" s="4" t="s">
        <v>7247</v>
      </c>
      <c r="M318" s="99"/>
      <c r="N318" s="103"/>
    </row>
    <row r="319" spans="2:14" ht="35.1" customHeight="1" x14ac:dyDescent="0.25">
      <c r="B319" s="1" t="s">
        <v>7756</v>
      </c>
      <c r="M319" s="102"/>
      <c r="N319" s="106"/>
    </row>
    <row r="320" spans="2:14" ht="35.1" customHeight="1" x14ac:dyDescent="0.2">
      <c r="B320" s="1" t="s">
        <v>7757</v>
      </c>
      <c r="M320" s="99"/>
      <c r="N320" s="103"/>
    </row>
    <row r="321" spans="2:16" ht="35.1" customHeight="1" x14ac:dyDescent="0.2">
      <c r="B321" s="1" t="s">
        <v>7758</v>
      </c>
      <c r="M321" s="100"/>
      <c r="N321" s="104"/>
    </row>
    <row r="322" spans="2:16" ht="35.1" customHeight="1" x14ac:dyDescent="0.2">
      <c r="B322" s="4" t="s">
        <v>7250</v>
      </c>
      <c r="M322" s="99"/>
      <c r="N322" s="103"/>
    </row>
    <row r="323" spans="2:16" ht="35.1" customHeight="1" x14ac:dyDescent="0.2">
      <c r="B323" s="1" t="s">
        <v>7136</v>
      </c>
      <c r="M323" s="100"/>
      <c r="N323" s="104"/>
    </row>
    <row r="324" spans="2:16" ht="35.1" customHeight="1" x14ac:dyDescent="0.2">
      <c r="B324" s="1" t="s">
        <v>7759</v>
      </c>
      <c r="M324" s="99"/>
      <c r="N324" s="103"/>
    </row>
    <row r="325" spans="2:16" ht="35.1" customHeight="1" x14ac:dyDescent="0.25">
      <c r="B325" s="1" t="s">
        <v>7760</v>
      </c>
      <c r="M325" s="101"/>
      <c r="N325" s="105"/>
    </row>
    <row r="326" spans="2:16" ht="35.1" customHeight="1" x14ac:dyDescent="0.2">
      <c r="B326" s="1" t="s">
        <v>7761</v>
      </c>
      <c r="M326" s="99"/>
      <c r="N326" s="103"/>
    </row>
    <row r="327" spans="2:16" ht="35.1" customHeight="1" x14ac:dyDescent="0.2">
      <c r="B327" s="1" t="s">
        <v>7754</v>
      </c>
      <c r="M327" s="100"/>
      <c r="N327" s="104"/>
    </row>
    <row r="328" spans="2:16" ht="35.1" customHeight="1" x14ac:dyDescent="0.2">
      <c r="B328" s="4" t="s">
        <v>7254</v>
      </c>
      <c r="M328" s="99"/>
      <c r="N328" s="103"/>
    </row>
    <row r="329" spans="2:16" ht="35.1" customHeight="1" x14ac:dyDescent="0.2">
      <c r="B329" s="1" t="s">
        <v>7762</v>
      </c>
      <c r="M329" s="100"/>
      <c r="N329" s="104"/>
    </row>
    <row r="330" spans="2:16" ht="35.1" customHeight="1" x14ac:dyDescent="0.2">
      <c r="B330" s="1" t="s">
        <v>7339</v>
      </c>
      <c r="M330" s="99"/>
      <c r="N330" s="103"/>
    </row>
    <row r="331" spans="2:16" ht="35.1" customHeight="1" x14ac:dyDescent="0.25">
      <c r="B331" s="1" t="s">
        <v>7763</v>
      </c>
      <c r="M331" s="107"/>
      <c r="N331" s="108"/>
    </row>
    <row r="332" spans="2:16" ht="35.1" customHeight="1" x14ac:dyDescent="0.2">
      <c r="B332" s="1" t="s">
        <v>7764</v>
      </c>
    </row>
    <row r="333" spans="2:16" ht="35.1" customHeight="1" x14ac:dyDescent="0.2">
      <c r="B333" s="1"/>
      <c r="M333" s="38" t="s">
        <v>7765</v>
      </c>
      <c r="N333" s="73"/>
    </row>
    <row r="334" spans="2:16" ht="35.1" customHeight="1" x14ac:dyDescent="0.2">
      <c r="B334" s="3" t="s">
        <v>7079</v>
      </c>
      <c r="M334" s="497" t="s">
        <v>7766</v>
      </c>
      <c r="N334" s="497"/>
      <c r="O334" s="497"/>
      <c r="P334" s="497"/>
    </row>
    <row r="335" spans="2:16" ht="35.1" customHeight="1" x14ac:dyDescent="0.2">
      <c r="B335" s="4" t="s">
        <v>7079</v>
      </c>
      <c r="M335" s="6" t="s">
        <v>7767</v>
      </c>
      <c r="N335" s="77" t="s">
        <v>7768</v>
      </c>
      <c r="O335" s="78" t="s">
        <v>7765</v>
      </c>
      <c r="P335" t="s">
        <v>7437</v>
      </c>
    </row>
    <row r="336" spans="2:16" ht="35.1" customHeight="1" x14ac:dyDescent="0.2">
      <c r="B336" s="1" t="s">
        <v>7261</v>
      </c>
      <c r="M336" s="74" t="s">
        <v>95</v>
      </c>
      <c r="N336" s="76">
        <v>373092.3</v>
      </c>
      <c r="O336" s="75" t="s">
        <v>7769</v>
      </c>
    </row>
    <row r="337" spans="2:15" ht="35.1" customHeight="1" x14ac:dyDescent="0.2">
      <c r="B337" s="1" t="s">
        <v>7389</v>
      </c>
      <c r="M337" s="74" t="s">
        <v>7770</v>
      </c>
      <c r="N337" s="76">
        <v>405710.7</v>
      </c>
      <c r="O337" s="75" t="s">
        <v>7771</v>
      </c>
    </row>
    <row r="338" spans="2:15" ht="35.1" customHeight="1" x14ac:dyDescent="0.2">
      <c r="B338" s="1" t="s">
        <v>7295</v>
      </c>
      <c r="M338" s="74" t="s">
        <v>7772</v>
      </c>
      <c r="N338" s="76">
        <v>419755.8</v>
      </c>
      <c r="O338" s="67" t="s">
        <v>7773</v>
      </c>
    </row>
    <row r="339" spans="2:15" ht="35.1" customHeight="1" x14ac:dyDescent="0.2">
      <c r="B339" s="1"/>
      <c r="M339" s="74" t="s">
        <v>7774</v>
      </c>
      <c r="N339" s="76">
        <v>487335</v>
      </c>
      <c r="O339" s="67" t="s">
        <v>7775</v>
      </c>
    </row>
    <row r="340" spans="2:15" ht="35.1" customHeight="1" x14ac:dyDescent="0.2">
      <c r="B340" s="1" t="s">
        <v>7776</v>
      </c>
      <c r="M340" s="74" t="s">
        <v>7777</v>
      </c>
      <c r="N340" s="76">
        <v>496838.17</v>
      </c>
      <c r="O340" s="75" t="s">
        <v>7778</v>
      </c>
    </row>
    <row r="341" spans="2:15" ht="35.1" customHeight="1" x14ac:dyDescent="0.2">
      <c r="B341" s="1" t="s">
        <v>7779</v>
      </c>
      <c r="M341" s="74" t="s">
        <v>7780</v>
      </c>
      <c r="N341" s="76">
        <v>542096.57999999996</v>
      </c>
      <c r="O341" s="75" t="s">
        <v>7781</v>
      </c>
    </row>
    <row r="342" spans="2:15" ht="35.1" customHeight="1" x14ac:dyDescent="0.2">
      <c r="B342" s="4" t="s">
        <v>7267</v>
      </c>
      <c r="M342" s="74" t="s">
        <v>7782</v>
      </c>
      <c r="N342" s="76">
        <v>585484.57999999996</v>
      </c>
      <c r="O342" s="75" t="s">
        <v>7783</v>
      </c>
    </row>
    <row r="343" spans="2:15" ht="35.1" customHeight="1" x14ac:dyDescent="0.2">
      <c r="B343" s="1" t="s">
        <v>7784</v>
      </c>
      <c r="M343" s="74" t="s">
        <v>7785</v>
      </c>
      <c r="N343" s="76">
        <v>664078.06999999995</v>
      </c>
      <c r="O343" s="75" t="s">
        <v>7786</v>
      </c>
    </row>
    <row r="344" spans="2:15" ht="35.1" customHeight="1" x14ac:dyDescent="0.2">
      <c r="B344" s="1" t="s">
        <v>7381</v>
      </c>
      <c r="M344" s="74" t="s">
        <v>94</v>
      </c>
      <c r="N344" s="76">
        <v>796921</v>
      </c>
      <c r="O344" s="75" t="s">
        <v>7787</v>
      </c>
    </row>
    <row r="345" spans="2:15" ht="35.1" customHeight="1" x14ac:dyDescent="0.2">
      <c r="B345" s="1" t="s">
        <v>7398</v>
      </c>
      <c r="N345" s="7"/>
    </row>
    <row r="346" spans="2:15" ht="35.1" customHeight="1" x14ac:dyDescent="0.2">
      <c r="B346" s="1" t="s">
        <v>7514</v>
      </c>
      <c r="M346" s="78" t="s">
        <v>7788</v>
      </c>
      <c r="N346" s="78" t="s">
        <v>7789</v>
      </c>
    </row>
    <row r="347" spans="2:15" ht="35.1" customHeight="1" x14ac:dyDescent="0.2">
      <c r="B347" s="1" t="s">
        <v>7790</v>
      </c>
      <c r="M347" s="109" t="s">
        <v>7791</v>
      </c>
      <c r="N347" s="114">
        <f>+N352</f>
        <v>1.1499999999999999</v>
      </c>
    </row>
    <row r="348" spans="2:15" ht="35.1" customHeight="1" x14ac:dyDescent="0.2">
      <c r="B348" s="1" t="s">
        <v>7792</v>
      </c>
      <c r="M348" s="109" t="s">
        <v>7793</v>
      </c>
      <c r="N348" s="114">
        <f>+N349</f>
        <v>1.1000000000000001</v>
      </c>
    </row>
    <row r="349" spans="2:15" ht="35.1" customHeight="1" x14ac:dyDescent="0.2">
      <c r="B349" s="4" t="s">
        <v>7269</v>
      </c>
      <c r="M349" s="109" t="s">
        <v>7794</v>
      </c>
      <c r="N349" s="114">
        <f>+N353</f>
        <v>1.1000000000000001</v>
      </c>
    </row>
    <row r="350" spans="2:15" ht="35.1" customHeight="1" x14ac:dyDescent="0.2">
      <c r="B350" s="1" t="s">
        <v>7795</v>
      </c>
      <c r="M350" s="109" t="s">
        <v>102</v>
      </c>
      <c r="N350" s="114">
        <v>1</v>
      </c>
    </row>
    <row r="351" spans="2:15" ht="35.1" customHeight="1" x14ac:dyDescent="0.2">
      <c r="B351" s="1" t="s">
        <v>7370</v>
      </c>
    </row>
    <row r="352" spans="2:15" ht="35.1" customHeight="1" x14ac:dyDescent="0.2">
      <c r="B352" s="1" t="s">
        <v>7147</v>
      </c>
      <c r="M352" s="74" t="s">
        <v>7796</v>
      </c>
      <c r="N352" s="114">
        <v>1.1499999999999999</v>
      </c>
    </row>
    <row r="353" spans="2:14" ht="35.1" customHeight="1" x14ac:dyDescent="0.2">
      <c r="B353" s="1" t="s">
        <v>7797</v>
      </c>
      <c r="M353" s="74" t="s">
        <v>7798</v>
      </c>
      <c r="N353" s="114">
        <v>1.1000000000000001</v>
      </c>
    </row>
    <row r="354" spans="2:14" ht="35.1" customHeight="1" x14ac:dyDescent="0.2">
      <c r="B354" s="1" t="s">
        <v>7799</v>
      </c>
      <c r="M354" s="74" t="s">
        <v>107</v>
      </c>
      <c r="N354" s="114">
        <v>1</v>
      </c>
    </row>
    <row r="355" spans="2:14" ht="35.1" customHeight="1" x14ac:dyDescent="0.2">
      <c r="B355" s="1" t="s">
        <v>7754</v>
      </c>
      <c r="N355" s="115">
        <f>SUM(N352:N354)</f>
        <v>3.25</v>
      </c>
    </row>
    <row r="356" spans="2:14" ht="35.1" customHeight="1" x14ac:dyDescent="0.2">
      <c r="B356" s="1" t="s">
        <v>7800</v>
      </c>
      <c r="N356" s="73"/>
    </row>
    <row r="357" spans="2:14" ht="35.1" customHeight="1" x14ac:dyDescent="0.2">
      <c r="B357" s="1" t="s">
        <v>7801</v>
      </c>
      <c r="N357" s="73"/>
    </row>
    <row r="358" spans="2:14" ht="35.1" customHeight="1" x14ac:dyDescent="0.2">
      <c r="B358" s="4" t="s">
        <v>7273</v>
      </c>
      <c r="N358" s="73"/>
    </row>
    <row r="359" spans="2:14" ht="35.1" customHeight="1" x14ac:dyDescent="0.2">
      <c r="B359" s="1" t="s">
        <v>7802</v>
      </c>
      <c r="N359" s="73"/>
    </row>
    <row r="360" spans="2:14" ht="35.1" customHeight="1" x14ac:dyDescent="0.2">
      <c r="B360" s="1" t="s">
        <v>7381</v>
      </c>
      <c r="N360" s="73"/>
    </row>
    <row r="361" spans="2:14" ht="35.1" customHeight="1" x14ac:dyDescent="0.2">
      <c r="B361" s="1" t="s">
        <v>7359</v>
      </c>
      <c r="N361" s="73"/>
    </row>
    <row r="362" spans="2:14" ht="35.1" customHeight="1" x14ac:dyDescent="0.2">
      <c r="B362" s="1" t="s">
        <v>7534</v>
      </c>
      <c r="N362" s="73"/>
    </row>
    <row r="363" spans="2:14" ht="35.1" customHeight="1" x14ac:dyDescent="0.2">
      <c r="B363" s="1" t="s">
        <v>7795</v>
      </c>
      <c r="N363" s="73"/>
    </row>
    <row r="364" spans="2:14" ht="35.1" customHeight="1" x14ac:dyDescent="0.2">
      <c r="B364" s="1" t="s">
        <v>7803</v>
      </c>
      <c r="N364" s="73"/>
    </row>
    <row r="365" spans="2:14" ht="35.1" customHeight="1" x14ac:dyDescent="0.2">
      <c r="B365" s="4" t="s">
        <v>7276</v>
      </c>
      <c r="N365" s="73"/>
    </row>
    <row r="366" spans="2:14" ht="35.1" customHeight="1" x14ac:dyDescent="0.2">
      <c r="B366" s="1" t="s">
        <v>7136</v>
      </c>
      <c r="N366" s="73"/>
    </row>
    <row r="367" spans="2:14" ht="35.1" customHeight="1" x14ac:dyDescent="0.2">
      <c r="B367" s="1" t="s">
        <v>7331</v>
      </c>
      <c r="N367" s="73"/>
    </row>
    <row r="368" spans="2:14" ht="35.1" customHeight="1" x14ac:dyDescent="0.2">
      <c r="B368" s="1" t="s">
        <v>7198</v>
      </c>
      <c r="N368" s="73"/>
    </row>
    <row r="369" spans="2:14" ht="35.1" customHeight="1" x14ac:dyDescent="0.2">
      <c r="B369" s="1" t="s">
        <v>7498</v>
      </c>
      <c r="N369" s="73"/>
    </row>
    <row r="370" spans="2:14" ht="35.1" customHeight="1" x14ac:dyDescent="0.2">
      <c r="B370" s="1" t="s">
        <v>7334</v>
      </c>
      <c r="N370" s="73"/>
    </row>
    <row r="371" spans="2:14" ht="35.1" customHeight="1" x14ac:dyDescent="0.2">
      <c r="B371" s="4" t="s">
        <v>7280</v>
      </c>
      <c r="N371" s="73"/>
    </row>
    <row r="372" spans="2:14" ht="35.1" customHeight="1" x14ac:dyDescent="0.2">
      <c r="B372" s="1" t="s">
        <v>7339</v>
      </c>
      <c r="N372" s="73"/>
    </row>
    <row r="373" spans="2:14" ht="35.1" customHeight="1" x14ac:dyDescent="0.2">
      <c r="B373" s="1" t="s">
        <v>7063</v>
      </c>
      <c r="N373" s="73"/>
    </row>
    <row r="374" spans="2:14" ht="35.1" customHeight="1" x14ac:dyDescent="0.2">
      <c r="B374" s="1" t="s">
        <v>7334</v>
      </c>
      <c r="N374" s="73"/>
    </row>
    <row r="375" spans="2:14" ht="35.1" customHeight="1" x14ac:dyDescent="0.2">
      <c r="B375" s="1" t="s">
        <v>7295</v>
      </c>
      <c r="N375" s="73"/>
    </row>
    <row r="376" spans="2:14" ht="35.1" customHeight="1" x14ac:dyDescent="0.2">
      <c r="B376" s="4" t="s">
        <v>7283</v>
      </c>
      <c r="N376" s="73"/>
    </row>
    <row r="377" spans="2:14" ht="35.1" customHeight="1" x14ac:dyDescent="0.2">
      <c r="B377" s="1" t="s">
        <v>7132</v>
      </c>
      <c r="N377" s="73"/>
    </row>
    <row r="378" spans="2:14" ht="35.1" customHeight="1" x14ac:dyDescent="0.2">
      <c r="B378" s="1" t="s">
        <v>7804</v>
      </c>
      <c r="N378" s="73"/>
    </row>
    <row r="379" spans="2:14" ht="35.1" customHeight="1" x14ac:dyDescent="0.2">
      <c r="B379" s="1" t="s">
        <v>7805</v>
      </c>
      <c r="N379" s="73"/>
    </row>
    <row r="380" spans="2:14" ht="35.1" customHeight="1" x14ac:dyDescent="0.2">
      <c r="B380" s="4" t="s">
        <v>7287</v>
      </c>
      <c r="N380" s="73"/>
    </row>
    <row r="381" spans="2:14" ht="35.1" customHeight="1" x14ac:dyDescent="0.2">
      <c r="B381" s="1" t="s">
        <v>7806</v>
      </c>
      <c r="N381" s="73"/>
    </row>
    <row r="382" spans="2:14" ht="35.1" customHeight="1" x14ac:dyDescent="0.2">
      <c r="B382" s="1" t="s">
        <v>7807</v>
      </c>
      <c r="N382" s="73"/>
    </row>
    <row r="383" spans="2:14" ht="35.1" customHeight="1" x14ac:dyDescent="0.2">
      <c r="B383" s="1" t="s">
        <v>7808</v>
      </c>
      <c r="N383" s="73"/>
    </row>
    <row r="384" spans="2:14" ht="35.1" customHeight="1" x14ac:dyDescent="0.2">
      <c r="B384" s="4" t="s">
        <v>7290</v>
      </c>
      <c r="N384" s="73"/>
    </row>
    <row r="385" spans="2:14" ht="35.1" customHeight="1" x14ac:dyDescent="0.2">
      <c r="B385" s="1" t="s">
        <v>7398</v>
      </c>
      <c r="N385" s="73"/>
    </row>
    <row r="386" spans="2:14" ht="35.1" customHeight="1" x14ac:dyDescent="0.2">
      <c r="B386" s="4" t="s">
        <v>7293</v>
      </c>
      <c r="N386" s="73"/>
    </row>
    <row r="387" spans="2:14" ht="35.1" customHeight="1" x14ac:dyDescent="0.2">
      <c r="B387" s="1" t="s">
        <v>7809</v>
      </c>
      <c r="N387" s="73"/>
    </row>
    <row r="388" spans="2:14" ht="35.1" customHeight="1" x14ac:dyDescent="0.2">
      <c r="B388" s="1" t="s">
        <v>7810</v>
      </c>
      <c r="N388" s="73"/>
    </row>
    <row r="389" spans="2:14" ht="35.1" customHeight="1" x14ac:dyDescent="0.2">
      <c r="B389" s="1" t="s">
        <v>7811</v>
      </c>
      <c r="N389" s="73"/>
    </row>
    <row r="390" spans="2:14" ht="35.1" customHeight="1" x14ac:dyDescent="0.2">
      <c r="B390" s="1" t="s">
        <v>7812</v>
      </c>
      <c r="N390" s="73"/>
    </row>
    <row r="391" spans="2:14" ht="35.1" customHeight="1" x14ac:dyDescent="0.2">
      <c r="B391" s="1" t="s">
        <v>7813</v>
      </c>
      <c r="N391" s="73"/>
    </row>
    <row r="392" spans="2:14" ht="35.1" customHeight="1" x14ac:dyDescent="0.2">
      <c r="B392" s="1"/>
      <c r="N392" s="73"/>
    </row>
    <row r="393" spans="2:14" ht="35.1" customHeight="1" x14ac:dyDescent="0.2">
      <c r="B393" s="3" t="s">
        <v>7085</v>
      </c>
      <c r="N393" s="73"/>
    </row>
    <row r="394" spans="2:14" ht="35.1" customHeight="1" x14ac:dyDescent="0.2">
      <c r="B394" s="4" t="s">
        <v>7301</v>
      </c>
    </row>
    <row r="395" spans="2:14" ht="35.1" customHeight="1" x14ac:dyDescent="0.2">
      <c r="B395" s="1" t="s">
        <v>7814</v>
      </c>
    </row>
    <row r="396" spans="2:14" ht="35.1" customHeight="1" x14ac:dyDescent="0.2">
      <c r="B396" s="1" t="s">
        <v>7815</v>
      </c>
    </row>
    <row r="397" spans="2:14" ht="35.1" customHeight="1" x14ac:dyDescent="0.2">
      <c r="B397" s="1" t="s">
        <v>7816</v>
      </c>
    </row>
    <row r="398" spans="2:14" ht="35.1" customHeight="1" x14ac:dyDescent="0.2">
      <c r="B398" s="1" t="s">
        <v>7817</v>
      </c>
    </row>
    <row r="399" spans="2:14" ht="35.1" customHeight="1" x14ac:dyDescent="0.2">
      <c r="B399" s="1" t="s">
        <v>7818</v>
      </c>
    </row>
    <row r="400" spans="2:14" ht="35.1" customHeight="1" x14ac:dyDescent="0.2">
      <c r="B400" s="4" t="s">
        <v>7304</v>
      </c>
    </row>
    <row r="401" spans="2:2" ht="35.1" customHeight="1" x14ac:dyDescent="0.2">
      <c r="B401" s="1" t="s">
        <v>7819</v>
      </c>
    </row>
    <row r="402" spans="2:2" ht="35.1" customHeight="1" x14ac:dyDescent="0.2">
      <c r="B402" s="1" t="s">
        <v>7820</v>
      </c>
    </row>
    <row r="403" spans="2:2" ht="35.1" customHeight="1" x14ac:dyDescent="0.2">
      <c r="B403" s="1" t="s">
        <v>7132</v>
      </c>
    </row>
    <row r="404" spans="2:2" ht="35.1" customHeight="1" x14ac:dyDescent="0.2">
      <c r="B404" s="1" t="s">
        <v>7821</v>
      </c>
    </row>
    <row r="405" spans="2:2" ht="35.1" customHeight="1" x14ac:dyDescent="0.2">
      <c r="B405" s="1" t="s">
        <v>7822</v>
      </c>
    </row>
    <row r="406" spans="2:2" ht="35.1" customHeight="1" x14ac:dyDescent="0.2">
      <c r="B406" s="1" t="s">
        <v>7823</v>
      </c>
    </row>
    <row r="407" spans="2:2" ht="35.1" customHeight="1" x14ac:dyDescent="0.2">
      <c r="B407" s="1" t="s">
        <v>7824</v>
      </c>
    </row>
    <row r="408" spans="2:2" ht="35.1" customHeight="1" x14ac:dyDescent="0.2">
      <c r="B408" s="4" t="s">
        <v>7307</v>
      </c>
    </row>
    <row r="409" spans="2:2" ht="35.1" customHeight="1" x14ac:dyDescent="0.2">
      <c r="B409" s="1" t="s">
        <v>7432</v>
      </c>
    </row>
    <row r="410" spans="2:2" ht="35.1" customHeight="1" x14ac:dyDescent="0.2">
      <c r="B410" s="1" t="s">
        <v>7825</v>
      </c>
    </row>
    <row r="411" spans="2:2" ht="35.1" customHeight="1" x14ac:dyDescent="0.2">
      <c r="B411" s="1" t="s">
        <v>7826</v>
      </c>
    </row>
    <row r="412" spans="2:2" ht="35.1" customHeight="1" x14ac:dyDescent="0.2">
      <c r="B412" s="1" t="s">
        <v>7827</v>
      </c>
    </row>
    <row r="413" spans="2:2" ht="35.1" customHeight="1" x14ac:dyDescent="0.2">
      <c r="B413" s="1" t="s">
        <v>7828</v>
      </c>
    </row>
    <row r="414" spans="2:2" ht="35.1" customHeight="1" x14ac:dyDescent="0.2">
      <c r="B414" s="1" t="s">
        <v>7829</v>
      </c>
    </row>
    <row r="415" spans="2:2" ht="35.1" customHeight="1" x14ac:dyDescent="0.2">
      <c r="B415" s="1" t="s">
        <v>7830</v>
      </c>
    </row>
    <row r="416" spans="2:2" ht="35.1" customHeight="1" x14ac:dyDescent="0.2">
      <c r="B416" s="1" t="s">
        <v>7831</v>
      </c>
    </row>
    <row r="417" spans="2:2" ht="35.1" customHeight="1" x14ac:dyDescent="0.2">
      <c r="B417" s="1" t="s">
        <v>7832</v>
      </c>
    </row>
    <row r="418" spans="2:2" ht="35.1" customHeight="1" x14ac:dyDescent="0.2">
      <c r="B418" s="4" t="s">
        <v>7310</v>
      </c>
    </row>
    <row r="419" spans="2:2" ht="35.1" customHeight="1" x14ac:dyDescent="0.2">
      <c r="B419" s="1" t="s">
        <v>7833</v>
      </c>
    </row>
    <row r="420" spans="2:2" ht="35.1" customHeight="1" x14ac:dyDescent="0.2">
      <c r="B420" s="1" t="s">
        <v>7605</v>
      </c>
    </row>
    <row r="421" spans="2:2" ht="35.1" customHeight="1" x14ac:dyDescent="0.2">
      <c r="B421" s="1" t="s">
        <v>7834</v>
      </c>
    </row>
    <row r="422" spans="2:2" ht="35.1" customHeight="1" x14ac:dyDescent="0.2">
      <c r="B422" s="1" t="s">
        <v>7835</v>
      </c>
    </row>
    <row r="423" spans="2:2" ht="35.1" customHeight="1" x14ac:dyDescent="0.2">
      <c r="B423" s="4" t="s">
        <v>7311</v>
      </c>
    </row>
    <row r="424" spans="2:2" ht="35.1" customHeight="1" x14ac:dyDescent="0.2">
      <c r="B424" s="1" t="s">
        <v>7836</v>
      </c>
    </row>
    <row r="425" spans="2:2" ht="35.1" customHeight="1" x14ac:dyDescent="0.2">
      <c r="B425" s="1" t="s">
        <v>7629</v>
      </c>
    </row>
    <row r="426" spans="2:2" ht="35.1" customHeight="1" x14ac:dyDescent="0.2">
      <c r="B426" s="1" t="s">
        <v>7837</v>
      </c>
    </row>
    <row r="427" spans="2:2" ht="35.1" customHeight="1" x14ac:dyDescent="0.2">
      <c r="B427" s="1" t="s">
        <v>7838</v>
      </c>
    </row>
    <row r="428" spans="2:2" ht="35.1" customHeight="1" x14ac:dyDescent="0.2">
      <c r="B428" s="4" t="s">
        <v>7314</v>
      </c>
    </row>
    <row r="429" spans="2:2" ht="35.1" customHeight="1" x14ac:dyDescent="0.2">
      <c r="B429" s="1" t="s">
        <v>7839</v>
      </c>
    </row>
    <row r="430" spans="2:2" ht="35.1" customHeight="1" x14ac:dyDescent="0.2">
      <c r="B430" s="1" t="s">
        <v>7629</v>
      </c>
    </row>
    <row r="431" spans="2:2" ht="35.1" customHeight="1" x14ac:dyDescent="0.2">
      <c r="B431" s="1" t="s">
        <v>7147</v>
      </c>
    </row>
    <row r="432" spans="2:2" ht="35.1" customHeight="1" x14ac:dyDescent="0.2">
      <c r="B432" s="1" t="s">
        <v>7840</v>
      </c>
    </row>
    <row r="433" spans="2:2" ht="35.1" customHeight="1" x14ac:dyDescent="0.2">
      <c r="B433" s="1" t="s">
        <v>7841</v>
      </c>
    </row>
    <row r="434" spans="2:2" ht="35.1" customHeight="1" x14ac:dyDescent="0.2">
      <c r="B434" s="4" t="s">
        <v>7316</v>
      </c>
    </row>
    <row r="435" spans="2:2" ht="35.1" customHeight="1" x14ac:dyDescent="0.2">
      <c r="B435" s="1" t="s">
        <v>7842</v>
      </c>
    </row>
    <row r="436" spans="2:2" ht="35.1" customHeight="1" x14ac:dyDescent="0.2">
      <c r="B436" s="1" t="s">
        <v>7843</v>
      </c>
    </row>
    <row r="437" spans="2:2" ht="35.1" customHeight="1" x14ac:dyDescent="0.2">
      <c r="B437" s="1" t="s">
        <v>7359</v>
      </c>
    </row>
    <row r="438" spans="2:2" ht="35.1" customHeight="1" x14ac:dyDescent="0.2">
      <c r="B438" s="1" t="s">
        <v>7844</v>
      </c>
    </row>
    <row r="439" spans="2:2" ht="35.1" customHeight="1" x14ac:dyDescent="0.2">
      <c r="B439" s="4" t="s">
        <v>7319</v>
      </c>
    </row>
    <row r="440" spans="2:2" ht="35.1" customHeight="1" x14ac:dyDescent="0.2">
      <c r="B440" s="1" t="s">
        <v>7845</v>
      </c>
    </row>
    <row r="441" spans="2:2" ht="35.1" customHeight="1" x14ac:dyDescent="0.2">
      <c r="B441" s="1" t="s">
        <v>7846</v>
      </c>
    </row>
    <row r="442" spans="2:2" ht="35.1" customHeight="1" x14ac:dyDescent="0.2">
      <c r="B442" s="1" t="s">
        <v>7847</v>
      </c>
    </row>
    <row r="443" spans="2:2" ht="35.1" customHeight="1" x14ac:dyDescent="0.2">
      <c r="B443" s="1" t="s">
        <v>7754</v>
      </c>
    </row>
    <row r="444" spans="2:2" ht="35.1" customHeight="1" x14ac:dyDescent="0.2">
      <c r="B444" s="1" t="s">
        <v>7848</v>
      </c>
    </row>
    <row r="445" spans="2:2" ht="35.1" customHeight="1" x14ac:dyDescent="0.2">
      <c r="B445" s="1" t="s">
        <v>7849</v>
      </c>
    </row>
    <row r="446" spans="2:2" ht="35.1" customHeight="1" x14ac:dyDescent="0.2">
      <c r="B446" s="1" t="s">
        <v>7850</v>
      </c>
    </row>
    <row r="447" spans="2:2" ht="35.1" customHeight="1" x14ac:dyDescent="0.2">
      <c r="B447" s="1" t="s">
        <v>7851</v>
      </c>
    </row>
    <row r="448" spans="2:2" ht="35.1" customHeight="1" x14ac:dyDescent="0.2">
      <c r="B448" s="4" t="s">
        <v>7321</v>
      </c>
    </row>
    <row r="449" spans="2:2" ht="35.1" customHeight="1" x14ac:dyDescent="0.2">
      <c r="B449" s="1" t="s">
        <v>7852</v>
      </c>
    </row>
    <row r="450" spans="2:2" ht="35.1" customHeight="1" x14ac:dyDescent="0.2">
      <c r="B450" s="1" t="s">
        <v>7853</v>
      </c>
    </row>
    <row r="451" spans="2:2" ht="35.1" customHeight="1" x14ac:dyDescent="0.2">
      <c r="B451" s="1" t="s">
        <v>7505</v>
      </c>
    </row>
    <row r="452" spans="2:2" ht="35.1" customHeight="1" x14ac:dyDescent="0.2">
      <c r="B452" s="1" t="s">
        <v>7398</v>
      </c>
    </row>
    <row r="453" spans="2:2" ht="35.1" customHeight="1" x14ac:dyDescent="0.2">
      <c r="B453" s="1" t="s">
        <v>7854</v>
      </c>
    </row>
    <row r="454" spans="2:2" ht="35.1" customHeight="1" x14ac:dyDescent="0.2">
      <c r="B454" s="1" t="s">
        <v>7855</v>
      </c>
    </row>
    <row r="455" spans="2:2" ht="35.1" customHeight="1" x14ac:dyDescent="0.2">
      <c r="B455" s="4" t="s">
        <v>7323</v>
      </c>
    </row>
    <row r="456" spans="2:2" ht="35.1" customHeight="1" x14ac:dyDescent="0.2">
      <c r="B456" s="1" t="s">
        <v>7856</v>
      </c>
    </row>
    <row r="457" spans="2:2" ht="35.1" customHeight="1" x14ac:dyDescent="0.2">
      <c r="B457" s="1" t="s">
        <v>7857</v>
      </c>
    </row>
    <row r="458" spans="2:2" ht="35.1" customHeight="1" x14ac:dyDescent="0.2">
      <c r="B458" s="1" t="s">
        <v>7858</v>
      </c>
    </row>
    <row r="459" spans="2:2" ht="35.1" customHeight="1" x14ac:dyDescent="0.2">
      <c r="B459" s="1" t="s">
        <v>7859</v>
      </c>
    </row>
    <row r="460" spans="2:2" ht="35.1" customHeight="1" x14ac:dyDescent="0.2">
      <c r="B460" s="4" t="s">
        <v>7326</v>
      </c>
    </row>
    <row r="461" spans="2:2" ht="35.1" customHeight="1" x14ac:dyDescent="0.2">
      <c r="B461" s="1" t="s">
        <v>7860</v>
      </c>
    </row>
    <row r="462" spans="2:2" ht="35.1" customHeight="1" x14ac:dyDescent="0.2">
      <c r="B462" s="1" t="s">
        <v>7861</v>
      </c>
    </row>
    <row r="463" spans="2:2" ht="35.1" customHeight="1" x14ac:dyDescent="0.2">
      <c r="B463" s="1" t="s">
        <v>7862</v>
      </c>
    </row>
    <row r="464" spans="2:2" ht="35.1" customHeight="1" x14ac:dyDescent="0.2">
      <c r="B464" s="1" t="s">
        <v>7863</v>
      </c>
    </row>
    <row r="465" spans="2:2" ht="35.1" customHeight="1" x14ac:dyDescent="0.2">
      <c r="B465" s="1"/>
    </row>
    <row r="466" spans="2:2" ht="35.1" customHeight="1" x14ac:dyDescent="0.2">
      <c r="B466" s="3" t="s">
        <v>7091</v>
      </c>
    </row>
    <row r="467" spans="2:2" ht="35.1" customHeight="1" x14ac:dyDescent="0.2">
      <c r="B467" s="4" t="s">
        <v>7091</v>
      </c>
    </row>
    <row r="468" spans="2:2" ht="35.1" customHeight="1" x14ac:dyDescent="0.2">
      <c r="B468" s="1" t="s">
        <v>7329</v>
      </c>
    </row>
    <row r="469" spans="2:2" ht="35.1" customHeight="1" x14ac:dyDescent="0.2">
      <c r="B469" s="1" t="s">
        <v>7864</v>
      </c>
    </row>
    <row r="470" spans="2:2" ht="35.1" customHeight="1" x14ac:dyDescent="0.2">
      <c r="B470" s="1" t="s">
        <v>7865</v>
      </c>
    </row>
    <row r="471" spans="2:2" ht="35.1" customHeight="1" x14ac:dyDescent="0.2">
      <c r="B471" s="1" t="s">
        <v>7866</v>
      </c>
    </row>
    <row r="472" spans="2:2" ht="35.1" customHeight="1" x14ac:dyDescent="0.2">
      <c r="B472" s="1" t="s">
        <v>7867</v>
      </c>
    </row>
    <row r="473" spans="2:2" ht="35.1" customHeight="1" x14ac:dyDescent="0.2">
      <c r="B473" s="1" t="s">
        <v>7868</v>
      </c>
    </row>
    <row r="474" spans="2:2" ht="35.1" customHeight="1" x14ac:dyDescent="0.2">
      <c r="B474" s="1" t="s">
        <v>7869</v>
      </c>
    </row>
    <row r="475" spans="2:2" ht="35.1" customHeight="1" x14ac:dyDescent="0.2">
      <c r="B475" s="1" t="s">
        <v>7870</v>
      </c>
    </row>
    <row r="476" spans="2:2" ht="35.1" customHeight="1" x14ac:dyDescent="0.2">
      <c r="B476" s="1" t="s">
        <v>7871</v>
      </c>
    </row>
    <row r="477" spans="2:2" ht="35.1" customHeight="1" x14ac:dyDescent="0.2">
      <c r="B477" s="1" t="s">
        <v>7872</v>
      </c>
    </row>
    <row r="478" spans="2:2" ht="35.1" customHeight="1" x14ac:dyDescent="0.2">
      <c r="B478" s="1" t="s">
        <v>7873</v>
      </c>
    </row>
    <row r="479" spans="2:2" ht="35.1" customHeight="1" x14ac:dyDescent="0.2">
      <c r="B479" s="1" t="s">
        <v>7874</v>
      </c>
    </row>
    <row r="480" spans="2:2" ht="35.1" customHeight="1" x14ac:dyDescent="0.2">
      <c r="B480" s="1" t="s">
        <v>7875</v>
      </c>
    </row>
    <row r="481" spans="2:2" ht="35.1" customHeight="1" x14ac:dyDescent="0.2">
      <c r="B481" s="4" t="s">
        <v>7333</v>
      </c>
    </row>
    <row r="482" spans="2:2" ht="35.1" customHeight="1" x14ac:dyDescent="0.2">
      <c r="B482" s="1" t="s">
        <v>7876</v>
      </c>
    </row>
    <row r="483" spans="2:2" ht="35.1" customHeight="1" x14ac:dyDescent="0.2">
      <c r="B483" s="1" t="s">
        <v>7877</v>
      </c>
    </row>
    <row r="484" spans="2:2" ht="35.1" customHeight="1" x14ac:dyDescent="0.2">
      <c r="B484" s="1" t="s">
        <v>7878</v>
      </c>
    </row>
    <row r="485" spans="2:2" ht="35.1" customHeight="1" x14ac:dyDescent="0.2">
      <c r="B485" s="1" t="s">
        <v>7136</v>
      </c>
    </row>
    <row r="486" spans="2:2" ht="35.1" customHeight="1" x14ac:dyDescent="0.2">
      <c r="B486" s="1" t="s">
        <v>7372</v>
      </c>
    </row>
    <row r="487" spans="2:2" ht="35.1" customHeight="1" x14ac:dyDescent="0.2">
      <c r="B487" s="4" t="s">
        <v>7335</v>
      </c>
    </row>
    <row r="488" spans="2:2" ht="35.1" customHeight="1" x14ac:dyDescent="0.2">
      <c r="B488" s="1" t="s">
        <v>7561</v>
      </c>
    </row>
    <row r="489" spans="2:2" ht="35.1" customHeight="1" x14ac:dyDescent="0.2">
      <c r="B489" s="1" t="s">
        <v>7879</v>
      </c>
    </row>
    <row r="490" spans="2:2" ht="35.1" customHeight="1" x14ac:dyDescent="0.2">
      <c r="B490" s="1" t="s">
        <v>7880</v>
      </c>
    </row>
    <row r="491" spans="2:2" ht="35.1" customHeight="1" x14ac:dyDescent="0.2">
      <c r="B491" s="1" t="s">
        <v>7881</v>
      </c>
    </row>
    <row r="492" spans="2:2" ht="35.1" customHeight="1" x14ac:dyDescent="0.2">
      <c r="B492" s="1" t="s">
        <v>7882</v>
      </c>
    </row>
    <row r="493" spans="2:2" ht="35.1" customHeight="1" x14ac:dyDescent="0.2">
      <c r="B493" s="1" t="s">
        <v>7883</v>
      </c>
    </row>
    <row r="494" spans="2:2" ht="35.1" customHeight="1" x14ac:dyDescent="0.2">
      <c r="B494" s="1" t="s">
        <v>7884</v>
      </c>
    </row>
    <row r="495" spans="2:2" ht="35.1" customHeight="1" x14ac:dyDescent="0.2">
      <c r="B495" s="1" t="s">
        <v>7885</v>
      </c>
    </row>
    <row r="496" spans="2:2" ht="35.1" customHeight="1" x14ac:dyDescent="0.2">
      <c r="B496" s="4" t="s">
        <v>7337</v>
      </c>
    </row>
    <row r="497" spans="2:2" ht="35.1" customHeight="1" x14ac:dyDescent="0.2">
      <c r="B497" s="1" t="s">
        <v>7886</v>
      </c>
    </row>
    <row r="498" spans="2:2" ht="35.1" customHeight="1" x14ac:dyDescent="0.2">
      <c r="B498" s="1" t="s">
        <v>7887</v>
      </c>
    </row>
    <row r="499" spans="2:2" ht="35.1" customHeight="1" x14ac:dyDescent="0.2">
      <c r="B499" s="1" t="s">
        <v>7339</v>
      </c>
    </row>
    <row r="500" spans="2:2" ht="35.1" customHeight="1" x14ac:dyDescent="0.2">
      <c r="B500" s="4" t="s">
        <v>7338</v>
      </c>
    </row>
    <row r="501" spans="2:2" ht="35.1" customHeight="1" x14ac:dyDescent="0.2">
      <c r="B501" s="1" t="s">
        <v>7888</v>
      </c>
    </row>
    <row r="502" spans="2:2" ht="35.1" customHeight="1" x14ac:dyDescent="0.2">
      <c r="B502" s="1" t="s">
        <v>7889</v>
      </c>
    </row>
    <row r="503" spans="2:2" ht="35.1" customHeight="1" x14ac:dyDescent="0.2">
      <c r="B503" s="1" t="s">
        <v>7890</v>
      </c>
    </row>
    <row r="504" spans="2:2" ht="35.1" customHeight="1" x14ac:dyDescent="0.2">
      <c r="B504" s="1" t="s">
        <v>7891</v>
      </c>
    </row>
    <row r="505" spans="2:2" ht="35.1" customHeight="1" x14ac:dyDescent="0.2">
      <c r="B505" s="1" t="s">
        <v>7892</v>
      </c>
    </row>
    <row r="506" spans="2:2" ht="35.1" customHeight="1" x14ac:dyDescent="0.2">
      <c r="B506" s="4" t="s">
        <v>7340</v>
      </c>
    </row>
    <row r="507" spans="2:2" ht="35.1" customHeight="1" x14ac:dyDescent="0.2">
      <c r="B507" s="1" t="s">
        <v>7893</v>
      </c>
    </row>
    <row r="508" spans="2:2" ht="35.1" customHeight="1" x14ac:dyDescent="0.2">
      <c r="B508" s="1" t="s">
        <v>7894</v>
      </c>
    </row>
    <row r="509" spans="2:2" ht="35.1" customHeight="1" x14ac:dyDescent="0.2">
      <c r="B509" s="1" t="s">
        <v>7895</v>
      </c>
    </row>
    <row r="510" spans="2:2" ht="35.1" customHeight="1" x14ac:dyDescent="0.2">
      <c r="B510" s="4" t="s">
        <v>7341</v>
      </c>
    </row>
    <row r="511" spans="2:2" ht="35.1" customHeight="1" x14ac:dyDescent="0.2">
      <c r="B511" s="1" t="s">
        <v>7896</v>
      </c>
    </row>
    <row r="512" spans="2:2" ht="35.1" customHeight="1" x14ac:dyDescent="0.2">
      <c r="B512" s="1" t="s">
        <v>7897</v>
      </c>
    </row>
    <row r="513" spans="2:2" ht="35.1" customHeight="1" x14ac:dyDescent="0.2">
      <c r="B513" s="1" t="s">
        <v>7898</v>
      </c>
    </row>
    <row r="514" spans="2:2" ht="35.1" customHeight="1" x14ac:dyDescent="0.2">
      <c r="B514" s="1" t="s">
        <v>7899</v>
      </c>
    </row>
    <row r="515" spans="2:2" ht="35.1" customHeight="1" x14ac:dyDescent="0.2">
      <c r="B515" s="4" t="s">
        <v>7343</v>
      </c>
    </row>
    <row r="516" spans="2:2" ht="35.1" customHeight="1" x14ac:dyDescent="0.2">
      <c r="B516" s="1" t="s">
        <v>7900</v>
      </c>
    </row>
    <row r="517" spans="2:2" ht="35.1" customHeight="1" x14ac:dyDescent="0.2">
      <c r="B517" s="1" t="s">
        <v>7901</v>
      </c>
    </row>
    <row r="518" spans="2:2" ht="35.1" customHeight="1" x14ac:dyDescent="0.2">
      <c r="B518" s="1" t="s">
        <v>7902</v>
      </c>
    </row>
    <row r="519" spans="2:2" ht="35.1" customHeight="1" x14ac:dyDescent="0.2">
      <c r="B519" s="1" t="s">
        <v>7903</v>
      </c>
    </row>
    <row r="520" spans="2:2" ht="35.1" customHeight="1" x14ac:dyDescent="0.2">
      <c r="B520" s="1" t="s">
        <v>7904</v>
      </c>
    </row>
    <row r="521" spans="2:2" ht="35.1" customHeight="1" x14ac:dyDescent="0.2">
      <c r="B521" s="4" t="s">
        <v>7345</v>
      </c>
    </row>
    <row r="522" spans="2:2" ht="35.1" customHeight="1" x14ac:dyDescent="0.2">
      <c r="B522" s="1" t="s">
        <v>7905</v>
      </c>
    </row>
    <row r="523" spans="2:2" ht="35.1" customHeight="1" x14ac:dyDescent="0.2">
      <c r="B523" s="4" t="s">
        <v>7347</v>
      </c>
    </row>
    <row r="524" spans="2:2" ht="35.1" customHeight="1" x14ac:dyDescent="0.2">
      <c r="B524" s="1" t="s">
        <v>7906</v>
      </c>
    </row>
    <row r="525" spans="2:2" ht="35.1" customHeight="1" x14ac:dyDescent="0.2">
      <c r="B525" s="1" t="s">
        <v>7907</v>
      </c>
    </row>
    <row r="526" spans="2:2" ht="35.1" customHeight="1" x14ac:dyDescent="0.2">
      <c r="B526" s="1" t="s">
        <v>7908</v>
      </c>
    </row>
    <row r="527" spans="2:2" ht="35.1" customHeight="1" x14ac:dyDescent="0.2">
      <c r="B527" s="1" t="s">
        <v>7909</v>
      </c>
    </row>
    <row r="528" spans="2:2" ht="35.1" customHeight="1" x14ac:dyDescent="0.2">
      <c r="B528" s="4" t="s">
        <v>7348</v>
      </c>
    </row>
    <row r="529" spans="2:2" ht="35.1" customHeight="1" x14ac:dyDescent="0.2">
      <c r="B529" s="1" t="s">
        <v>7910</v>
      </c>
    </row>
    <row r="530" spans="2:2" ht="35.1" customHeight="1" x14ac:dyDescent="0.2">
      <c r="B530" s="1" t="s">
        <v>7911</v>
      </c>
    </row>
    <row r="531" spans="2:2" ht="35.1" customHeight="1" x14ac:dyDescent="0.2">
      <c r="B531" s="1"/>
    </row>
    <row r="532" spans="2:2" ht="35.1" customHeight="1" x14ac:dyDescent="0.2">
      <c r="B532" s="3" t="s">
        <v>7353</v>
      </c>
    </row>
    <row r="533" spans="2:2" ht="35.1" customHeight="1" x14ac:dyDescent="0.2">
      <c r="B533" s="4" t="s">
        <v>7353</v>
      </c>
    </row>
    <row r="534" spans="2:2" ht="35.1" customHeight="1" x14ac:dyDescent="0.2">
      <c r="B534" s="1" t="s">
        <v>7351</v>
      </c>
    </row>
    <row r="535" spans="2:2" ht="35.1" customHeight="1" x14ac:dyDescent="0.2">
      <c r="B535" s="1" t="s">
        <v>7912</v>
      </c>
    </row>
    <row r="536" spans="2:2" ht="35.1" customHeight="1" x14ac:dyDescent="0.2">
      <c r="B536" s="1" t="s">
        <v>7913</v>
      </c>
    </row>
    <row r="537" spans="2:2" ht="35.1" customHeight="1" x14ac:dyDescent="0.2">
      <c r="B537" s="1" t="s">
        <v>7914</v>
      </c>
    </row>
    <row r="538" spans="2:2" ht="35.1" customHeight="1" x14ac:dyDescent="0.2">
      <c r="B538" s="4" t="s">
        <v>7355</v>
      </c>
    </row>
    <row r="539" spans="2:2" ht="35.1" customHeight="1" x14ac:dyDescent="0.2">
      <c r="B539" s="1" t="s">
        <v>7915</v>
      </c>
    </row>
    <row r="540" spans="2:2" ht="35.1" customHeight="1" x14ac:dyDescent="0.2">
      <c r="B540" s="1" t="s">
        <v>7916</v>
      </c>
    </row>
    <row r="541" spans="2:2" ht="35.1" customHeight="1" x14ac:dyDescent="0.2">
      <c r="B541" s="1" t="s">
        <v>7917</v>
      </c>
    </row>
    <row r="542" spans="2:2" ht="35.1" customHeight="1" x14ac:dyDescent="0.2">
      <c r="B542" s="1" t="s">
        <v>7918</v>
      </c>
    </row>
    <row r="543" spans="2:2" ht="35.1" customHeight="1" x14ac:dyDescent="0.2">
      <c r="B543" s="1" t="s">
        <v>7919</v>
      </c>
    </row>
    <row r="544" spans="2:2" ht="35.1" customHeight="1" x14ac:dyDescent="0.2">
      <c r="B544" s="1" t="s">
        <v>7844</v>
      </c>
    </row>
    <row r="545" spans="2:2" ht="35.1" customHeight="1" x14ac:dyDescent="0.2">
      <c r="B545" s="4" t="s">
        <v>7357</v>
      </c>
    </row>
    <row r="546" spans="2:2" ht="35.1" customHeight="1" x14ac:dyDescent="0.2">
      <c r="B546" s="1" t="s">
        <v>7920</v>
      </c>
    </row>
    <row r="547" spans="2:2" ht="35.1" customHeight="1" x14ac:dyDescent="0.2">
      <c r="B547" s="1" t="s">
        <v>7921</v>
      </c>
    </row>
    <row r="548" spans="2:2" ht="35.1" customHeight="1" x14ac:dyDescent="0.2">
      <c r="B548" s="1" t="s">
        <v>7922</v>
      </c>
    </row>
    <row r="549" spans="2:2" ht="35.1" customHeight="1" x14ac:dyDescent="0.2">
      <c r="B549" s="1" t="s">
        <v>7923</v>
      </c>
    </row>
    <row r="550" spans="2:2" ht="35.1" customHeight="1" x14ac:dyDescent="0.2">
      <c r="B550" s="1" t="s">
        <v>7924</v>
      </c>
    </row>
    <row r="551" spans="2:2" ht="35.1" customHeight="1" x14ac:dyDescent="0.2">
      <c r="B551" s="1" t="s">
        <v>7925</v>
      </c>
    </row>
    <row r="552" spans="2:2" ht="35.1" customHeight="1" x14ac:dyDescent="0.2">
      <c r="B552" s="4" t="s">
        <v>7358</v>
      </c>
    </row>
    <row r="553" spans="2:2" ht="35.1" customHeight="1" x14ac:dyDescent="0.2">
      <c r="B553" s="1" t="s">
        <v>7926</v>
      </c>
    </row>
    <row r="554" spans="2:2" ht="35.1" customHeight="1" x14ac:dyDescent="0.2">
      <c r="B554" s="1" t="s">
        <v>7927</v>
      </c>
    </row>
    <row r="555" spans="2:2" ht="35.1" customHeight="1" x14ac:dyDescent="0.2">
      <c r="B555" s="1" t="s">
        <v>7928</v>
      </c>
    </row>
    <row r="556" spans="2:2" ht="35.1" customHeight="1" x14ac:dyDescent="0.2">
      <c r="B556" s="4" t="s">
        <v>7360</v>
      </c>
    </row>
    <row r="557" spans="2:2" ht="35.1" customHeight="1" x14ac:dyDescent="0.2">
      <c r="B557" s="1" t="s">
        <v>7929</v>
      </c>
    </row>
    <row r="558" spans="2:2" ht="35.1" customHeight="1" x14ac:dyDescent="0.2">
      <c r="B558" s="1" t="s">
        <v>7930</v>
      </c>
    </row>
    <row r="559" spans="2:2" ht="35.1" customHeight="1" x14ac:dyDescent="0.2">
      <c r="B559" s="1" t="s">
        <v>7931</v>
      </c>
    </row>
    <row r="560" spans="2:2" ht="35.1" customHeight="1" x14ac:dyDescent="0.2">
      <c r="B560" s="4" t="s">
        <v>7362</v>
      </c>
    </row>
    <row r="561" spans="2:9" ht="35.1" customHeight="1" x14ac:dyDescent="0.2">
      <c r="B561" s="1" t="s">
        <v>7932</v>
      </c>
    </row>
    <row r="562" spans="2:9" ht="35.1" customHeight="1" x14ac:dyDescent="0.2">
      <c r="B562" s="1" t="s">
        <v>7389</v>
      </c>
    </row>
    <row r="563" spans="2:9" ht="35.1" customHeight="1" x14ac:dyDescent="0.2">
      <c r="B563" s="1" t="s">
        <v>7933</v>
      </c>
    </row>
    <row r="564" spans="2:9" ht="35.1" customHeight="1" x14ac:dyDescent="0.2">
      <c r="B564" s="1" t="s">
        <v>7934</v>
      </c>
    </row>
    <row r="565" spans="2:9" ht="35.1" customHeight="1" x14ac:dyDescent="0.2">
      <c r="B565" s="1" t="s">
        <v>7935</v>
      </c>
    </row>
    <row r="567" spans="2:9" ht="35.1" customHeight="1" x14ac:dyDescent="0.2">
      <c r="B567" s="91" t="s">
        <v>7936</v>
      </c>
      <c r="C567" s="81" t="s">
        <v>7937</v>
      </c>
      <c r="D567" s="82" t="s">
        <v>7938</v>
      </c>
    </row>
    <row r="568" spans="2:9" ht="20.100000000000001" customHeight="1" x14ac:dyDescent="0.2">
      <c r="B568" s="85" t="s">
        <v>7939</v>
      </c>
      <c r="C568" s="84">
        <f>+(100%/D568)+1</f>
        <v>6</v>
      </c>
      <c r="D568" s="83">
        <v>0.2</v>
      </c>
      <c r="F568" s="79">
        <v>3</v>
      </c>
      <c r="G568" s="79"/>
      <c r="H568" s="86">
        <f>+D580</f>
        <v>0.5</v>
      </c>
    </row>
    <row r="569" spans="2:9" ht="20.100000000000001" customHeight="1" x14ac:dyDescent="0.2">
      <c r="B569" s="85" t="s">
        <v>7940</v>
      </c>
      <c r="C569" s="84">
        <f>+C568</f>
        <v>6</v>
      </c>
      <c r="D569" s="83">
        <f>+D568</f>
        <v>0.2</v>
      </c>
      <c r="F569" s="79">
        <v>4</v>
      </c>
      <c r="G569" s="79"/>
      <c r="H569" s="86">
        <f>+D577</f>
        <v>0.33</v>
      </c>
    </row>
    <row r="570" spans="2:9" ht="20.100000000000001" customHeight="1" x14ac:dyDescent="0.2">
      <c r="B570" s="85" t="s">
        <v>7941</v>
      </c>
      <c r="C570" s="84">
        <f t="shared" ref="C570:C572" si="1">+C569</f>
        <v>6</v>
      </c>
      <c r="D570" s="83">
        <f t="shared" ref="D570:D572" si="2">+D569</f>
        <v>0.2</v>
      </c>
      <c r="F570" s="79">
        <v>5</v>
      </c>
      <c r="G570" s="79"/>
      <c r="H570" s="86">
        <f>+D573</f>
        <v>0.25</v>
      </c>
    </row>
    <row r="571" spans="2:9" ht="20.100000000000001" customHeight="1" x14ac:dyDescent="0.2">
      <c r="B571" s="85" t="s">
        <v>7942</v>
      </c>
      <c r="C571" s="84">
        <f t="shared" si="1"/>
        <v>6</v>
      </c>
      <c r="D571" s="83">
        <f t="shared" si="2"/>
        <v>0.2</v>
      </c>
      <c r="F571" s="87">
        <v>6</v>
      </c>
      <c r="G571" s="159"/>
      <c r="H571" s="88">
        <f>+D568</f>
        <v>0.2</v>
      </c>
    </row>
    <row r="572" spans="2:9" ht="20.100000000000001" customHeight="1" x14ac:dyDescent="0.2">
      <c r="B572" s="85" t="s">
        <v>7943</v>
      </c>
      <c r="C572" s="84">
        <f t="shared" si="1"/>
        <v>6</v>
      </c>
      <c r="D572" s="83">
        <f t="shared" si="2"/>
        <v>0.2</v>
      </c>
      <c r="F572" s="79"/>
      <c r="G572" s="79"/>
      <c r="H572" s="79"/>
    </row>
    <row r="573" spans="2:9" ht="20.100000000000001" customHeight="1" x14ac:dyDescent="0.2">
      <c r="B573" s="85" t="s">
        <v>7944</v>
      </c>
      <c r="C573" s="84">
        <f>+(100%/D573)+1</f>
        <v>5</v>
      </c>
      <c r="D573" s="83">
        <v>0.25</v>
      </c>
      <c r="F573" s="84">
        <f>+(100%/H573)+1</f>
        <v>4.125</v>
      </c>
      <c r="G573" s="79"/>
      <c r="H573" s="86">
        <f>AVERAGE(H568:H571)</f>
        <v>0.32</v>
      </c>
    </row>
    <row r="574" spans="2:9" ht="20.100000000000001" customHeight="1" x14ac:dyDescent="0.2">
      <c r="B574" s="85" t="s">
        <v>7945</v>
      </c>
      <c r="C574" s="84">
        <f>+C573</f>
        <v>5</v>
      </c>
      <c r="D574" s="83">
        <f>+D573</f>
        <v>0.25</v>
      </c>
    </row>
    <row r="575" spans="2:9" ht="20.100000000000001" customHeight="1" x14ac:dyDescent="0.2">
      <c r="B575" s="85" t="s">
        <v>7946</v>
      </c>
      <c r="C575" s="84">
        <f t="shared" ref="C575:C576" si="3">+C574</f>
        <v>5</v>
      </c>
      <c r="D575" s="83">
        <f t="shared" ref="D575:D576" si="4">+D574</f>
        <v>0.25</v>
      </c>
      <c r="H575" s="78" t="s">
        <v>7947</v>
      </c>
      <c r="I575" s="7" t="s">
        <v>7948</v>
      </c>
    </row>
    <row r="576" spans="2:9" ht="20.100000000000001" customHeight="1" x14ac:dyDescent="0.2">
      <c r="B576" s="85" t="s">
        <v>7949</v>
      </c>
      <c r="C576" s="84">
        <f t="shared" si="3"/>
        <v>5</v>
      </c>
      <c r="D576" s="83">
        <f t="shared" si="4"/>
        <v>0.25</v>
      </c>
      <c r="H576" s="64" t="s">
        <v>7950</v>
      </c>
      <c r="I576" s="80">
        <v>1</v>
      </c>
    </row>
    <row r="577" spans="2:12" ht="20.100000000000001" customHeight="1" x14ac:dyDescent="0.2">
      <c r="B577" s="85" t="s">
        <v>7951</v>
      </c>
      <c r="C577" s="84">
        <f>+ROUND((100%/D577)+1,0)</f>
        <v>4</v>
      </c>
      <c r="D577" s="83">
        <v>0.33</v>
      </c>
      <c r="H577" s="64" t="s">
        <v>7952</v>
      </c>
      <c r="I577" s="80">
        <v>2</v>
      </c>
    </row>
    <row r="578" spans="2:12" ht="20.100000000000001" customHeight="1" x14ac:dyDescent="0.2">
      <c r="B578" s="85" t="s">
        <v>7953</v>
      </c>
      <c r="C578" s="84">
        <f>+C577</f>
        <v>4</v>
      </c>
      <c r="D578" s="83">
        <f>+D577</f>
        <v>0.33</v>
      </c>
      <c r="H578" s="64" t="s">
        <v>7954</v>
      </c>
      <c r="I578" s="80">
        <v>3</v>
      </c>
    </row>
    <row r="579" spans="2:12" ht="20.100000000000001" customHeight="1" x14ac:dyDescent="0.2">
      <c r="B579" s="85" t="s">
        <v>7955</v>
      </c>
      <c r="C579" s="84">
        <f>+C578</f>
        <v>4</v>
      </c>
      <c r="D579" s="83">
        <f>+D578</f>
        <v>0.33</v>
      </c>
      <c r="H579" s="64" t="s">
        <v>7956</v>
      </c>
      <c r="I579" s="80">
        <v>4</v>
      </c>
    </row>
    <row r="580" spans="2:12" ht="20.100000000000001" customHeight="1" x14ac:dyDescent="0.2">
      <c r="B580" s="110" t="s">
        <v>7957</v>
      </c>
      <c r="C580" s="84">
        <f>+(100%/D580)+1</f>
        <v>3</v>
      </c>
      <c r="D580" s="83">
        <v>0.5</v>
      </c>
    </row>
    <row r="581" spans="2:12" ht="20.100000000000001" customHeight="1" x14ac:dyDescent="0.2">
      <c r="B581" s="111" t="s">
        <v>7958</v>
      </c>
      <c r="C581" s="112">
        <f>+C580</f>
        <v>3</v>
      </c>
      <c r="D581" s="113">
        <f>+D580</f>
        <v>0.5</v>
      </c>
    </row>
    <row r="582" spans="2:12" ht="20.100000000000001" customHeight="1" x14ac:dyDescent="0.2">
      <c r="B582" s="85" t="s">
        <v>65</v>
      </c>
      <c r="C582" s="90">
        <f>+(100%/D582)+1</f>
        <v>4.125</v>
      </c>
      <c r="D582" s="89">
        <f>+H573</f>
        <v>0.32</v>
      </c>
    </row>
    <row r="583" spans="2:12" ht="35.1" customHeight="1" x14ac:dyDescent="0.2">
      <c r="B583" s="116" t="s">
        <v>7959</v>
      </c>
    </row>
    <row r="584" spans="2:12" ht="35.1" customHeight="1" x14ac:dyDescent="0.2">
      <c r="B584" s="62" t="e">
        <f>+#REF!</f>
        <v>#REF!</v>
      </c>
      <c r="C584" s="130" t="e">
        <f>+#REF!</f>
        <v>#REF!</v>
      </c>
    </row>
    <row r="585" spans="2:12" ht="35.1" customHeight="1" x14ac:dyDescent="0.2">
      <c r="B585" s="62" t="e">
        <f>+#REF!</f>
        <v>#REF!</v>
      </c>
      <c r="C585" s="75" t="e">
        <f>+#REF!</f>
        <v>#REF!</v>
      </c>
    </row>
    <row r="586" spans="2:12" ht="35.1" customHeight="1" x14ac:dyDescent="0.2">
      <c r="B586" s="62"/>
      <c r="C586" s="129"/>
    </row>
    <row r="587" spans="2:12" ht="35.1" customHeight="1" x14ac:dyDescent="0.2">
      <c r="B587" s="116" t="s">
        <v>7960</v>
      </c>
      <c r="C587" s="36"/>
      <c r="F587" s="496" t="s">
        <v>7961</v>
      </c>
      <c r="G587" s="496"/>
      <c r="H587" s="496"/>
      <c r="I587" s="137" t="s">
        <v>7962</v>
      </c>
    </row>
    <row r="588" spans="2:12" ht="42" customHeight="1" x14ac:dyDescent="0.2">
      <c r="B588" s="116"/>
      <c r="C588" s="36"/>
      <c r="F588" s="127" t="s">
        <v>7963</v>
      </c>
      <c r="G588" s="127"/>
      <c r="H588" s="127" t="s">
        <v>7964</v>
      </c>
    </row>
    <row r="589" spans="2:12" ht="20.100000000000001" customHeight="1" x14ac:dyDescent="0.2">
      <c r="C589" s="36"/>
      <c r="D589" s="121" t="s">
        <v>7049</v>
      </c>
      <c r="E589" s="121" t="s">
        <v>7937</v>
      </c>
      <c r="F589" s="79">
        <v>1</v>
      </c>
      <c r="G589" s="79"/>
      <c r="H589" s="79">
        <v>2</v>
      </c>
      <c r="I589" s="122"/>
      <c r="J589" s="121" t="s">
        <v>7937</v>
      </c>
      <c r="L589" s="122"/>
    </row>
    <row r="590" spans="2:12" ht="20.100000000000001" customHeight="1" x14ac:dyDescent="0.2">
      <c r="B590" t="s">
        <v>7965</v>
      </c>
      <c r="C590" s="118" t="s">
        <v>194</v>
      </c>
      <c r="D590" s="7" t="s">
        <v>7966</v>
      </c>
      <c r="E590" s="120">
        <f>1/4</f>
        <v>0.25</v>
      </c>
      <c r="F590" s="123">
        <f>+E590*$F$603</f>
        <v>115550</v>
      </c>
      <c r="G590" s="123"/>
      <c r="H590" s="123">
        <f>+F590</f>
        <v>115550</v>
      </c>
      <c r="I590" s="123">
        <f t="shared" ref="I590:I601" si="5">+$F$603*J590</f>
        <v>173325</v>
      </c>
      <c r="J590" s="128">
        <f>3/8</f>
        <v>0.375</v>
      </c>
    </row>
    <row r="591" spans="2:12" ht="20.100000000000001" customHeight="1" x14ac:dyDescent="0.2">
      <c r="B591" t="s">
        <v>7967</v>
      </c>
      <c r="C591" s="118" t="s">
        <v>7968</v>
      </c>
      <c r="D591" s="7" t="s">
        <v>7969</v>
      </c>
      <c r="E591" s="120">
        <f>1/4</f>
        <v>0.25</v>
      </c>
      <c r="F591" s="123">
        <f t="shared" ref="F591:F601" si="6">+E591*$F$603</f>
        <v>115550</v>
      </c>
      <c r="G591" s="123"/>
      <c r="H591" s="123">
        <f>+F591/2</f>
        <v>57775</v>
      </c>
      <c r="I591" s="123">
        <f t="shared" si="5"/>
        <v>173325</v>
      </c>
      <c r="J591" s="128">
        <f t="shared" ref="J591:J594" si="7">3/8</f>
        <v>0.375</v>
      </c>
    </row>
    <row r="592" spans="2:12" ht="20.100000000000001" customHeight="1" x14ac:dyDescent="0.2">
      <c r="B592" t="s">
        <v>7970</v>
      </c>
      <c r="C592" s="118" t="s">
        <v>7971</v>
      </c>
      <c r="D592" s="7" t="s">
        <v>7972</v>
      </c>
      <c r="E592" s="120">
        <f>1/4</f>
        <v>0.25</v>
      </c>
      <c r="F592" s="123">
        <f t="shared" si="6"/>
        <v>115550</v>
      </c>
      <c r="G592" s="123"/>
      <c r="H592" s="123">
        <f>+F592/2</f>
        <v>57775</v>
      </c>
      <c r="I592" s="123">
        <f t="shared" si="5"/>
        <v>173325</v>
      </c>
      <c r="J592" s="128">
        <f t="shared" si="7"/>
        <v>0.375</v>
      </c>
    </row>
    <row r="593" spans="2:10" ht="20.100000000000001" customHeight="1" x14ac:dyDescent="0.2">
      <c r="B593" t="s">
        <v>7973</v>
      </c>
      <c r="C593" s="118" t="s">
        <v>192</v>
      </c>
      <c r="D593" s="7" t="s">
        <v>7974</v>
      </c>
      <c r="E593" s="120">
        <f>1/4</f>
        <v>0.25</v>
      </c>
      <c r="F593" s="123">
        <f t="shared" si="6"/>
        <v>115550</v>
      </c>
      <c r="G593" s="123"/>
      <c r="H593" s="123">
        <f>+F593</f>
        <v>115550</v>
      </c>
      <c r="I593" s="123">
        <f t="shared" si="5"/>
        <v>173325</v>
      </c>
      <c r="J593" s="128">
        <f t="shared" si="7"/>
        <v>0.375</v>
      </c>
    </row>
    <row r="594" spans="2:10" ht="20.100000000000001" customHeight="1" x14ac:dyDescent="0.2">
      <c r="B594" t="s">
        <v>7975</v>
      </c>
      <c r="C594" s="118" t="s">
        <v>7976</v>
      </c>
      <c r="D594" s="7" t="s">
        <v>7977</v>
      </c>
      <c r="E594" s="120">
        <f>1/8</f>
        <v>0.125</v>
      </c>
      <c r="F594" s="123">
        <f t="shared" si="6"/>
        <v>57775</v>
      </c>
      <c r="G594" s="123"/>
      <c r="H594" s="123">
        <f>+F594</f>
        <v>57775</v>
      </c>
      <c r="I594" s="123">
        <f t="shared" si="5"/>
        <v>173325</v>
      </c>
      <c r="J594" s="128">
        <f t="shared" si="7"/>
        <v>0.375</v>
      </c>
    </row>
    <row r="595" spans="2:10" ht="20.100000000000001" customHeight="1" x14ac:dyDescent="0.2">
      <c r="B595" t="s">
        <v>7978</v>
      </c>
      <c r="C595" s="118" t="s">
        <v>7979</v>
      </c>
      <c r="D595" s="7" t="s">
        <v>7977</v>
      </c>
      <c r="E595" s="120">
        <f>1/2</f>
        <v>0.5</v>
      </c>
      <c r="F595" s="123">
        <f t="shared" si="6"/>
        <v>231100</v>
      </c>
      <c r="G595" s="123"/>
      <c r="H595" s="123">
        <f>+F595</f>
        <v>231100</v>
      </c>
      <c r="I595" s="123">
        <f t="shared" si="5"/>
        <v>346650</v>
      </c>
      <c r="J595" s="128">
        <f>3/4</f>
        <v>0.75</v>
      </c>
    </row>
    <row r="596" spans="2:10" ht="20.100000000000001" customHeight="1" x14ac:dyDescent="0.2">
      <c r="B596" t="s">
        <v>7980</v>
      </c>
      <c r="C596" s="118" t="s">
        <v>7981</v>
      </c>
      <c r="D596" s="7" t="s">
        <v>7982</v>
      </c>
      <c r="E596" s="120">
        <f>1/4</f>
        <v>0.25</v>
      </c>
      <c r="F596" s="123">
        <f t="shared" si="6"/>
        <v>115550</v>
      </c>
      <c r="G596" s="123"/>
      <c r="H596" s="123">
        <f>+(F596/4)*3</f>
        <v>86662.5</v>
      </c>
      <c r="I596" s="123">
        <f t="shared" si="5"/>
        <v>173325</v>
      </c>
      <c r="J596" s="128">
        <f>3/8</f>
        <v>0.375</v>
      </c>
    </row>
    <row r="597" spans="2:10" ht="20.100000000000001" customHeight="1" x14ac:dyDescent="0.2">
      <c r="B597" t="s">
        <v>7983</v>
      </c>
      <c r="C597" s="118" t="s">
        <v>7984</v>
      </c>
      <c r="D597" s="7" t="s">
        <v>7982</v>
      </c>
      <c r="E597" s="120">
        <f>1/2</f>
        <v>0.5</v>
      </c>
      <c r="F597" s="123">
        <f t="shared" si="6"/>
        <v>231100</v>
      </c>
      <c r="G597" s="123"/>
      <c r="H597" s="123">
        <f>+(F597/4)*3</f>
        <v>173325</v>
      </c>
      <c r="I597" s="123">
        <f t="shared" si="5"/>
        <v>288875</v>
      </c>
      <c r="J597" s="128">
        <f>5/8</f>
        <v>0.625</v>
      </c>
    </row>
    <row r="598" spans="2:10" ht="20.100000000000001" customHeight="1" x14ac:dyDescent="0.2">
      <c r="B598" t="s">
        <v>7985</v>
      </c>
      <c r="C598" s="118" t="s">
        <v>7986</v>
      </c>
      <c r="D598" s="7" t="s">
        <v>7982</v>
      </c>
      <c r="E598" s="120">
        <f>1/2</f>
        <v>0.5</v>
      </c>
      <c r="F598" s="123">
        <f t="shared" si="6"/>
        <v>231100</v>
      </c>
      <c r="G598" s="123"/>
      <c r="H598" s="123">
        <f>+F598</f>
        <v>231100</v>
      </c>
      <c r="I598" s="123">
        <f t="shared" si="5"/>
        <v>346650</v>
      </c>
      <c r="J598" s="128">
        <f>3/4</f>
        <v>0.75</v>
      </c>
    </row>
    <row r="599" spans="2:10" ht="20.100000000000001" customHeight="1" x14ac:dyDescent="0.2">
      <c r="B599" t="s">
        <v>7987</v>
      </c>
      <c r="C599" s="118" t="s">
        <v>7986</v>
      </c>
      <c r="D599" s="7" t="s">
        <v>7982</v>
      </c>
      <c r="E599" s="120">
        <f>1/2</f>
        <v>0.5</v>
      </c>
      <c r="F599" s="123">
        <f t="shared" si="6"/>
        <v>231100</v>
      </c>
      <c r="G599" s="123"/>
      <c r="H599" s="123">
        <f>+F599</f>
        <v>231100</v>
      </c>
      <c r="I599" s="123">
        <f t="shared" si="5"/>
        <v>346650</v>
      </c>
      <c r="J599" s="128">
        <f t="shared" ref="J599:J600" si="8">3/4</f>
        <v>0.75</v>
      </c>
    </row>
    <row r="600" spans="2:10" ht="20.100000000000001" customHeight="1" x14ac:dyDescent="0.2">
      <c r="B600" s="119" t="s">
        <v>7988</v>
      </c>
      <c r="C600" s="124" t="s">
        <v>7989</v>
      </c>
      <c r="D600" s="119" t="s">
        <v>7982</v>
      </c>
      <c r="E600" s="125">
        <f>1/2</f>
        <v>0.5</v>
      </c>
      <c r="F600" s="126">
        <f t="shared" si="6"/>
        <v>231100</v>
      </c>
      <c r="G600" s="126"/>
      <c r="H600" s="126">
        <f t="shared" ref="H600:H601" si="9">+F600</f>
        <v>231100</v>
      </c>
      <c r="I600" s="123">
        <f t="shared" si="5"/>
        <v>346650</v>
      </c>
      <c r="J600" s="128">
        <f t="shared" si="8"/>
        <v>0.75</v>
      </c>
    </row>
    <row r="601" spans="2:10" ht="20.100000000000001" customHeight="1" x14ac:dyDescent="0.2">
      <c r="B601" s="119" t="s">
        <v>7990</v>
      </c>
      <c r="C601" s="124" t="s">
        <v>7991</v>
      </c>
      <c r="D601" s="119" t="s">
        <v>7982</v>
      </c>
      <c r="E601" s="125">
        <f>1/4</f>
        <v>0.25</v>
      </c>
      <c r="F601" s="126">
        <f t="shared" si="6"/>
        <v>115550</v>
      </c>
      <c r="G601" s="126"/>
      <c r="H601" s="126">
        <f t="shared" si="9"/>
        <v>115550</v>
      </c>
      <c r="I601" s="123">
        <f t="shared" si="5"/>
        <v>173325</v>
      </c>
      <c r="J601" s="128">
        <f>3/8</f>
        <v>0.375</v>
      </c>
    </row>
    <row r="602" spans="2:10" ht="35.1" customHeight="1" thickBot="1" x14ac:dyDescent="0.25">
      <c r="C602" s="36"/>
      <c r="E602" s="120"/>
    </row>
    <row r="603" spans="2:10" ht="35.1" customHeight="1" thickBot="1" x14ac:dyDescent="0.25">
      <c r="B603" s="117" t="s">
        <v>7992</v>
      </c>
      <c r="C603" s="117"/>
      <c r="D603" s="117"/>
      <c r="F603" s="493">
        <v>462200</v>
      </c>
      <c r="G603" s="494"/>
      <c r="H603" s="494"/>
      <c r="I603" s="495"/>
    </row>
    <row r="604" spans="2:10" ht="35.1" customHeight="1" x14ac:dyDescent="0.2">
      <c r="E604" s="120"/>
    </row>
    <row r="606" spans="2:10" ht="35.1" customHeight="1" x14ac:dyDescent="0.2">
      <c r="E606" s="120"/>
    </row>
    <row r="608" spans="2:10" ht="35.1" customHeight="1" x14ac:dyDescent="0.2">
      <c r="E608" s="120"/>
    </row>
    <row r="611" spans="2:9" ht="35.1" customHeight="1" x14ac:dyDescent="0.2">
      <c r="H611" s="164" t="s">
        <v>7993</v>
      </c>
    </row>
    <row r="612" spans="2:9" ht="35.1" customHeight="1" x14ac:dyDescent="0.2">
      <c r="B612" s="136" t="s">
        <v>7994</v>
      </c>
      <c r="C612" s="136" t="s">
        <v>7995</v>
      </c>
      <c r="D612" s="152"/>
      <c r="E612" s="152"/>
      <c r="F612" s="152"/>
      <c r="G612" s="152"/>
      <c r="H612" s="91" t="s">
        <v>7936</v>
      </c>
      <c r="I612" s="81" t="s">
        <v>7937</v>
      </c>
    </row>
    <row r="613" spans="2:9" ht="35.1" customHeight="1" x14ac:dyDescent="0.2">
      <c r="B613" s="153">
        <v>44927</v>
      </c>
      <c r="C613" s="153">
        <v>45291</v>
      </c>
      <c r="D613" s="152">
        <v>2024</v>
      </c>
      <c r="E613" s="154" t="s">
        <v>7996</v>
      </c>
      <c r="F613" s="155">
        <v>45412</v>
      </c>
      <c r="G613" s="166">
        <f>+F613</f>
        <v>45412</v>
      </c>
      <c r="H613" s="85" t="s">
        <v>7939</v>
      </c>
      <c r="I613" s="84">
        <v>6</v>
      </c>
    </row>
    <row r="614" spans="2:9" ht="35.1" customHeight="1" x14ac:dyDescent="0.2">
      <c r="B614" s="153">
        <v>45292</v>
      </c>
      <c r="C614" s="153">
        <v>45657</v>
      </c>
      <c r="D614" s="152">
        <v>2025</v>
      </c>
      <c r="E614" s="154" t="s">
        <v>7997</v>
      </c>
      <c r="F614" s="155">
        <v>45777</v>
      </c>
      <c r="G614" s="166">
        <f t="shared" ref="G614:G617" si="10">+F614</f>
        <v>45777</v>
      </c>
      <c r="H614" s="85" t="s">
        <v>7940</v>
      </c>
      <c r="I614" s="84">
        <v>6</v>
      </c>
    </row>
    <row r="615" spans="2:9" ht="35.1" customHeight="1" x14ac:dyDescent="0.2">
      <c r="B615" s="153">
        <v>45658</v>
      </c>
      <c r="C615" s="153">
        <v>45688</v>
      </c>
      <c r="D615" s="152">
        <v>2026</v>
      </c>
      <c r="E615" s="154" t="s">
        <v>7998</v>
      </c>
      <c r="F615" s="155">
        <v>46142</v>
      </c>
      <c r="G615" s="166">
        <f t="shared" si="10"/>
        <v>46142</v>
      </c>
      <c r="H615" s="85" t="s">
        <v>7941</v>
      </c>
      <c r="I615" s="84">
        <v>6</v>
      </c>
    </row>
    <row r="616" spans="2:9" ht="35.1" customHeight="1" x14ac:dyDescent="0.2">
      <c r="B616" s="153">
        <v>46023</v>
      </c>
      <c r="C616" s="153">
        <v>46387</v>
      </c>
      <c r="D616" s="152">
        <v>2027</v>
      </c>
      <c r="E616" s="154" t="s">
        <v>7999</v>
      </c>
      <c r="F616" s="155">
        <v>46507</v>
      </c>
      <c r="G616" s="166">
        <f t="shared" si="10"/>
        <v>46507</v>
      </c>
      <c r="H616" s="85" t="s">
        <v>7942</v>
      </c>
      <c r="I616" s="84">
        <v>6</v>
      </c>
    </row>
    <row r="617" spans="2:9" ht="35.1" customHeight="1" x14ac:dyDescent="0.2">
      <c r="B617" s="153">
        <v>46388</v>
      </c>
      <c r="C617" s="153">
        <v>46752</v>
      </c>
      <c r="D617" s="152">
        <v>2028</v>
      </c>
      <c r="E617" s="154" t="s">
        <v>8000</v>
      </c>
      <c r="F617" s="155">
        <v>46871</v>
      </c>
      <c r="G617" s="166">
        <f t="shared" si="10"/>
        <v>46871</v>
      </c>
      <c r="H617" s="85" t="s">
        <v>7943</v>
      </c>
      <c r="I617" s="84">
        <v>6</v>
      </c>
    </row>
    <row r="618" spans="2:9" ht="35.1" customHeight="1" x14ac:dyDescent="0.2">
      <c r="B618" s="152"/>
      <c r="C618" s="152"/>
      <c r="D618" s="152"/>
      <c r="E618" s="152"/>
      <c r="F618" s="152"/>
      <c r="G618" s="152"/>
      <c r="H618" s="85" t="s">
        <v>7944</v>
      </c>
      <c r="I618" s="84">
        <v>5</v>
      </c>
    </row>
    <row r="619" spans="2:9" ht="35.1" customHeight="1" x14ac:dyDescent="0.2">
      <c r="B619" s="152"/>
      <c r="C619" s="152"/>
      <c r="D619" s="152"/>
      <c r="E619" s="152"/>
      <c r="F619" s="152"/>
      <c r="G619" s="152"/>
      <c r="H619" s="85" t="s">
        <v>7945</v>
      </c>
      <c r="I619" s="84">
        <v>5</v>
      </c>
    </row>
    <row r="620" spans="2:9" ht="35.1" customHeight="1" x14ac:dyDescent="0.35">
      <c r="B620" s="156" t="s">
        <v>54</v>
      </c>
      <c r="C620" s="152"/>
      <c r="D620" s="152">
        <v>1</v>
      </c>
      <c r="E620" s="152"/>
      <c r="F620" s="152"/>
      <c r="G620" s="152"/>
      <c r="H620" s="85" t="s">
        <v>7946</v>
      </c>
      <c r="I620" s="84">
        <v>5</v>
      </c>
    </row>
    <row r="621" spans="2:9" ht="35.1" customHeight="1" x14ac:dyDescent="0.35">
      <c r="B621" s="157" t="s">
        <v>52</v>
      </c>
      <c r="C621" s="152"/>
      <c r="D621" s="152">
        <v>0</v>
      </c>
      <c r="E621" s="152"/>
      <c r="F621" s="152"/>
      <c r="G621" s="152"/>
      <c r="H621" s="85" t="s">
        <v>7949</v>
      </c>
      <c r="I621" s="84">
        <v>5</v>
      </c>
    </row>
    <row r="622" spans="2:9" ht="35.1" customHeight="1" x14ac:dyDescent="0.35">
      <c r="B622" s="156" t="s">
        <v>57</v>
      </c>
      <c r="C622" s="152"/>
      <c r="D622" s="152"/>
      <c r="E622" s="152"/>
      <c r="F622" s="152"/>
      <c r="G622" s="152"/>
      <c r="H622" s="85" t="s">
        <v>7951</v>
      </c>
      <c r="I622" s="84">
        <v>4</v>
      </c>
    </row>
    <row r="623" spans="2:9" ht="35.1" customHeight="1" x14ac:dyDescent="0.35">
      <c r="B623" s="156"/>
      <c r="C623" s="152"/>
      <c r="D623" s="152"/>
      <c r="E623" s="152"/>
      <c r="F623" s="152"/>
      <c r="G623" s="152"/>
      <c r="H623" s="85" t="s">
        <v>7953</v>
      </c>
      <c r="I623" s="84">
        <v>4</v>
      </c>
    </row>
    <row r="624" spans="2:9" ht="35.1" customHeight="1" x14ac:dyDescent="0.2">
      <c r="H624" s="85" t="s">
        <v>7955</v>
      </c>
      <c r="I624" s="84">
        <v>4</v>
      </c>
    </row>
    <row r="625" spans="8:9" ht="35.1" customHeight="1" x14ac:dyDescent="0.2">
      <c r="H625" s="110" t="s">
        <v>7957</v>
      </c>
      <c r="I625" s="84">
        <v>3</v>
      </c>
    </row>
    <row r="626" spans="8:9" ht="35.1" customHeight="1" x14ac:dyDescent="0.2">
      <c r="H626" s="111" t="s">
        <v>7958</v>
      </c>
      <c r="I626" s="112">
        <v>3</v>
      </c>
    </row>
    <row r="627" spans="8:9" ht="35.1" customHeight="1" x14ac:dyDescent="0.2">
      <c r="H627" s="85" t="s">
        <v>65</v>
      </c>
      <c r="I627" s="165">
        <f>AVERAGE(I613:I626)</f>
        <v>4.8571428571428568</v>
      </c>
    </row>
  </sheetData>
  <sortState xmlns:xlrd2="http://schemas.microsoft.com/office/spreadsheetml/2017/richdata2" ref="E107:H121">
    <sortCondition ref="F107:F121"/>
  </sortState>
  <dataConsolidate/>
  <mergeCells count="3">
    <mergeCell ref="F603:I603"/>
    <mergeCell ref="F587:H587"/>
    <mergeCell ref="M334:P334"/>
  </mergeCells>
  <hyperlinks>
    <hyperlink ref="G107" r:id="rId1" xr:uid="{E70BD9BC-EE53-4F2E-BC9E-13A55E6B1348}"/>
    <hyperlink ref="G116" r:id="rId2" xr:uid="{C56458E9-3204-409E-9127-FCEA722151D0}"/>
    <hyperlink ref="G119" r:id="rId3" xr:uid="{C1CA973C-78FC-438A-AB56-5C7C28130689}"/>
  </hyperlinks>
  <pageMargins left="0.7" right="0.7" top="0.75" bottom="0.75" header="0.3" footer="0.3"/>
  <pageSetup orientation="portrait" horizontalDpi="0" verticalDpi="0" r:id="rId4"/>
  <drawing r:id="rId5"/>
  <tableParts count="9">
    <tablePart r:id="rId6"/>
    <tablePart r:id="rId7"/>
    <tablePart r:id="rId8"/>
    <tablePart r:id="rId9"/>
    <tablePart r:id="rId10"/>
    <tablePart r:id="rId11"/>
    <tablePart r:id="rId12"/>
    <tablePart r:id="rId13"/>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9"/>
  <sheetViews>
    <sheetView topLeftCell="A88" workbookViewId="0">
      <selection activeCell="B10" sqref="B10"/>
    </sheetView>
  </sheetViews>
  <sheetFormatPr baseColWidth="10" defaultColWidth="11.42578125" defaultRowHeight="12.75" x14ac:dyDescent="0.2"/>
  <cols>
    <col min="1" max="1" width="20" customWidth="1"/>
    <col min="2" max="2" width="19.85546875" customWidth="1"/>
    <col min="3" max="3" width="16.5703125" customWidth="1"/>
    <col min="4" max="4" width="17.140625" customWidth="1"/>
    <col min="5" max="5" width="17.42578125" customWidth="1"/>
    <col min="6" max="6" width="13.28515625" customWidth="1"/>
    <col min="7" max="8" width="14.42578125" customWidth="1"/>
    <col min="9" max="9" width="12.5703125" customWidth="1"/>
    <col min="10" max="10" width="17.5703125" customWidth="1"/>
    <col min="11" max="11" width="19.42578125" customWidth="1"/>
    <col min="12" max="12" width="24.28515625" customWidth="1"/>
    <col min="13" max="13" width="17.5703125" customWidth="1"/>
    <col min="15" max="15" width="16.42578125" customWidth="1"/>
    <col min="16" max="16" width="18.85546875" customWidth="1"/>
    <col min="17" max="17" width="13.7109375" customWidth="1"/>
    <col min="18" max="18" width="14" customWidth="1"/>
    <col min="19" max="19" width="20.140625" customWidth="1"/>
    <col min="20" max="20" width="16.5703125" customWidth="1"/>
    <col min="21" max="21" width="14.42578125" customWidth="1"/>
  </cols>
  <sheetData>
    <row r="1" spans="1:21" x14ac:dyDescent="0.2">
      <c r="A1" s="93" t="s">
        <v>7047</v>
      </c>
      <c r="B1" s="500" t="s">
        <v>8001</v>
      </c>
      <c r="C1" s="501"/>
      <c r="D1" s="501"/>
      <c r="E1" s="501"/>
      <c r="F1" s="501"/>
      <c r="G1" s="501"/>
      <c r="H1" s="501"/>
      <c r="I1" s="501"/>
      <c r="J1" s="501"/>
      <c r="K1" s="501"/>
      <c r="L1" s="501"/>
      <c r="M1" s="501"/>
      <c r="N1" s="501"/>
      <c r="O1" s="501"/>
      <c r="P1" s="501"/>
      <c r="Q1" s="501"/>
      <c r="R1" s="501"/>
      <c r="S1" s="501"/>
      <c r="T1" s="501"/>
      <c r="U1" s="502"/>
    </row>
    <row r="2" spans="1:21" s="80" customFormat="1" x14ac:dyDescent="0.2">
      <c r="A2" s="92" t="s">
        <v>8002</v>
      </c>
      <c r="B2" s="98" t="s">
        <v>8002</v>
      </c>
      <c r="C2" s="98" t="s">
        <v>8003</v>
      </c>
      <c r="D2" s="98" t="s">
        <v>7080</v>
      </c>
      <c r="E2" s="98" t="s">
        <v>8004</v>
      </c>
      <c r="F2" s="98" t="s">
        <v>7092</v>
      </c>
      <c r="G2" s="98" t="s">
        <v>7098</v>
      </c>
      <c r="H2" s="98" t="s">
        <v>7102</v>
      </c>
      <c r="I2" s="98" t="s">
        <v>8005</v>
      </c>
      <c r="J2" s="98" t="s">
        <v>8006</v>
      </c>
      <c r="K2" s="98" t="s">
        <v>7114</v>
      </c>
      <c r="L2" s="98" t="s">
        <v>8007</v>
      </c>
      <c r="M2" s="98" t="s">
        <v>7122</v>
      </c>
      <c r="N2" s="98" t="s">
        <v>8008</v>
      </c>
      <c r="O2" s="98" t="s">
        <v>7129</v>
      </c>
      <c r="P2" s="98" t="s">
        <v>8009</v>
      </c>
      <c r="Q2" s="98" t="s">
        <v>8010</v>
      </c>
      <c r="R2" s="98" t="s">
        <v>7140</v>
      </c>
      <c r="S2" s="98" t="s">
        <v>7144</v>
      </c>
      <c r="T2" s="98" t="s">
        <v>8011</v>
      </c>
      <c r="U2" s="98" t="s">
        <v>8012</v>
      </c>
    </row>
    <row r="3" spans="1:21" s="80" customFormat="1" x14ac:dyDescent="0.2">
      <c r="A3" s="92" t="s">
        <v>7068</v>
      </c>
      <c r="B3" s="98" t="s">
        <v>8013</v>
      </c>
      <c r="C3" s="98" t="s">
        <v>8014</v>
      </c>
      <c r="D3" s="98" t="s">
        <v>7172</v>
      </c>
      <c r="E3" s="98" t="s">
        <v>8015</v>
      </c>
      <c r="F3" s="98" t="s">
        <v>7180</v>
      </c>
      <c r="G3" s="98" t="s">
        <v>7185</v>
      </c>
      <c r="H3" s="98" t="s">
        <v>7190</v>
      </c>
      <c r="I3" s="98" t="s">
        <v>8016</v>
      </c>
      <c r="J3" s="98" t="s">
        <v>7199</v>
      </c>
      <c r="K3" s="98" t="s">
        <v>8017</v>
      </c>
      <c r="L3" s="98" t="s">
        <v>8018</v>
      </c>
      <c r="M3" s="98" t="s">
        <v>8019</v>
      </c>
      <c r="N3" s="98" t="s">
        <v>7214</v>
      </c>
      <c r="O3" s="98" t="s">
        <v>8020</v>
      </c>
      <c r="P3" s="98" t="s">
        <v>7223</v>
      </c>
      <c r="Q3" s="92"/>
      <c r="R3" s="92"/>
      <c r="S3" s="92"/>
      <c r="T3" s="92"/>
      <c r="U3" s="92"/>
    </row>
    <row r="4" spans="1:21" s="80" customFormat="1" x14ac:dyDescent="0.2">
      <c r="A4" s="92" t="s">
        <v>7073</v>
      </c>
      <c r="B4" s="98" t="s">
        <v>8021</v>
      </c>
      <c r="C4" s="98" t="s">
        <v>8022</v>
      </c>
      <c r="D4" s="98" t="s">
        <v>8023</v>
      </c>
      <c r="E4" s="98" t="s">
        <v>8024</v>
      </c>
      <c r="F4" s="98" t="s">
        <v>7245</v>
      </c>
      <c r="G4" s="98" t="s">
        <v>7247</v>
      </c>
      <c r="H4" s="98" t="s">
        <v>7250</v>
      </c>
      <c r="I4" s="98" t="s">
        <v>8025</v>
      </c>
      <c r="J4" s="92"/>
      <c r="K4" s="92"/>
      <c r="L4" s="92"/>
      <c r="M4" s="92"/>
      <c r="N4" s="92"/>
      <c r="O4" s="92"/>
      <c r="P4" s="92"/>
      <c r="Q4" s="92"/>
      <c r="R4" s="92"/>
      <c r="S4" s="92"/>
      <c r="T4" s="92"/>
      <c r="U4" s="92"/>
    </row>
    <row r="5" spans="1:21" s="80" customFormat="1" x14ac:dyDescent="0.2">
      <c r="A5" s="92" t="s">
        <v>7079</v>
      </c>
      <c r="B5" s="98" t="s">
        <v>8026</v>
      </c>
      <c r="C5" s="98" t="s">
        <v>7267</v>
      </c>
      <c r="D5" s="98" t="s">
        <v>8027</v>
      </c>
      <c r="E5" s="98" t="s">
        <v>8028</v>
      </c>
      <c r="F5" s="98" t="s">
        <v>8029</v>
      </c>
      <c r="G5" s="98" t="s">
        <v>8030</v>
      </c>
      <c r="H5" s="98" t="s">
        <v>8031</v>
      </c>
      <c r="I5" s="98" t="s">
        <v>7287</v>
      </c>
      <c r="J5" s="98" t="s">
        <v>8032</v>
      </c>
      <c r="K5" s="98" t="s">
        <v>8033</v>
      </c>
      <c r="L5" s="92"/>
      <c r="M5" s="92"/>
      <c r="N5" s="92"/>
      <c r="O5" s="92"/>
      <c r="P5" s="92"/>
      <c r="Q5" s="92"/>
      <c r="R5" s="92"/>
      <c r="S5" s="92"/>
      <c r="T5" s="92"/>
      <c r="U5" s="92"/>
    </row>
    <row r="6" spans="1:21" s="80" customFormat="1" x14ac:dyDescent="0.2">
      <c r="A6" s="92" t="s">
        <v>7085</v>
      </c>
      <c r="B6" s="98" t="s">
        <v>7301</v>
      </c>
      <c r="C6" s="98" t="s">
        <v>7304</v>
      </c>
      <c r="D6" s="98" t="s">
        <v>8034</v>
      </c>
      <c r="E6" s="98" t="s">
        <v>7310</v>
      </c>
      <c r="F6" s="98" t="s">
        <v>7311</v>
      </c>
      <c r="G6" s="98" t="s">
        <v>7314</v>
      </c>
      <c r="H6" s="98" t="s">
        <v>7316</v>
      </c>
      <c r="I6" s="98" t="s">
        <v>7319</v>
      </c>
      <c r="J6" s="98" t="s">
        <v>7321</v>
      </c>
      <c r="K6" s="98" t="s">
        <v>8035</v>
      </c>
      <c r="L6" s="98" t="s">
        <v>7326</v>
      </c>
      <c r="M6" s="92"/>
      <c r="N6" s="92"/>
      <c r="O6" s="92"/>
      <c r="P6" s="92"/>
      <c r="Q6" s="92"/>
      <c r="R6" s="92"/>
      <c r="S6" s="92"/>
      <c r="T6" s="92"/>
      <c r="U6" s="92"/>
    </row>
    <row r="7" spans="1:21" s="80" customFormat="1" x14ac:dyDescent="0.2">
      <c r="A7" s="92" t="s">
        <v>7091</v>
      </c>
      <c r="B7" s="98" t="s">
        <v>8036</v>
      </c>
      <c r="C7" s="98" t="s">
        <v>7333</v>
      </c>
      <c r="D7" s="98" t="s">
        <v>8037</v>
      </c>
      <c r="E7" s="98" t="s">
        <v>8038</v>
      </c>
      <c r="F7" s="98" t="s">
        <v>7338</v>
      </c>
      <c r="G7" s="98" t="s">
        <v>7340</v>
      </c>
      <c r="H7" s="98" t="s">
        <v>7341</v>
      </c>
      <c r="I7" s="98" t="s">
        <v>8039</v>
      </c>
      <c r="J7" s="98" t="s">
        <v>7345</v>
      </c>
      <c r="K7" s="98" t="s">
        <v>7347</v>
      </c>
      <c r="L7" s="98" t="s">
        <v>7348</v>
      </c>
      <c r="M7" s="92"/>
      <c r="N7" s="92"/>
      <c r="O7" s="92"/>
      <c r="P7" s="92"/>
      <c r="Q7" s="92"/>
      <c r="R7" s="92"/>
      <c r="S7" s="92"/>
      <c r="T7" s="92"/>
      <c r="U7" s="92"/>
    </row>
    <row r="8" spans="1:21" s="80" customFormat="1" x14ac:dyDescent="0.2">
      <c r="A8" s="92" t="s">
        <v>7097</v>
      </c>
      <c r="B8" s="98" t="s">
        <v>8040</v>
      </c>
      <c r="C8" s="98" t="s">
        <v>7355</v>
      </c>
      <c r="D8" s="98" t="s">
        <v>7357</v>
      </c>
      <c r="E8" s="98" t="s">
        <v>7358</v>
      </c>
      <c r="F8" s="98" t="s">
        <v>7360</v>
      </c>
      <c r="G8" s="98" t="s">
        <v>8041</v>
      </c>
      <c r="H8" s="92"/>
      <c r="I8" s="92"/>
      <c r="J8" s="92"/>
      <c r="K8" s="92"/>
      <c r="L8" s="92"/>
      <c r="M8" s="92"/>
      <c r="N8" s="92"/>
      <c r="O8" s="92"/>
      <c r="P8" s="92"/>
      <c r="Q8" s="92"/>
      <c r="R8" s="92"/>
      <c r="S8" s="92"/>
      <c r="T8" s="92"/>
      <c r="U8" s="92"/>
    </row>
    <row r="10" spans="1:21" ht="15" x14ac:dyDescent="0.25">
      <c r="A10" s="498" t="s">
        <v>7061</v>
      </c>
      <c r="B10" s="499"/>
      <c r="C10" s="499"/>
      <c r="D10" s="499"/>
      <c r="E10" s="499"/>
      <c r="F10" s="499"/>
      <c r="G10" s="499"/>
      <c r="H10" s="499"/>
      <c r="I10" s="499"/>
      <c r="J10" s="499"/>
      <c r="K10" s="499"/>
      <c r="L10" s="499"/>
      <c r="M10" s="499"/>
      <c r="N10" s="499"/>
      <c r="O10" s="499"/>
      <c r="P10" s="499"/>
      <c r="Q10" s="499"/>
      <c r="R10" s="499"/>
      <c r="S10" s="499"/>
      <c r="T10" s="499"/>
      <c r="U10" s="499"/>
    </row>
    <row r="12" spans="1:21" s="79" customFormat="1" ht="25.5" x14ac:dyDescent="0.2">
      <c r="A12" s="96" t="s">
        <v>8002</v>
      </c>
      <c r="B12" s="96" t="s">
        <v>7128</v>
      </c>
      <c r="C12" s="96" t="s">
        <v>7143</v>
      </c>
      <c r="D12" s="96" t="s">
        <v>7198</v>
      </c>
      <c r="E12" s="96" t="s">
        <v>7233</v>
      </c>
      <c r="F12" s="96" t="s">
        <v>8042</v>
      </c>
      <c r="G12" s="96" t="s">
        <v>7102</v>
      </c>
      <c r="H12" s="96" t="s">
        <v>7106</v>
      </c>
      <c r="I12" s="96" t="s">
        <v>7110</v>
      </c>
      <c r="J12" s="96" t="s">
        <v>7114</v>
      </c>
      <c r="K12" s="97" t="s">
        <v>7118</v>
      </c>
      <c r="L12" s="96" t="s">
        <v>7122</v>
      </c>
      <c r="M12" s="96" t="s">
        <v>7125</v>
      </c>
      <c r="N12" s="96" t="s">
        <v>7129</v>
      </c>
      <c r="O12" s="96" t="s">
        <v>7133</v>
      </c>
      <c r="P12" s="96" t="s">
        <v>7137</v>
      </c>
      <c r="Q12" s="96" t="s">
        <v>7140</v>
      </c>
      <c r="R12" s="96" t="s">
        <v>7144</v>
      </c>
      <c r="S12" s="96" t="s">
        <v>7148</v>
      </c>
      <c r="T12" s="96" t="s">
        <v>7153</v>
      </c>
    </row>
    <row r="13" spans="1:21" s="80" customFormat="1" x14ac:dyDescent="0.2">
      <c r="A13" s="95" t="s">
        <v>7072</v>
      </c>
      <c r="B13" s="95" t="s">
        <v>7132</v>
      </c>
      <c r="C13" s="95" t="s">
        <v>7147</v>
      </c>
      <c r="D13" s="95" t="s">
        <v>7201</v>
      </c>
      <c r="E13" s="95" t="s">
        <v>7237</v>
      </c>
      <c r="F13" s="95" t="s">
        <v>7249</v>
      </c>
      <c r="G13" s="95" t="s">
        <v>7272</v>
      </c>
      <c r="H13" s="95" t="s">
        <v>7292</v>
      </c>
      <c r="I13" s="95" t="s">
        <v>7313</v>
      </c>
      <c r="J13" s="95" t="s">
        <v>7328</v>
      </c>
      <c r="K13" s="95" t="s">
        <v>7339</v>
      </c>
      <c r="L13" s="95" t="s">
        <v>7349</v>
      </c>
      <c r="M13" s="95" t="s">
        <v>7359</v>
      </c>
      <c r="N13" s="95" t="s">
        <v>7370</v>
      </c>
      <c r="O13" s="95" t="s">
        <v>7381</v>
      </c>
      <c r="P13" s="95" t="s">
        <v>7398</v>
      </c>
      <c r="Q13" s="95" t="s">
        <v>7411</v>
      </c>
      <c r="R13" s="95" t="s">
        <v>7416</v>
      </c>
      <c r="S13" s="95" t="s">
        <v>7420</v>
      </c>
      <c r="T13" s="95" t="s">
        <v>7398</v>
      </c>
    </row>
    <row r="14" spans="1:21" s="80" customFormat="1" x14ac:dyDescent="0.2">
      <c r="A14" s="95" t="s">
        <v>7078</v>
      </c>
      <c r="B14" s="95" t="s">
        <v>7136</v>
      </c>
      <c r="C14" s="95" t="s">
        <v>7152</v>
      </c>
      <c r="D14" s="95" t="s">
        <v>7206</v>
      </c>
      <c r="E14" s="95" t="s">
        <v>7241</v>
      </c>
      <c r="F14" s="95" t="s">
        <v>7253</v>
      </c>
      <c r="G14" s="95" t="s">
        <v>7275</v>
      </c>
      <c r="H14" s="95" t="s">
        <v>7295</v>
      </c>
      <c r="I14" s="95" t="s">
        <v>7315</v>
      </c>
      <c r="J14" s="95" t="s">
        <v>7331</v>
      </c>
      <c r="K14" s="95" t="s">
        <v>7136</v>
      </c>
      <c r="L14" s="95" t="s">
        <v>7350</v>
      </c>
      <c r="M14" s="95" t="s">
        <v>7361</v>
      </c>
      <c r="N14" s="95" t="s">
        <v>7372</v>
      </c>
      <c r="O14" s="95" t="s">
        <v>7385</v>
      </c>
      <c r="P14" s="95" t="s">
        <v>7381</v>
      </c>
      <c r="Q14" s="95" t="s">
        <v>7414</v>
      </c>
      <c r="R14" s="95" t="s">
        <v>7417</v>
      </c>
      <c r="S14" s="95" t="s">
        <v>7421</v>
      </c>
      <c r="T14" s="95" t="s">
        <v>7430</v>
      </c>
    </row>
    <row r="15" spans="1:21" s="80" customFormat="1" x14ac:dyDescent="0.2">
      <c r="A15" s="95" t="s">
        <v>7084</v>
      </c>
      <c r="C15" s="95" t="s">
        <v>7156</v>
      </c>
      <c r="D15" s="95" t="s">
        <v>7209</v>
      </c>
      <c r="F15" s="95" t="s">
        <v>7257</v>
      </c>
      <c r="G15" s="95" t="s">
        <v>7279</v>
      </c>
      <c r="H15" s="95" t="s">
        <v>7297</v>
      </c>
      <c r="I15" s="95" t="s">
        <v>7318</v>
      </c>
      <c r="J15" s="95" t="s">
        <v>7132</v>
      </c>
      <c r="K15" s="95" t="s">
        <v>7342</v>
      </c>
      <c r="L15" s="95" t="s">
        <v>7352</v>
      </c>
      <c r="M15" s="95" t="s">
        <v>7363</v>
      </c>
      <c r="N15" s="95" t="s">
        <v>7375</v>
      </c>
      <c r="O15" s="95" t="s">
        <v>7389</v>
      </c>
      <c r="P15" s="95" t="s">
        <v>7403</v>
      </c>
      <c r="Q15" s="95" t="s">
        <v>7415</v>
      </c>
      <c r="R15" s="95" t="s">
        <v>7418</v>
      </c>
      <c r="S15" s="95" t="s">
        <v>7422</v>
      </c>
      <c r="T15" s="95" t="s">
        <v>7431</v>
      </c>
    </row>
    <row r="16" spans="1:21" s="80" customFormat="1" x14ac:dyDescent="0.2">
      <c r="A16" s="95" t="s">
        <v>7090</v>
      </c>
      <c r="C16" s="95" t="s">
        <v>7132</v>
      </c>
      <c r="D16" s="95" t="s">
        <v>7136</v>
      </c>
      <c r="F16" s="95" t="s">
        <v>7260</v>
      </c>
      <c r="G16" s="95" t="s">
        <v>7282</v>
      </c>
      <c r="H16" s="95" t="s">
        <v>7300</v>
      </c>
      <c r="I16" s="95" t="s">
        <v>7105</v>
      </c>
      <c r="J16" s="95" t="s">
        <v>7334</v>
      </c>
      <c r="K16" s="95" t="s">
        <v>7344</v>
      </c>
      <c r="L16" s="95" t="s">
        <v>7354</v>
      </c>
      <c r="M16" s="95" t="s">
        <v>7364</v>
      </c>
      <c r="O16" s="95" t="s">
        <v>7136</v>
      </c>
      <c r="P16" s="95" t="s">
        <v>7406</v>
      </c>
      <c r="R16" s="95" t="s">
        <v>7419</v>
      </c>
      <c r="S16" s="95" t="s">
        <v>7423</v>
      </c>
      <c r="T16" s="95" t="s">
        <v>7339</v>
      </c>
    </row>
    <row r="17" spans="1:21" s="80" customFormat="1" x14ac:dyDescent="0.2">
      <c r="A17" s="95" t="s">
        <v>7096</v>
      </c>
      <c r="C17" s="95" t="s">
        <v>7164</v>
      </c>
      <c r="D17" s="95" t="s">
        <v>7217</v>
      </c>
      <c r="F17" s="95" t="s">
        <v>7263</v>
      </c>
      <c r="G17" s="95" t="s">
        <v>7286</v>
      </c>
      <c r="H17" s="95" t="s">
        <v>7303</v>
      </c>
      <c r="I17" s="95" t="s">
        <v>7322</v>
      </c>
      <c r="J17" s="95" t="s">
        <v>7336</v>
      </c>
      <c r="K17" s="95" t="s">
        <v>7346</v>
      </c>
      <c r="L17" s="95" t="s">
        <v>7356</v>
      </c>
      <c r="M17" s="95" t="s">
        <v>7366</v>
      </c>
      <c r="S17" s="95" t="s">
        <v>7381</v>
      </c>
      <c r="T17" s="95" t="s">
        <v>7432</v>
      </c>
    </row>
    <row r="18" spans="1:21" s="80" customFormat="1" x14ac:dyDescent="0.2">
      <c r="A18" s="95" t="s">
        <v>7101</v>
      </c>
      <c r="C18" s="95" t="s">
        <v>7168</v>
      </c>
      <c r="D18" s="95" t="s">
        <v>7222</v>
      </c>
      <c r="F18" s="95" t="s">
        <v>7266</v>
      </c>
      <c r="H18" s="95" t="s">
        <v>7306</v>
      </c>
      <c r="I18" s="95" t="s">
        <v>7325</v>
      </c>
      <c r="S18" s="95" t="s">
        <v>7424</v>
      </c>
      <c r="T18" s="95" t="s">
        <v>7132</v>
      </c>
    </row>
    <row r="19" spans="1:21" s="80" customFormat="1" x14ac:dyDescent="0.2">
      <c r="A19" s="95" t="s">
        <v>7105</v>
      </c>
      <c r="C19" s="95" t="s">
        <v>7171</v>
      </c>
      <c r="D19" s="95" t="s">
        <v>7132</v>
      </c>
      <c r="H19" s="95" t="s">
        <v>7309</v>
      </c>
      <c r="S19" s="95" t="s">
        <v>7425</v>
      </c>
    </row>
    <row r="20" spans="1:21" s="80" customFormat="1" x14ac:dyDescent="0.2">
      <c r="A20" s="95" t="s">
        <v>7109</v>
      </c>
      <c r="C20" s="95" t="s">
        <v>7176</v>
      </c>
      <c r="D20" s="95" t="s">
        <v>7227</v>
      </c>
      <c r="S20" s="95" t="s">
        <v>7426</v>
      </c>
    </row>
    <row r="21" spans="1:21" s="80" customFormat="1" x14ac:dyDescent="0.2">
      <c r="A21" s="95" t="s">
        <v>7113</v>
      </c>
      <c r="C21" s="95" t="s">
        <v>7179</v>
      </c>
      <c r="S21" s="95" t="s">
        <v>7427</v>
      </c>
    </row>
    <row r="22" spans="1:21" s="80" customFormat="1" x14ac:dyDescent="0.2">
      <c r="A22" s="95" t="s">
        <v>7117</v>
      </c>
      <c r="C22" s="95" t="s">
        <v>7184</v>
      </c>
      <c r="S22" s="95" t="s">
        <v>7428</v>
      </c>
    </row>
    <row r="23" spans="1:21" s="80" customFormat="1" x14ac:dyDescent="0.2">
      <c r="A23" s="95" t="s">
        <v>7121</v>
      </c>
      <c r="C23" s="95" t="s">
        <v>7189</v>
      </c>
      <c r="S23" s="95" t="s">
        <v>7429</v>
      </c>
    </row>
    <row r="24" spans="1:21" s="80" customFormat="1" x14ac:dyDescent="0.2"/>
    <row r="25" spans="1:21" s="80" customFormat="1" ht="15" x14ac:dyDescent="0.25">
      <c r="A25" s="498" t="s">
        <v>7068</v>
      </c>
      <c r="B25" s="499"/>
      <c r="C25" s="499"/>
      <c r="D25" s="499"/>
      <c r="E25" s="499"/>
      <c r="F25" s="499"/>
      <c r="G25" s="499"/>
      <c r="H25" s="499"/>
      <c r="I25" s="499"/>
      <c r="J25" s="499"/>
      <c r="K25" s="499"/>
      <c r="L25" s="499"/>
      <c r="M25" s="499"/>
      <c r="N25" s="499"/>
      <c r="O25" s="499"/>
      <c r="P25" s="499"/>
      <c r="Q25" s="499"/>
      <c r="R25" s="499"/>
      <c r="S25" s="499"/>
      <c r="T25" s="499"/>
      <c r="U25" s="499"/>
    </row>
    <row r="26" spans="1:21" s="80" customFormat="1" x14ac:dyDescent="0.2"/>
    <row r="27" spans="1:21" x14ac:dyDescent="0.2">
      <c r="A27" s="94" t="s">
        <v>7068</v>
      </c>
      <c r="B27" s="94" t="s">
        <v>7169</v>
      </c>
      <c r="C27" s="94" t="s">
        <v>7172</v>
      </c>
      <c r="D27" s="94" t="s">
        <v>7177</v>
      </c>
      <c r="E27" s="94" t="s">
        <v>7180</v>
      </c>
      <c r="F27" s="94" t="s">
        <v>7185</v>
      </c>
      <c r="G27" s="94" t="s">
        <v>7190</v>
      </c>
      <c r="H27" s="94" t="s">
        <v>7194</v>
      </c>
      <c r="I27" s="94" t="s">
        <v>7199</v>
      </c>
      <c r="J27" s="94" t="s">
        <v>7202</v>
      </c>
      <c r="K27" s="94" t="s">
        <v>7207</v>
      </c>
      <c r="L27" s="94" t="s">
        <v>7210</v>
      </c>
      <c r="M27" s="94" t="s">
        <v>7214</v>
      </c>
      <c r="N27" s="94" t="s">
        <v>7218</v>
      </c>
      <c r="O27" s="94" t="s">
        <v>7223</v>
      </c>
    </row>
    <row r="28" spans="1:21" x14ac:dyDescent="0.2">
      <c r="A28" s="95" t="s">
        <v>7160</v>
      </c>
      <c r="B28" s="95" t="s">
        <v>7478</v>
      </c>
      <c r="C28" s="95" t="s">
        <v>7510</v>
      </c>
      <c r="D28" s="95" t="s">
        <v>7525</v>
      </c>
      <c r="E28" s="95" t="s">
        <v>7532</v>
      </c>
      <c r="F28" s="95" t="s">
        <v>7544</v>
      </c>
      <c r="G28" s="95" t="s">
        <v>7557</v>
      </c>
      <c r="H28" s="95" t="s">
        <v>7381</v>
      </c>
      <c r="I28" s="95" t="s">
        <v>7581</v>
      </c>
      <c r="J28" s="95" t="s">
        <v>7592</v>
      </c>
      <c r="K28" s="95" t="s">
        <v>7621</v>
      </c>
      <c r="L28" s="95" t="s">
        <v>7635</v>
      </c>
      <c r="M28" s="95" t="s">
        <v>7648</v>
      </c>
      <c r="N28" s="95" t="s">
        <v>7664</v>
      </c>
      <c r="O28" s="95" t="s">
        <v>7136</v>
      </c>
    </row>
    <row r="29" spans="1:21" x14ac:dyDescent="0.2">
      <c r="A29" s="95" t="s">
        <v>7063</v>
      </c>
      <c r="B29" s="95" t="s">
        <v>7198</v>
      </c>
      <c r="C29" s="95" t="s">
        <v>7339</v>
      </c>
      <c r="D29" s="95" t="s">
        <v>7527</v>
      </c>
      <c r="E29" s="95" t="s">
        <v>7534</v>
      </c>
      <c r="F29" s="95" t="s">
        <v>7147</v>
      </c>
      <c r="G29" s="95" t="s">
        <v>7559</v>
      </c>
      <c r="H29" s="95" t="s">
        <v>7359</v>
      </c>
      <c r="I29" s="95" t="s">
        <v>7583</v>
      </c>
      <c r="J29" s="95" t="s">
        <v>7595</v>
      </c>
      <c r="K29" s="95" t="s">
        <v>7623</v>
      </c>
      <c r="L29" s="95" t="s">
        <v>7638</v>
      </c>
      <c r="M29" s="95" t="s">
        <v>7651</v>
      </c>
      <c r="N29" s="95" t="s">
        <v>7666</v>
      </c>
      <c r="O29" s="95" t="s">
        <v>7597</v>
      </c>
    </row>
    <row r="30" spans="1:21" x14ac:dyDescent="0.2">
      <c r="A30" s="95" t="s">
        <v>7433</v>
      </c>
      <c r="B30" s="95" t="s">
        <v>7359</v>
      </c>
      <c r="C30" s="95" t="s">
        <v>7063</v>
      </c>
      <c r="D30" s="95" t="s">
        <v>7529</v>
      </c>
      <c r="E30" s="95" t="s">
        <v>7389</v>
      </c>
      <c r="F30" s="95" t="s">
        <v>7063</v>
      </c>
      <c r="G30" s="95" t="s">
        <v>7561</v>
      </c>
      <c r="H30" s="95" t="s">
        <v>7136</v>
      </c>
      <c r="I30" s="95" t="s">
        <v>7585</v>
      </c>
      <c r="J30" s="95" t="s">
        <v>7597</v>
      </c>
      <c r="K30" s="95" t="s">
        <v>7626</v>
      </c>
      <c r="L30" s="95" t="s">
        <v>7640</v>
      </c>
      <c r="M30" s="95" t="s">
        <v>7653</v>
      </c>
      <c r="N30" s="95" t="s">
        <v>7668</v>
      </c>
      <c r="O30" s="95" t="s">
        <v>7676</v>
      </c>
    </row>
    <row r="31" spans="1:21" x14ac:dyDescent="0.2">
      <c r="A31" s="95" t="s">
        <v>7132</v>
      </c>
      <c r="B31" s="95" t="s">
        <v>7488</v>
      </c>
      <c r="C31" s="95" t="s">
        <v>7514</v>
      </c>
      <c r="D31" s="80"/>
      <c r="E31" s="95" t="s">
        <v>7339</v>
      </c>
      <c r="F31" s="95" t="s">
        <v>7549</v>
      </c>
      <c r="G31" s="95" t="s">
        <v>7198</v>
      </c>
      <c r="H31" s="95" t="s">
        <v>7576</v>
      </c>
      <c r="I31" s="95" t="s">
        <v>7587</v>
      </c>
      <c r="J31" s="95" t="s">
        <v>7599</v>
      </c>
      <c r="K31" s="95" t="s">
        <v>7292</v>
      </c>
      <c r="L31" s="95" t="s">
        <v>7381</v>
      </c>
      <c r="M31" s="95" t="s">
        <v>7655</v>
      </c>
      <c r="N31" s="95" t="s">
        <v>7670</v>
      </c>
      <c r="O31" s="80"/>
    </row>
    <row r="32" spans="1:21" x14ac:dyDescent="0.2">
      <c r="A32" s="95" t="s">
        <v>7440</v>
      </c>
      <c r="B32" s="95" t="s">
        <v>7492</v>
      </c>
      <c r="C32" s="95" t="s">
        <v>7516</v>
      </c>
      <c r="D32" s="80"/>
      <c r="E32" s="95" t="s">
        <v>7334</v>
      </c>
      <c r="F32" s="95" t="s">
        <v>7372</v>
      </c>
      <c r="G32" s="95" t="s">
        <v>7564</v>
      </c>
      <c r="H32" s="95" t="s">
        <v>7578</v>
      </c>
      <c r="I32" s="95" t="s">
        <v>7589</v>
      </c>
      <c r="J32" s="95" t="s">
        <v>7601</v>
      </c>
      <c r="K32" s="95" t="s">
        <v>7629</v>
      </c>
      <c r="L32" s="95" t="s">
        <v>7644</v>
      </c>
      <c r="M32" s="95" t="s">
        <v>7657</v>
      </c>
      <c r="N32" s="80"/>
      <c r="O32" s="80"/>
    </row>
    <row r="33" spans="1:21" x14ac:dyDescent="0.2">
      <c r="A33" s="95" t="s">
        <v>7339</v>
      </c>
      <c r="B33" s="95" t="s">
        <v>7136</v>
      </c>
      <c r="C33" s="95" t="s">
        <v>7518</v>
      </c>
      <c r="D33" s="80"/>
      <c r="E33" s="95" t="s">
        <v>7063</v>
      </c>
      <c r="F33" s="95" t="s">
        <v>7359</v>
      </c>
      <c r="G33" s="95" t="s">
        <v>7566</v>
      </c>
      <c r="H33" s="80"/>
      <c r="I33" s="80"/>
      <c r="J33" s="95" t="s">
        <v>7603</v>
      </c>
      <c r="K33" s="95" t="s">
        <v>7096</v>
      </c>
      <c r="L33" s="80"/>
      <c r="M33" s="95" t="s">
        <v>7659</v>
      </c>
      <c r="N33" s="80"/>
      <c r="O33" s="80"/>
    </row>
    <row r="34" spans="1:21" x14ac:dyDescent="0.2">
      <c r="A34" s="95" t="s">
        <v>7385</v>
      </c>
      <c r="B34" s="95" t="s">
        <v>7339</v>
      </c>
      <c r="C34" s="95" t="s">
        <v>7520</v>
      </c>
      <c r="D34" s="80"/>
      <c r="E34" s="95" t="s">
        <v>7541</v>
      </c>
      <c r="F34" s="95" t="s">
        <v>7176</v>
      </c>
      <c r="G34" s="95" t="s">
        <v>7569</v>
      </c>
      <c r="H34" s="80"/>
      <c r="I34" s="80"/>
      <c r="J34" s="95" t="s">
        <v>7605</v>
      </c>
      <c r="K34" s="95" t="s">
        <v>7632</v>
      </c>
      <c r="L34" s="80"/>
      <c r="M34" s="95" t="s">
        <v>7661</v>
      </c>
      <c r="N34" s="80"/>
      <c r="O34" s="80"/>
    </row>
    <row r="35" spans="1:21" x14ac:dyDescent="0.2">
      <c r="A35" s="95" t="s">
        <v>7136</v>
      </c>
      <c r="B35" s="95" t="s">
        <v>7498</v>
      </c>
      <c r="C35" s="95" t="s">
        <v>7522</v>
      </c>
      <c r="D35" s="80"/>
      <c r="E35" s="80"/>
      <c r="F35" s="80"/>
      <c r="G35" s="80"/>
      <c r="H35" s="80"/>
      <c r="I35" s="80"/>
      <c r="J35" s="95" t="s">
        <v>7607</v>
      </c>
      <c r="K35" s="80"/>
      <c r="L35" s="80"/>
      <c r="M35" s="80"/>
      <c r="N35" s="80"/>
      <c r="O35" s="80"/>
    </row>
    <row r="36" spans="1:21" x14ac:dyDescent="0.2">
      <c r="A36" s="95" t="s">
        <v>7453</v>
      </c>
      <c r="B36" s="95" t="s">
        <v>7500</v>
      </c>
      <c r="C36" s="80"/>
      <c r="D36" s="80"/>
      <c r="E36" s="80"/>
      <c r="F36" s="80"/>
      <c r="G36" s="80"/>
      <c r="H36" s="80"/>
      <c r="I36" s="80"/>
      <c r="J36" s="95" t="s">
        <v>7609</v>
      </c>
      <c r="K36" s="80"/>
      <c r="L36" s="80"/>
      <c r="M36" s="80"/>
      <c r="N36" s="80"/>
      <c r="O36" s="80"/>
    </row>
    <row r="37" spans="1:21" x14ac:dyDescent="0.2">
      <c r="A37" s="95" t="s">
        <v>7143</v>
      </c>
      <c r="B37" s="95" t="s">
        <v>7502</v>
      </c>
      <c r="C37" s="80"/>
      <c r="D37" s="80"/>
      <c r="E37" s="80"/>
      <c r="F37" s="80"/>
      <c r="G37" s="80"/>
      <c r="H37" s="80"/>
      <c r="I37" s="80"/>
      <c r="J37" s="95" t="s">
        <v>7612</v>
      </c>
      <c r="K37" s="80"/>
      <c r="L37" s="80"/>
      <c r="M37" s="80"/>
      <c r="N37" s="80"/>
      <c r="O37" s="80"/>
    </row>
    <row r="38" spans="1:21" x14ac:dyDescent="0.2">
      <c r="A38" s="95" t="s">
        <v>7460</v>
      </c>
      <c r="B38" s="95" t="s">
        <v>7334</v>
      </c>
      <c r="C38" s="80"/>
      <c r="D38" s="80"/>
      <c r="E38" s="80"/>
      <c r="F38" s="80"/>
      <c r="G38" s="80"/>
      <c r="H38" s="80"/>
      <c r="I38" s="80"/>
      <c r="J38" s="95" t="s">
        <v>7615</v>
      </c>
      <c r="K38" s="80"/>
      <c r="L38" s="80"/>
      <c r="M38" s="80"/>
      <c r="N38" s="80"/>
      <c r="O38" s="80"/>
    </row>
    <row r="39" spans="1:21" x14ac:dyDescent="0.2">
      <c r="A39" s="95" t="s">
        <v>7464</v>
      </c>
      <c r="B39" s="95" t="s">
        <v>7505</v>
      </c>
      <c r="C39" s="80"/>
      <c r="D39" s="80"/>
      <c r="E39" s="80"/>
      <c r="F39" s="80"/>
      <c r="G39" s="80"/>
      <c r="H39" s="80"/>
      <c r="I39" s="80"/>
      <c r="J39" s="95" t="s">
        <v>7263</v>
      </c>
      <c r="K39" s="80"/>
      <c r="L39" s="80"/>
      <c r="M39" s="80"/>
      <c r="N39" s="80"/>
      <c r="O39" s="80"/>
    </row>
    <row r="40" spans="1:21" x14ac:dyDescent="0.2">
      <c r="A40" s="95" t="s">
        <v>7468</v>
      </c>
      <c r="B40" s="95" t="s">
        <v>7507</v>
      </c>
      <c r="C40" s="80"/>
      <c r="D40" s="80"/>
      <c r="E40" s="80"/>
      <c r="F40" s="80"/>
      <c r="G40" s="80"/>
      <c r="H40" s="80"/>
      <c r="I40" s="80"/>
      <c r="J40" s="95" t="s">
        <v>7618</v>
      </c>
      <c r="K40" s="80"/>
      <c r="L40" s="80"/>
      <c r="M40" s="80"/>
      <c r="N40" s="80"/>
      <c r="O40" s="80"/>
    </row>
    <row r="41" spans="1:21" x14ac:dyDescent="0.2">
      <c r="A41" s="95" t="s">
        <v>7471</v>
      </c>
      <c r="B41" s="80"/>
      <c r="C41" s="80"/>
      <c r="D41" s="80"/>
      <c r="E41" s="80"/>
      <c r="F41" s="80"/>
      <c r="G41" s="80"/>
      <c r="H41" s="80"/>
      <c r="I41" s="80"/>
      <c r="J41" s="80"/>
      <c r="K41" s="80"/>
      <c r="L41" s="80"/>
      <c r="M41" s="80"/>
      <c r="N41" s="80"/>
      <c r="O41" s="80"/>
    </row>
    <row r="42" spans="1:21" x14ac:dyDescent="0.2">
      <c r="A42" s="80"/>
      <c r="B42" s="80"/>
      <c r="C42" s="80"/>
      <c r="D42" s="80"/>
      <c r="E42" s="80"/>
      <c r="F42" s="80"/>
      <c r="G42" s="80"/>
      <c r="H42" s="80"/>
      <c r="I42" s="80"/>
      <c r="J42" s="80"/>
      <c r="K42" s="80"/>
      <c r="L42" s="80"/>
      <c r="M42" s="80"/>
      <c r="N42" s="80"/>
      <c r="O42" s="80"/>
    </row>
    <row r="43" spans="1:21" ht="15" x14ac:dyDescent="0.25">
      <c r="A43" s="498" t="s">
        <v>7073</v>
      </c>
      <c r="B43" s="499"/>
      <c r="C43" s="499"/>
      <c r="D43" s="499"/>
      <c r="E43" s="499"/>
      <c r="F43" s="499"/>
      <c r="G43" s="499"/>
      <c r="H43" s="499"/>
      <c r="I43" s="499"/>
      <c r="J43" s="499"/>
      <c r="K43" s="499"/>
      <c r="L43" s="499"/>
      <c r="M43" s="499"/>
      <c r="N43" s="499"/>
      <c r="O43" s="499"/>
      <c r="P43" s="499"/>
      <c r="Q43" s="499"/>
      <c r="R43" s="499"/>
      <c r="S43" s="499"/>
      <c r="T43" s="499"/>
      <c r="U43" s="499"/>
    </row>
    <row r="44" spans="1:21" x14ac:dyDescent="0.2">
      <c r="A44" s="80"/>
      <c r="B44" s="80"/>
      <c r="C44" s="80"/>
      <c r="D44" s="80"/>
      <c r="E44" s="80"/>
      <c r="F44" s="80"/>
      <c r="G44" s="80"/>
      <c r="H44" s="80"/>
      <c r="I44" s="80"/>
      <c r="J44" s="80"/>
      <c r="K44" s="80"/>
      <c r="L44" s="80"/>
      <c r="M44" s="80"/>
      <c r="N44" s="80"/>
      <c r="O44" s="80"/>
    </row>
    <row r="45" spans="1:21" s="80" customFormat="1" x14ac:dyDescent="0.2">
      <c r="A45" s="94" t="s">
        <v>7073</v>
      </c>
      <c r="B45" s="94" t="s">
        <v>7234</v>
      </c>
      <c r="C45" s="94" t="s">
        <v>7238</v>
      </c>
      <c r="D45" s="94" t="s">
        <v>7242</v>
      </c>
      <c r="E45" s="94" t="s">
        <v>7245</v>
      </c>
      <c r="F45" s="94" t="s">
        <v>7247</v>
      </c>
      <c r="G45" s="94" t="s">
        <v>7250</v>
      </c>
      <c r="H45" s="94" t="s">
        <v>7254</v>
      </c>
    </row>
    <row r="46" spans="1:21" s="80" customFormat="1" x14ac:dyDescent="0.2">
      <c r="A46" s="95" t="s">
        <v>7682</v>
      </c>
      <c r="B46" s="95" t="s">
        <v>7710</v>
      </c>
      <c r="C46" s="95" t="s">
        <v>7721</v>
      </c>
      <c r="D46" s="95" t="s">
        <v>7735</v>
      </c>
      <c r="E46" s="95" t="s">
        <v>7744</v>
      </c>
      <c r="F46" s="95" t="s">
        <v>7756</v>
      </c>
      <c r="G46" s="95" t="s">
        <v>7136</v>
      </c>
      <c r="H46" s="95" t="s">
        <v>7762</v>
      </c>
    </row>
    <row r="47" spans="1:21" s="80" customFormat="1" x14ac:dyDescent="0.2">
      <c r="A47" s="95" t="s">
        <v>7685</v>
      </c>
      <c r="B47" s="95" t="s">
        <v>7198</v>
      </c>
      <c r="C47" s="95" t="s">
        <v>7723</v>
      </c>
      <c r="D47" s="95" t="s">
        <v>7738</v>
      </c>
      <c r="E47" s="95" t="s">
        <v>7747</v>
      </c>
      <c r="F47" s="95" t="s">
        <v>7757</v>
      </c>
      <c r="G47" s="95" t="s">
        <v>7759</v>
      </c>
      <c r="H47" s="95" t="s">
        <v>7339</v>
      </c>
    </row>
    <row r="48" spans="1:21" s="80" customFormat="1" x14ac:dyDescent="0.2">
      <c r="A48" s="95" t="s">
        <v>7687</v>
      </c>
      <c r="B48" s="95" t="s">
        <v>7713</v>
      </c>
      <c r="C48" s="95" t="s">
        <v>7359</v>
      </c>
      <c r="D48" s="95" t="s">
        <v>7425</v>
      </c>
      <c r="E48" s="95" t="s">
        <v>7748</v>
      </c>
      <c r="F48" s="95" t="s">
        <v>7758</v>
      </c>
      <c r="G48" s="95" t="s">
        <v>7760</v>
      </c>
      <c r="H48" s="95" t="s">
        <v>7763</v>
      </c>
    </row>
    <row r="49" spans="1:21" s="80" customFormat="1" x14ac:dyDescent="0.2">
      <c r="A49" s="95" t="s">
        <v>7690</v>
      </c>
      <c r="B49" s="95" t="s">
        <v>7716</v>
      </c>
      <c r="C49" s="95" t="s">
        <v>7136</v>
      </c>
      <c r="E49" s="95" t="s">
        <v>7432</v>
      </c>
      <c r="G49" s="95" t="s">
        <v>7761</v>
      </c>
      <c r="H49" s="95" t="s">
        <v>7764</v>
      </c>
    </row>
    <row r="50" spans="1:21" s="80" customFormat="1" x14ac:dyDescent="0.2">
      <c r="A50" s="95" t="s">
        <v>7693</v>
      </c>
      <c r="C50" s="95" t="s">
        <v>7334</v>
      </c>
      <c r="E50" s="95" t="s">
        <v>7749</v>
      </c>
      <c r="G50" s="95" t="s">
        <v>7754</v>
      </c>
    </row>
    <row r="51" spans="1:21" s="80" customFormat="1" x14ac:dyDescent="0.2">
      <c r="A51" s="95" t="s">
        <v>7695</v>
      </c>
      <c r="C51" s="95" t="s">
        <v>7703</v>
      </c>
      <c r="E51" s="95" t="s">
        <v>7750</v>
      </c>
    </row>
    <row r="52" spans="1:21" s="80" customFormat="1" x14ac:dyDescent="0.2">
      <c r="A52" s="95" t="s">
        <v>7698</v>
      </c>
      <c r="C52" s="95" t="s">
        <v>7478</v>
      </c>
      <c r="E52" s="95" t="s">
        <v>7752</v>
      </c>
    </row>
    <row r="53" spans="1:21" s="80" customFormat="1" x14ac:dyDescent="0.2">
      <c r="A53" s="95" t="s">
        <v>7701</v>
      </c>
      <c r="C53" s="95" t="s">
        <v>7731</v>
      </c>
      <c r="E53" s="95" t="s">
        <v>7753</v>
      </c>
    </row>
    <row r="54" spans="1:21" s="80" customFormat="1" x14ac:dyDescent="0.2">
      <c r="A54" s="95" t="s">
        <v>7703</v>
      </c>
      <c r="E54" s="95" t="s">
        <v>7754</v>
      </c>
    </row>
    <row r="55" spans="1:21" s="80" customFormat="1" x14ac:dyDescent="0.2">
      <c r="A55" s="95" t="s">
        <v>7705</v>
      </c>
      <c r="E55" s="95" t="s">
        <v>7755</v>
      </c>
    </row>
    <row r="56" spans="1:21" s="80" customFormat="1" x14ac:dyDescent="0.2">
      <c r="A56" s="95" t="s">
        <v>7707</v>
      </c>
    </row>
    <row r="57" spans="1:21" s="80" customFormat="1" x14ac:dyDescent="0.2"/>
    <row r="58" spans="1:21" ht="15" x14ac:dyDescent="0.25">
      <c r="A58" s="498" t="s">
        <v>7079</v>
      </c>
      <c r="B58" s="499"/>
      <c r="C58" s="499"/>
      <c r="D58" s="499"/>
      <c r="E58" s="499"/>
      <c r="F58" s="499"/>
      <c r="G58" s="499"/>
      <c r="H58" s="499"/>
      <c r="I58" s="499"/>
      <c r="J58" s="499"/>
      <c r="K58" s="499"/>
      <c r="L58" s="499"/>
      <c r="M58" s="499"/>
      <c r="N58" s="499"/>
      <c r="O58" s="499"/>
      <c r="P58" s="499"/>
      <c r="Q58" s="499"/>
      <c r="R58" s="499"/>
      <c r="S58" s="499"/>
      <c r="T58" s="499"/>
      <c r="U58" s="499"/>
    </row>
    <row r="60" spans="1:21" x14ac:dyDescent="0.2">
      <c r="A60" s="94" t="s">
        <v>7079</v>
      </c>
      <c r="B60" s="94" t="s">
        <v>7267</v>
      </c>
      <c r="C60" s="94" t="s">
        <v>7269</v>
      </c>
      <c r="D60" s="94" t="s">
        <v>7273</v>
      </c>
      <c r="E60" s="94" t="s">
        <v>7276</v>
      </c>
      <c r="F60" s="94" t="s">
        <v>7280</v>
      </c>
      <c r="G60" s="94" t="s">
        <v>7283</v>
      </c>
      <c r="H60" s="94" t="s">
        <v>7287</v>
      </c>
      <c r="I60" s="94" t="s">
        <v>7290</v>
      </c>
      <c r="J60" s="94" t="s">
        <v>7293</v>
      </c>
      <c r="K60" s="80"/>
    </row>
    <row r="61" spans="1:21" x14ac:dyDescent="0.2">
      <c r="A61" s="95" t="s">
        <v>7261</v>
      </c>
      <c r="B61" s="95" t="s">
        <v>7784</v>
      </c>
      <c r="C61" s="95" t="s">
        <v>7795</v>
      </c>
      <c r="D61" s="95" t="s">
        <v>7802</v>
      </c>
      <c r="E61" s="95" t="s">
        <v>7136</v>
      </c>
      <c r="F61" s="95" t="s">
        <v>7339</v>
      </c>
      <c r="G61" s="95" t="s">
        <v>7132</v>
      </c>
      <c r="H61" s="95" t="s">
        <v>7806</v>
      </c>
      <c r="I61" s="95" t="s">
        <v>7398</v>
      </c>
      <c r="J61" s="95" t="s">
        <v>7809</v>
      </c>
      <c r="K61" s="80"/>
    </row>
    <row r="62" spans="1:21" x14ac:dyDescent="0.2">
      <c r="A62" s="95" t="s">
        <v>7389</v>
      </c>
      <c r="B62" s="95" t="s">
        <v>7381</v>
      </c>
      <c r="C62" s="95" t="s">
        <v>7370</v>
      </c>
      <c r="D62" s="95" t="s">
        <v>7381</v>
      </c>
      <c r="E62" s="95" t="s">
        <v>7331</v>
      </c>
      <c r="F62" s="95" t="s">
        <v>7063</v>
      </c>
      <c r="G62" s="95" t="s">
        <v>7804</v>
      </c>
      <c r="H62" s="95" t="s">
        <v>7807</v>
      </c>
      <c r="I62" s="80"/>
      <c r="J62" s="95" t="s">
        <v>7810</v>
      </c>
      <c r="K62" s="80"/>
    </row>
    <row r="63" spans="1:21" x14ac:dyDescent="0.2">
      <c r="A63" s="95" t="s">
        <v>7295</v>
      </c>
      <c r="B63" s="95" t="s">
        <v>7398</v>
      </c>
      <c r="C63" s="95" t="s">
        <v>7147</v>
      </c>
      <c r="D63" s="95" t="s">
        <v>7359</v>
      </c>
      <c r="E63" s="95" t="s">
        <v>7198</v>
      </c>
      <c r="F63" s="95" t="s">
        <v>7334</v>
      </c>
      <c r="G63" s="95" t="s">
        <v>7805</v>
      </c>
      <c r="H63" s="95" t="s">
        <v>7808</v>
      </c>
      <c r="I63" s="80"/>
      <c r="J63" s="95" t="s">
        <v>7811</v>
      </c>
      <c r="K63" s="80"/>
    </row>
    <row r="64" spans="1:21" x14ac:dyDescent="0.2">
      <c r="A64" s="95" t="s">
        <v>7776</v>
      </c>
      <c r="B64" s="95" t="s">
        <v>7514</v>
      </c>
      <c r="C64" s="95" t="s">
        <v>7797</v>
      </c>
      <c r="D64" s="95" t="s">
        <v>7534</v>
      </c>
      <c r="E64" s="95" t="s">
        <v>7498</v>
      </c>
      <c r="F64" s="95" t="s">
        <v>7295</v>
      </c>
      <c r="G64" s="80"/>
      <c r="H64" s="80"/>
      <c r="I64" s="80"/>
      <c r="J64" s="95" t="s">
        <v>7812</v>
      </c>
      <c r="K64" s="80"/>
    </row>
    <row r="65" spans="1:21" x14ac:dyDescent="0.2">
      <c r="A65" s="95" t="s">
        <v>7779</v>
      </c>
      <c r="B65" s="95" t="s">
        <v>7790</v>
      </c>
      <c r="C65" s="95" t="s">
        <v>7799</v>
      </c>
      <c r="D65" s="95" t="s">
        <v>7795</v>
      </c>
      <c r="E65" s="95" t="s">
        <v>7334</v>
      </c>
      <c r="F65" s="80"/>
      <c r="G65" s="80"/>
      <c r="H65" s="80"/>
      <c r="I65" s="80"/>
      <c r="J65" s="95" t="s">
        <v>7813</v>
      </c>
      <c r="K65" s="80"/>
    </row>
    <row r="66" spans="1:21" x14ac:dyDescent="0.2">
      <c r="A66" s="80"/>
      <c r="B66" s="95" t="s">
        <v>7792</v>
      </c>
      <c r="C66" s="95" t="s">
        <v>7754</v>
      </c>
      <c r="D66" s="95" t="s">
        <v>7803</v>
      </c>
      <c r="E66" s="80"/>
      <c r="F66" s="80"/>
      <c r="G66" s="80"/>
      <c r="H66" s="80"/>
      <c r="I66" s="80"/>
      <c r="J66" s="80"/>
      <c r="K66" s="80"/>
    </row>
    <row r="67" spans="1:21" x14ac:dyDescent="0.2">
      <c r="A67" s="80"/>
      <c r="B67" s="80"/>
      <c r="C67" s="95" t="s">
        <v>7800</v>
      </c>
      <c r="D67" s="80"/>
      <c r="E67" s="80"/>
      <c r="F67" s="80"/>
      <c r="G67" s="80"/>
      <c r="H67" s="80"/>
      <c r="I67" s="80"/>
      <c r="J67" s="80"/>
      <c r="K67" s="80"/>
    </row>
    <row r="68" spans="1:21" x14ac:dyDescent="0.2">
      <c r="A68" s="80"/>
      <c r="B68" s="80"/>
      <c r="C68" s="95" t="s">
        <v>7801</v>
      </c>
      <c r="D68" s="80"/>
      <c r="E68" s="80"/>
      <c r="F68" s="80"/>
      <c r="G68" s="80"/>
      <c r="H68" s="80"/>
      <c r="I68" s="80"/>
      <c r="J68" s="80"/>
      <c r="K68" s="80"/>
    </row>
    <row r="69" spans="1:21" x14ac:dyDescent="0.2">
      <c r="A69" s="80"/>
      <c r="B69" s="80"/>
      <c r="C69" s="80"/>
      <c r="D69" s="80"/>
      <c r="E69" s="80"/>
      <c r="F69" s="80"/>
      <c r="G69" s="80"/>
      <c r="H69" s="80"/>
      <c r="I69" s="80"/>
      <c r="J69" s="80"/>
      <c r="K69" s="80"/>
    </row>
    <row r="70" spans="1:21" ht="15" x14ac:dyDescent="0.25">
      <c r="A70" s="498" t="s">
        <v>7085</v>
      </c>
      <c r="B70" s="499"/>
      <c r="C70" s="499"/>
      <c r="D70" s="499"/>
      <c r="E70" s="499"/>
      <c r="F70" s="499"/>
      <c r="G70" s="499"/>
      <c r="H70" s="499"/>
      <c r="I70" s="499"/>
      <c r="J70" s="499"/>
      <c r="K70" s="499"/>
      <c r="L70" s="499"/>
      <c r="M70" s="499"/>
      <c r="N70" s="499"/>
      <c r="O70" s="499"/>
      <c r="P70" s="499"/>
      <c r="Q70" s="499"/>
      <c r="R70" s="499"/>
      <c r="S70" s="499"/>
      <c r="T70" s="499"/>
      <c r="U70" s="499"/>
    </row>
    <row r="72" spans="1:21" x14ac:dyDescent="0.2">
      <c r="A72" s="94" t="s">
        <v>7301</v>
      </c>
      <c r="B72" s="94" t="s">
        <v>7304</v>
      </c>
      <c r="C72" s="94" t="s">
        <v>7307</v>
      </c>
      <c r="D72" s="94" t="s">
        <v>7310</v>
      </c>
      <c r="E72" s="94" t="s">
        <v>7311</v>
      </c>
      <c r="F72" s="94" t="s">
        <v>7314</v>
      </c>
      <c r="G72" s="94" t="s">
        <v>7316</v>
      </c>
      <c r="H72" s="94" t="s">
        <v>7319</v>
      </c>
      <c r="I72" s="94" t="s">
        <v>7321</v>
      </c>
      <c r="J72" s="94" t="s">
        <v>7323</v>
      </c>
      <c r="K72" s="94" t="s">
        <v>7326</v>
      </c>
      <c r="L72" s="80"/>
    </row>
    <row r="73" spans="1:21" x14ac:dyDescent="0.2">
      <c r="A73" s="95" t="s">
        <v>7814</v>
      </c>
      <c r="B73" s="95" t="s">
        <v>7819</v>
      </c>
      <c r="C73" s="95" t="s">
        <v>7432</v>
      </c>
      <c r="D73" s="95" t="s">
        <v>7833</v>
      </c>
      <c r="E73" s="95" t="s">
        <v>7836</v>
      </c>
      <c r="F73" s="95" t="s">
        <v>7839</v>
      </c>
      <c r="G73" s="95" t="s">
        <v>7842</v>
      </c>
      <c r="H73" s="95" t="s">
        <v>7845</v>
      </c>
      <c r="I73" s="95" t="s">
        <v>7852</v>
      </c>
      <c r="J73" s="95" t="s">
        <v>7856</v>
      </c>
      <c r="K73" s="95" t="s">
        <v>7860</v>
      </c>
      <c r="L73" s="80"/>
    </row>
    <row r="74" spans="1:21" x14ac:dyDescent="0.2">
      <c r="A74" s="95" t="s">
        <v>7815</v>
      </c>
      <c r="B74" s="95" t="s">
        <v>7820</v>
      </c>
      <c r="C74" s="95" t="s">
        <v>7825</v>
      </c>
      <c r="D74" s="95" t="s">
        <v>7605</v>
      </c>
      <c r="E74" s="95" t="s">
        <v>7629</v>
      </c>
      <c r="F74" s="95" t="s">
        <v>7629</v>
      </c>
      <c r="G74" s="95" t="s">
        <v>7843</v>
      </c>
      <c r="H74" s="95" t="s">
        <v>7846</v>
      </c>
      <c r="I74" s="95" t="s">
        <v>7853</v>
      </c>
      <c r="J74" s="95" t="s">
        <v>7857</v>
      </c>
      <c r="K74" s="95" t="s">
        <v>7861</v>
      </c>
      <c r="L74" s="80"/>
    </row>
    <row r="75" spans="1:21" x14ac:dyDescent="0.2">
      <c r="A75" s="95" t="s">
        <v>7816</v>
      </c>
      <c r="B75" s="95" t="s">
        <v>7132</v>
      </c>
      <c r="C75" s="95" t="s">
        <v>7826</v>
      </c>
      <c r="D75" s="95" t="s">
        <v>7834</v>
      </c>
      <c r="E75" s="95" t="s">
        <v>7837</v>
      </c>
      <c r="F75" s="95" t="s">
        <v>7147</v>
      </c>
      <c r="G75" s="95" t="s">
        <v>7359</v>
      </c>
      <c r="H75" s="95" t="s">
        <v>7847</v>
      </c>
      <c r="I75" s="95" t="s">
        <v>7505</v>
      </c>
      <c r="J75" s="95" t="s">
        <v>7858</v>
      </c>
      <c r="K75" s="95" t="s">
        <v>7862</v>
      </c>
      <c r="L75" s="80"/>
    </row>
    <row r="76" spans="1:21" x14ac:dyDescent="0.2">
      <c r="A76" s="95" t="s">
        <v>7817</v>
      </c>
      <c r="B76" s="95" t="s">
        <v>7821</v>
      </c>
      <c r="C76" s="95" t="s">
        <v>7827</v>
      </c>
      <c r="D76" s="95" t="s">
        <v>7835</v>
      </c>
      <c r="E76" s="95" t="s">
        <v>7838</v>
      </c>
      <c r="F76" s="95" t="s">
        <v>7840</v>
      </c>
      <c r="G76" s="95" t="s">
        <v>7844</v>
      </c>
      <c r="H76" s="95" t="s">
        <v>7754</v>
      </c>
      <c r="I76" s="95" t="s">
        <v>7398</v>
      </c>
      <c r="J76" s="95" t="s">
        <v>7859</v>
      </c>
      <c r="K76" s="95" t="s">
        <v>7863</v>
      </c>
      <c r="L76" s="80"/>
    </row>
    <row r="77" spans="1:21" x14ac:dyDescent="0.2">
      <c r="A77" s="95" t="s">
        <v>7818</v>
      </c>
      <c r="B77" s="95" t="s">
        <v>7822</v>
      </c>
      <c r="C77" s="95" t="s">
        <v>7828</v>
      </c>
      <c r="D77" s="80"/>
      <c r="E77" s="80"/>
      <c r="F77" s="95" t="s">
        <v>7841</v>
      </c>
      <c r="G77" s="80"/>
      <c r="H77" s="95" t="s">
        <v>7848</v>
      </c>
      <c r="I77" s="95" t="s">
        <v>7854</v>
      </c>
      <c r="J77" s="80"/>
      <c r="K77" s="80"/>
      <c r="L77" s="80"/>
    </row>
    <row r="78" spans="1:21" x14ac:dyDescent="0.2">
      <c r="A78" s="80"/>
      <c r="B78" s="95" t="s">
        <v>7823</v>
      </c>
      <c r="C78" s="95" t="s">
        <v>7829</v>
      </c>
      <c r="D78" s="80"/>
      <c r="E78" s="80"/>
      <c r="F78" s="80"/>
      <c r="G78" s="80"/>
      <c r="H78" s="95" t="s">
        <v>7849</v>
      </c>
      <c r="I78" s="95" t="s">
        <v>7855</v>
      </c>
      <c r="J78" s="80"/>
      <c r="K78" s="80"/>
      <c r="L78" s="80"/>
    </row>
    <row r="79" spans="1:21" x14ac:dyDescent="0.2">
      <c r="A79" s="80"/>
      <c r="B79" s="95" t="s">
        <v>7824</v>
      </c>
      <c r="C79" s="95" t="s">
        <v>7830</v>
      </c>
      <c r="D79" s="80"/>
      <c r="E79" s="80"/>
      <c r="F79" s="80"/>
      <c r="G79" s="80"/>
      <c r="H79" s="95" t="s">
        <v>7850</v>
      </c>
      <c r="I79" s="80"/>
      <c r="J79" s="80"/>
      <c r="K79" s="80"/>
      <c r="L79" s="80"/>
    </row>
    <row r="80" spans="1:21" x14ac:dyDescent="0.2">
      <c r="A80" s="80"/>
      <c r="B80" s="80"/>
      <c r="C80" s="95" t="s">
        <v>7831</v>
      </c>
      <c r="D80" s="80"/>
      <c r="E80" s="80"/>
      <c r="F80" s="80"/>
      <c r="G80" s="80"/>
      <c r="H80" s="80"/>
      <c r="I80" s="80"/>
      <c r="J80" s="80"/>
      <c r="K80" s="80"/>
      <c r="L80" s="80"/>
    </row>
    <row r="81" spans="1:21" x14ac:dyDescent="0.2">
      <c r="A81" s="80"/>
      <c r="B81" s="80"/>
      <c r="C81" s="95" t="s">
        <v>7832</v>
      </c>
      <c r="D81" s="80"/>
      <c r="E81" s="80"/>
      <c r="F81" s="80"/>
      <c r="G81" s="80"/>
      <c r="H81" s="80"/>
      <c r="I81" s="80"/>
      <c r="J81" s="80"/>
      <c r="K81" s="80"/>
      <c r="L81" s="80"/>
    </row>
    <row r="82" spans="1:21" x14ac:dyDescent="0.2">
      <c r="A82" s="80"/>
      <c r="B82" s="80"/>
      <c r="C82" s="80"/>
      <c r="D82" s="80"/>
      <c r="E82" s="80"/>
      <c r="F82" s="80"/>
      <c r="G82" s="80"/>
      <c r="H82" s="80"/>
      <c r="I82" s="80"/>
      <c r="J82" s="80"/>
      <c r="K82" s="80"/>
      <c r="L82" s="80"/>
    </row>
    <row r="83" spans="1:21" ht="15" x14ac:dyDescent="0.25">
      <c r="A83" s="498" t="s">
        <v>7091</v>
      </c>
      <c r="B83" s="499"/>
      <c r="C83" s="499"/>
      <c r="D83" s="499"/>
      <c r="E83" s="499"/>
      <c r="F83" s="499"/>
      <c r="G83" s="499"/>
      <c r="H83" s="499"/>
      <c r="I83" s="499"/>
      <c r="J83" s="499"/>
      <c r="K83" s="499"/>
      <c r="L83" s="499"/>
      <c r="M83" s="499"/>
      <c r="N83" s="499"/>
      <c r="O83" s="499"/>
      <c r="P83" s="499"/>
      <c r="Q83" s="499"/>
      <c r="R83" s="499"/>
      <c r="S83" s="499"/>
      <c r="T83" s="499"/>
      <c r="U83" s="499"/>
    </row>
    <row r="84" spans="1:21" x14ac:dyDescent="0.2">
      <c r="A84" s="80"/>
      <c r="B84" s="80"/>
      <c r="C84" s="80"/>
      <c r="D84" s="80"/>
      <c r="E84" s="80"/>
      <c r="F84" s="80"/>
      <c r="G84" s="80"/>
      <c r="H84" s="80"/>
      <c r="I84" s="80"/>
      <c r="J84" s="80"/>
      <c r="K84" s="80"/>
      <c r="L84" s="80"/>
    </row>
    <row r="85" spans="1:21" s="80" customFormat="1" x14ac:dyDescent="0.2">
      <c r="A85" s="94" t="s">
        <v>7091</v>
      </c>
      <c r="B85" s="94" t="s">
        <v>7333</v>
      </c>
      <c r="C85" s="94" t="s">
        <v>7335</v>
      </c>
      <c r="D85" s="94" t="s">
        <v>7337</v>
      </c>
      <c r="E85" s="94" t="s">
        <v>7338</v>
      </c>
      <c r="F85" s="94" t="s">
        <v>7340</v>
      </c>
      <c r="G85" s="94" t="s">
        <v>7341</v>
      </c>
      <c r="H85" s="94" t="s">
        <v>7343</v>
      </c>
      <c r="I85" s="94" t="s">
        <v>7345</v>
      </c>
      <c r="J85" s="94" t="s">
        <v>7347</v>
      </c>
      <c r="K85" s="94" t="s">
        <v>7348</v>
      </c>
    </row>
    <row r="86" spans="1:21" s="80" customFormat="1" x14ac:dyDescent="0.2">
      <c r="A86" s="95" t="s">
        <v>7329</v>
      </c>
      <c r="B86" s="95" t="s">
        <v>7876</v>
      </c>
      <c r="C86" s="95" t="s">
        <v>7561</v>
      </c>
      <c r="D86" s="95" t="s">
        <v>7886</v>
      </c>
      <c r="E86" s="95" t="s">
        <v>7888</v>
      </c>
      <c r="F86" s="95" t="s">
        <v>7893</v>
      </c>
      <c r="G86" s="95" t="s">
        <v>7896</v>
      </c>
      <c r="H86" s="95" t="s">
        <v>7900</v>
      </c>
      <c r="I86" s="95" t="s">
        <v>7905</v>
      </c>
      <c r="J86" s="95" t="s">
        <v>7906</v>
      </c>
      <c r="K86" s="95" t="s">
        <v>7910</v>
      </c>
    </row>
    <row r="87" spans="1:21" s="80" customFormat="1" x14ac:dyDescent="0.2">
      <c r="A87" s="95" t="s">
        <v>7864</v>
      </c>
      <c r="B87" s="95" t="s">
        <v>7877</v>
      </c>
      <c r="C87" s="95" t="s">
        <v>7879</v>
      </c>
      <c r="D87" s="95" t="s">
        <v>7887</v>
      </c>
      <c r="E87" s="95" t="s">
        <v>7889</v>
      </c>
      <c r="F87" s="95" t="s">
        <v>7894</v>
      </c>
      <c r="G87" s="95" t="s">
        <v>7897</v>
      </c>
      <c r="H87" s="95" t="s">
        <v>7901</v>
      </c>
      <c r="J87" s="95" t="s">
        <v>7907</v>
      </c>
      <c r="K87" s="95" t="s">
        <v>7911</v>
      </c>
    </row>
    <row r="88" spans="1:21" s="80" customFormat="1" x14ac:dyDescent="0.2">
      <c r="A88" s="95" t="s">
        <v>7865</v>
      </c>
      <c r="B88" s="95" t="s">
        <v>7878</v>
      </c>
      <c r="C88" s="95" t="s">
        <v>7880</v>
      </c>
      <c r="D88" s="95" t="s">
        <v>7339</v>
      </c>
      <c r="E88" s="95" t="s">
        <v>7890</v>
      </c>
      <c r="F88" s="95" t="s">
        <v>7895</v>
      </c>
      <c r="G88" s="95" t="s">
        <v>7898</v>
      </c>
      <c r="H88" s="95" t="s">
        <v>7902</v>
      </c>
      <c r="J88" s="95" t="s">
        <v>7908</v>
      </c>
    </row>
    <row r="89" spans="1:21" s="80" customFormat="1" x14ac:dyDescent="0.2">
      <c r="A89" s="95" t="s">
        <v>7866</v>
      </c>
      <c r="B89" s="95" t="s">
        <v>7136</v>
      </c>
      <c r="C89" s="95" t="s">
        <v>7881</v>
      </c>
      <c r="E89" s="95" t="s">
        <v>7891</v>
      </c>
      <c r="G89" s="95" t="s">
        <v>7899</v>
      </c>
      <c r="H89" s="95" t="s">
        <v>7903</v>
      </c>
      <c r="J89" s="95" t="s">
        <v>7909</v>
      </c>
    </row>
    <row r="90" spans="1:21" s="80" customFormat="1" x14ac:dyDescent="0.2">
      <c r="A90" s="95" t="s">
        <v>7867</v>
      </c>
      <c r="B90" s="95" t="s">
        <v>7372</v>
      </c>
      <c r="C90" s="95" t="s">
        <v>7882</v>
      </c>
      <c r="E90" s="95" t="s">
        <v>7892</v>
      </c>
      <c r="H90" s="95" t="s">
        <v>7904</v>
      </c>
    </row>
    <row r="91" spans="1:21" s="80" customFormat="1" x14ac:dyDescent="0.2">
      <c r="A91" s="95" t="s">
        <v>7868</v>
      </c>
      <c r="C91" s="95" t="s">
        <v>7883</v>
      </c>
    </row>
    <row r="92" spans="1:21" s="80" customFormat="1" x14ac:dyDescent="0.2">
      <c r="A92" s="95" t="s">
        <v>7869</v>
      </c>
      <c r="C92" s="95" t="s">
        <v>7884</v>
      </c>
    </row>
    <row r="93" spans="1:21" s="80" customFormat="1" x14ac:dyDescent="0.2">
      <c r="A93" s="95" t="s">
        <v>7870</v>
      </c>
      <c r="C93" s="95" t="s">
        <v>7885</v>
      </c>
    </row>
    <row r="94" spans="1:21" s="80" customFormat="1" x14ac:dyDescent="0.2">
      <c r="A94" s="95" t="s">
        <v>7871</v>
      </c>
    </row>
    <row r="95" spans="1:21" s="80" customFormat="1" x14ac:dyDescent="0.2">
      <c r="A95" s="95" t="s">
        <v>7872</v>
      </c>
    </row>
    <row r="96" spans="1:21" s="80" customFormat="1" x14ac:dyDescent="0.2">
      <c r="A96" s="95" t="s">
        <v>7873</v>
      </c>
    </row>
    <row r="97" spans="1:21" s="80" customFormat="1" x14ac:dyDescent="0.2">
      <c r="A97" s="95" t="s">
        <v>7874</v>
      </c>
    </row>
    <row r="98" spans="1:21" s="80" customFormat="1" x14ac:dyDescent="0.2">
      <c r="A98" s="95" t="s">
        <v>7875</v>
      </c>
    </row>
    <row r="100" spans="1:21" ht="15" x14ac:dyDescent="0.25">
      <c r="A100" s="498" t="s">
        <v>7353</v>
      </c>
      <c r="B100" s="499"/>
      <c r="C100" s="499"/>
      <c r="D100" s="499"/>
      <c r="E100" s="499"/>
      <c r="F100" s="499"/>
      <c r="G100" s="499"/>
      <c r="H100" s="499"/>
      <c r="I100" s="499"/>
      <c r="J100" s="499"/>
      <c r="K100" s="499"/>
      <c r="L100" s="499"/>
      <c r="M100" s="499"/>
      <c r="N100" s="499"/>
      <c r="O100" s="499"/>
      <c r="P100" s="499"/>
      <c r="Q100" s="499"/>
      <c r="R100" s="499"/>
      <c r="S100" s="499"/>
      <c r="T100" s="499"/>
      <c r="U100" s="499"/>
    </row>
    <row r="102" spans="1:21" x14ac:dyDescent="0.2">
      <c r="A102" s="94" t="s">
        <v>7353</v>
      </c>
      <c r="B102" s="94" t="s">
        <v>7355</v>
      </c>
      <c r="C102" s="94" t="s">
        <v>7357</v>
      </c>
      <c r="D102" s="94" t="s">
        <v>7358</v>
      </c>
      <c r="E102" s="94" t="s">
        <v>7360</v>
      </c>
      <c r="F102" s="94" t="s">
        <v>7362</v>
      </c>
    </row>
    <row r="103" spans="1:21" x14ac:dyDescent="0.2">
      <c r="A103" s="95" t="s">
        <v>7351</v>
      </c>
      <c r="B103" s="95" t="s">
        <v>7915</v>
      </c>
      <c r="C103" s="95" t="s">
        <v>7920</v>
      </c>
      <c r="D103" s="95" t="s">
        <v>7926</v>
      </c>
      <c r="E103" s="95" t="s">
        <v>7929</v>
      </c>
      <c r="F103" s="95" t="s">
        <v>7932</v>
      </c>
    </row>
    <row r="104" spans="1:21" x14ac:dyDescent="0.2">
      <c r="A104" s="95" t="s">
        <v>7912</v>
      </c>
      <c r="B104" s="95" t="s">
        <v>7916</v>
      </c>
      <c r="C104" s="95" t="s">
        <v>7921</v>
      </c>
      <c r="D104" s="95" t="s">
        <v>7927</v>
      </c>
      <c r="E104" s="95" t="s">
        <v>7930</v>
      </c>
      <c r="F104" s="95" t="s">
        <v>7389</v>
      </c>
    </row>
    <row r="105" spans="1:21" x14ac:dyDescent="0.2">
      <c r="A105" s="95" t="s">
        <v>7913</v>
      </c>
      <c r="B105" s="95" t="s">
        <v>7917</v>
      </c>
      <c r="C105" s="95" t="s">
        <v>7922</v>
      </c>
      <c r="D105" s="95" t="s">
        <v>7928</v>
      </c>
      <c r="E105" s="95" t="s">
        <v>7931</v>
      </c>
      <c r="F105" s="95" t="s">
        <v>7933</v>
      </c>
    </row>
    <row r="106" spans="1:21" x14ac:dyDescent="0.2">
      <c r="A106" s="95" t="s">
        <v>7914</v>
      </c>
      <c r="B106" s="95" t="s">
        <v>7918</v>
      </c>
      <c r="C106" s="95" t="s">
        <v>7923</v>
      </c>
      <c r="D106" s="80"/>
      <c r="E106" s="80"/>
      <c r="F106" s="95" t="s">
        <v>7934</v>
      </c>
    </row>
    <row r="107" spans="1:21" x14ac:dyDescent="0.2">
      <c r="A107" s="80"/>
      <c r="B107" s="95" t="s">
        <v>7919</v>
      </c>
      <c r="C107" s="95" t="s">
        <v>7924</v>
      </c>
      <c r="D107" s="80"/>
      <c r="E107" s="80"/>
      <c r="F107" s="95" t="s">
        <v>7935</v>
      </c>
    </row>
    <row r="108" spans="1:21" x14ac:dyDescent="0.2">
      <c r="A108" s="80"/>
      <c r="B108" s="95" t="s">
        <v>7844</v>
      </c>
      <c r="C108" s="95" t="s">
        <v>7925</v>
      </c>
      <c r="D108" s="80"/>
      <c r="E108" s="80"/>
      <c r="F108" s="80"/>
    </row>
    <row r="109" spans="1:21" x14ac:dyDescent="0.2">
      <c r="A109" s="80"/>
      <c r="B109" s="80"/>
      <c r="C109" s="80"/>
      <c r="D109" s="80"/>
      <c r="E109" s="80"/>
      <c r="F109" s="80"/>
    </row>
  </sheetData>
  <mergeCells count="8">
    <mergeCell ref="A70:U70"/>
    <mergeCell ref="A83:U83"/>
    <mergeCell ref="A100:U100"/>
    <mergeCell ref="A10:U10"/>
    <mergeCell ref="B1:U1"/>
    <mergeCell ref="A25:U25"/>
    <mergeCell ref="A43:U43"/>
    <mergeCell ref="A58:U58"/>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2D90-8E03-498A-80D3-245E29573E0B}">
  <dimension ref="B2:P26"/>
  <sheetViews>
    <sheetView workbookViewId="0">
      <selection activeCell="B10" sqref="B10"/>
    </sheetView>
  </sheetViews>
  <sheetFormatPr baseColWidth="10" defaultColWidth="9.140625" defaultRowHeight="12.75" x14ac:dyDescent="0.2"/>
  <cols>
    <col min="1" max="3" width="9.140625" style="140"/>
    <col min="4" max="4" width="17.28515625" style="140" customWidth="1"/>
    <col min="5" max="5" width="15.7109375" style="140" bestFit="1" customWidth="1"/>
    <col min="6" max="6" width="9.5703125" style="140" bestFit="1" customWidth="1"/>
    <col min="7" max="7" width="15.7109375" style="140" bestFit="1" customWidth="1"/>
    <col min="8" max="13" width="9.140625" style="140"/>
    <col min="14" max="14" width="13.42578125" style="140" customWidth="1"/>
    <col min="15" max="16384" width="9.140625" style="140"/>
  </cols>
  <sheetData>
    <row r="2" spans="2:16" x14ac:dyDescent="0.2">
      <c r="E2" s="140">
        <v>2022</v>
      </c>
    </row>
    <row r="3" spans="2:16" x14ac:dyDescent="0.2">
      <c r="E3" s="147" t="s">
        <v>8043</v>
      </c>
      <c r="F3" s="147"/>
      <c r="G3" s="147" t="s">
        <v>8044</v>
      </c>
    </row>
    <row r="4" spans="2:16" x14ac:dyDescent="0.2">
      <c r="B4" s="140" t="s">
        <v>8045</v>
      </c>
      <c r="E4" s="141">
        <v>790470041.13999999</v>
      </c>
      <c r="F4" s="142">
        <f>E4/E7</f>
        <v>0.39789476088949288</v>
      </c>
    </row>
    <row r="5" spans="2:16" x14ac:dyDescent="0.2">
      <c r="B5" s="140" t="s">
        <v>8046</v>
      </c>
      <c r="E5" s="141">
        <v>1196160894.5699999</v>
      </c>
      <c r="F5" s="142">
        <f>E5/E7</f>
        <v>0.60210523911050706</v>
      </c>
    </row>
    <row r="7" spans="2:16" x14ac:dyDescent="0.2">
      <c r="E7" s="141">
        <f>E5+E4</f>
        <v>1986630935.71</v>
      </c>
      <c r="G7" s="141"/>
    </row>
    <row r="9" spans="2:16" x14ac:dyDescent="0.2">
      <c r="B9" s="168"/>
      <c r="C9" s="168"/>
      <c r="D9" s="168"/>
      <c r="E9" s="169" t="s">
        <v>8043</v>
      </c>
      <c r="F9" s="169"/>
      <c r="G9" s="169" t="s">
        <v>8044</v>
      </c>
    </row>
    <row r="10" spans="2:16" x14ac:dyDescent="0.2">
      <c r="B10" s="168" t="s">
        <v>8047</v>
      </c>
      <c r="C10" s="168"/>
      <c r="D10" s="168"/>
      <c r="E10" s="170" t="e">
        <f>#REF!</f>
        <v>#REF!</v>
      </c>
      <c r="F10" s="168"/>
      <c r="G10" s="170" t="e">
        <f>E10*4</f>
        <v>#REF!</v>
      </c>
    </row>
    <row r="11" spans="2:16" ht="15" x14ac:dyDescent="0.25">
      <c r="E11" s="143"/>
    </row>
    <row r="12" spans="2:16" x14ac:dyDescent="0.2">
      <c r="B12" s="140" t="s">
        <v>8048</v>
      </c>
      <c r="E12" s="141" t="e">
        <f>E10*F4</f>
        <v>#REF!</v>
      </c>
    </row>
    <row r="13" spans="2:16" x14ac:dyDescent="0.2">
      <c r="B13" s="140" t="s">
        <v>8049</v>
      </c>
      <c r="E13" s="141" t="e">
        <f>E10*F5</f>
        <v>#REF!</v>
      </c>
    </row>
    <row r="14" spans="2:16" x14ac:dyDescent="0.2">
      <c r="N14" s="140">
        <v>2021</v>
      </c>
    </row>
    <row r="15" spans="2:16" x14ac:dyDescent="0.2">
      <c r="E15" s="141" t="e">
        <f>SUM(E12:E14)</f>
        <v>#REF!</v>
      </c>
      <c r="N15" s="140" t="s">
        <v>8043</v>
      </c>
    </row>
    <row r="16" spans="2:16" x14ac:dyDescent="0.2">
      <c r="K16" s="140" t="s">
        <v>8050</v>
      </c>
      <c r="N16" s="144">
        <v>1146065.1100000001</v>
      </c>
      <c r="O16" s="145">
        <f>N16/N18</f>
        <v>0.93925816670745976</v>
      </c>
      <c r="P16" s="140">
        <v>93.93</v>
      </c>
    </row>
    <row r="17" spans="2:16" x14ac:dyDescent="0.2">
      <c r="E17" s="147" t="s">
        <v>8043</v>
      </c>
      <c r="F17" s="147"/>
      <c r="G17" s="147" t="s">
        <v>8044</v>
      </c>
      <c r="K17" s="140" t="s">
        <v>8051</v>
      </c>
      <c r="N17" s="144">
        <v>74116.039999999994</v>
      </c>
      <c r="O17" s="145">
        <f>N17/N18</f>
        <v>6.0741833292540195E-2</v>
      </c>
      <c r="P17" s="140">
        <v>6.07</v>
      </c>
    </row>
    <row r="18" spans="2:16" x14ac:dyDescent="0.2">
      <c r="B18" s="140" t="s">
        <v>8050</v>
      </c>
      <c r="E18" s="141" t="e">
        <f>E12*F18</f>
        <v>#REF!</v>
      </c>
      <c r="F18" s="148">
        <v>0.93930000000000002</v>
      </c>
      <c r="G18" s="149" t="e">
        <f>E18*4</f>
        <v>#REF!</v>
      </c>
      <c r="N18" s="144">
        <f>SUM(N16:N17)</f>
        <v>1220181.1500000001</v>
      </c>
      <c r="O18" s="146">
        <f>SUM(O16:O17)</f>
        <v>1</v>
      </c>
      <c r="P18" s="140">
        <f>SUM(P16:P17)</f>
        <v>100</v>
      </c>
    </row>
    <row r="19" spans="2:16" x14ac:dyDescent="0.2">
      <c r="B19" s="140" t="s">
        <v>8051</v>
      </c>
      <c r="E19" s="141" t="e">
        <f>E12*F19</f>
        <v>#REF!</v>
      </c>
      <c r="F19" s="148">
        <v>6.0699999999999997E-2</v>
      </c>
      <c r="G19" s="149" t="e">
        <f>E19*4</f>
        <v>#REF!</v>
      </c>
    </row>
    <row r="20" spans="2:16" x14ac:dyDescent="0.2">
      <c r="E20" s="141" t="e">
        <f>SUM(E18:E19)</f>
        <v>#REF!</v>
      </c>
      <c r="F20" s="148"/>
      <c r="G20" s="141" t="e">
        <f>SUM(G18:G19)</f>
        <v>#REF!</v>
      </c>
      <c r="K20" s="140" t="s">
        <v>8052</v>
      </c>
      <c r="N20" s="144">
        <v>438987.59</v>
      </c>
      <c r="O20" s="145">
        <f>N20/N22</f>
        <v>0.91651299329600855</v>
      </c>
      <c r="P20" s="140">
        <v>91.65</v>
      </c>
    </row>
    <row r="21" spans="2:16" x14ac:dyDescent="0.2">
      <c r="E21" s="141"/>
      <c r="F21" s="147"/>
      <c r="G21" s="141"/>
      <c r="K21" s="140" t="s">
        <v>8053</v>
      </c>
      <c r="N21" s="144">
        <v>39988.26</v>
      </c>
      <c r="O21" s="145">
        <f>N21/N22</f>
        <v>8.3487006703991437E-2</v>
      </c>
      <c r="P21" s="140">
        <v>8.35</v>
      </c>
    </row>
    <row r="22" spans="2:16" x14ac:dyDescent="0.2">
      <c r="B22" s="140" t="s">
        <v>8052</v>
      </c>
      <c r="E22" s="141" t="e">
        <f>E13*F22</f>
        <v>#REF!</v>
      </c>
      <c r="F22" s="148">
        <v>0.91649999999999998</v>
      </c>
      <c r="G22" s="149" t="e">
        <f>E22*4</f>
        <v>#REF!</v>
      </c>
      <c r="N22" s="144">
        <f>SUM(N20:N21)</f>
        <v>478975.85000000003</v>
      </c>
      <c r="O22" s="146">
        <f>SUM(O20:O21)</f>
        <v>1</v>
      </c>
      <c r="P22" s="140">
        <f>SUM(P20:P21)</f>
        <v>100</v>
      </c>
    </row>
    <row r="23" spans="2:16" x14ac:dyDescent="0.2">
      <c r="B23" s="140" t="s">
        <v>8053</v>
      </c>
      <c r="E23" s="141" t="e">
        <f>E13*F23</f>
        <v>#REF!</v>
      </c>
      <c r="F23" s="148">
        <v>8.3500000000000005E-2</v>
      </c>
      <c r="G23" s="149" t="e">
        <f>E23*4</f>
        <v>#REF!</v>
      </c>
    </row>
    <row r="24" spans="2:16" x14ac:dyDescent="0.2">
      <c r="E24" s="141" t="e">
        <f>SUM(E22:E23)</f>
        <v>#REF!</v>
      </c>
      <c r="G24" s="141" t="e">
        <f>SUM(G22:G23)</f>
        <v>#REF!</v>
      </c>
    </row>
    <row r="26" spans="2:16" x14ac:dyDescent="0.2">
      <c r="G26" s="170" t="e">
        <f>G20+G24</f>
        <v>#REF!</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34B4-BC84-4507-8F93-1DB3701F38F0}">
  <dimension ref="D13:O25"/>
  <sheetViews>
    <sheetView workbookViewId="0">
      <selection activeCell="B10" sqref="B10"/>
    </sheetView>
  </sheetViews>
  <sheetFormatPr baseColWidth="10" defaultColWidth="9.140625" defaultRowHeight="12.75" x14ac:dyDescent="0.2"/>
  <cols>
    <col min="5" max="5" width="14.5703125" customWidth="1"/>
    <col min="6" max="6" width="12.140625" customWidth="1"/>
  </cols>
  <sheetData>
    <row r="13" spans="4:6" x14ac:dyDescent="0.2">
      <c r="D13" t="s">
        <v>8054</v>
      </c>
      <c r="E13">
        <v>50947668</v>
      </c>
      <c r="F13">
        <f>+E13/E16</f>
        <v>0.36473998869261437</v>
      </c>
    </row>
    <row r="14" spans="4:6" x14ac:dyDescent="0.2">
      <c r="D14" t="s">
        <v>8055</v>
      </c>
      <c r="E14">
        <v>88734488</v>
      </c>
      <c r="F14">
        <f>+E14/E16</f>
        <v>0.63526001130738563</v>
      </c>
    </row>
    <row r="16" spans="4:6" x14ac:dyDescent="0.2">
      <c r="E16">
        <f>SUM(E13:E15)</f>
        <v>139682156</v>
      </c>
    </row>
    <row r="17" spans="4:15" x14ac:dyDescent="0.2">
      <c r="D17">
        <v>2022</v>
      </c>
      <c r="E17" s="123" t="e">
        <f>+#REF!</f>
        <v>#REF!</v>
      </c>
    </row>
    <row r="20" spans="4:15" x14ac:dyDescent="0.2">
      <c r="D20" t="s">
        <v>8054</v>
      </c>
      <c r="E20" s="123" t="e">
        <f>+E17*F13</f>
        <v>#REF!</v>
      </c>
      <c r="F20" s="123" t="e">
        <f>+E20*4</f>
        <v>#REF!</v>
      </c>
    </row>
    <row r="21" spans="4:15" x14ac:dyDescent="0.2">
      <c r="D21" t="s">
        <v>8055</v>
      </c>
      <c r="E21" s="123" t="e">
        <f>+E17*F14</f>
        <v>#REF!</v>
      </c>
      <c r="F21" s="123" t="e">
        <f>+E21*4</f>
        <v>#REF!</v>
      </c>
    </row>
    <row r="23" spans="4:15" x14ac:dyDescent="0.2">
      <c r="E23" s="123" t="e">
        <f>SUM(E20:E22)</f>
        <v>#REF!</v>
      </c>
    </row>
    <row r="24" spans="4:15" x14ac:dyDescent="0.2">
      <c r="L24" s="503"/>
      <c r="M24" s="503"/>
      <c r="N24" s="503"/>
      <c r="O24" s="503"/>
    </row>
    <row r="25" spans="4:15" x14ac:dyDescent="0.2">
      <c r="L25" s="503"/>
      <c r="M25" s="503"/>
      <c r="N25" s="503"/>
      <c r="O25" s="503"/>
    </row>
  </sheetData>
  <mergeCells count="2">
    <mergeCell ref="L24:O24"/>
    <mergeCell ref="L25:O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4D462-79E4-4AAD-AF86-18B268E53999}">
  <dimension ref="A1:G13"/>
  <sheetViews>
    <sheetView workbookViewId="0">
      <selection activeCell="B10" sqref="B10"/>
    </sheetView>
  </sheetViews>
  <sheetFormatPr baseColWidth="10" defaultColWidth="9.140625" defaultRowHeight="12.75" x14ac:dyDescent="0.2"/>
  <cols>
    <col min="1" max="4" width="9.140625" style="140"/>
    <col min="5" max="5" width="20.28515625" style="140" customWidth="1"/>
    <col min="6" max="16384" width="9.140625" style="140"/>
  </cols>
  <sheetData>
    <row r="1" spans="1:7" x14ac:dyDescent="0.2">
      <c r="A1" s="140" t="s">
        <v>8056</v>
      </c>
    </row>
    <row r="2" spans="1:7" x14ac:dyDescent="0.2">
      <c r="B2" s="140" t="s">
        <v>8057</v>
      </c>
      <c r="E2" s="141">
        <v>963340891.53999996</v>
      </c>
      <c r="G2" s="142">
        <f>E2/E5</f>
        <v>0.61552251346289477</v>
      </c>
    </row>
    <row r="3" spans="1:7" x14ac:dyDescent="0.2">
      <c r="B3" s="140" t="s">
        <v>8058</v>
      </c>
      <c r="E3" s="141">
        <v>601737347.63</v>
      </c>
      <c r="G3" s="142">
        <f>E3/E5</f>
        <v>0.38447748653710517</v>
      </c>
    </row>
    <row r="5" spans="1:7" x14ac:dyDescent="0.2">
      <c r="E5" s="141">
        <f>E3+E2</f>
        <v>1565078239.1700001</v>
      </c>
    </row>
    <row r="8" spans="1:7" x14ac:dyDescent="0.2">
      <c r="B8" s="140" t="s">
        <v>8059</v>
      </c>
      <c r="E8" s="141">
        <f>1271626*4</f>
        <v>5086504</v>
      </c>
    </row>
    <row r="9" spans="1:7" ht="15" x14ac:dyDescent="0.25">
      <c r="E9" s="143"/>
    </row>
    <row r="10" spans="1:7" x14ac:dyDescent="0.2">
      <c r="B10" s="140" t="s">
        <v>8057</v>
      </c>
      <c r="E10" s="141">
        <f>E8*G2</f>
        <v>3130857.7268190682</v>
      </c>
    </row>
    <row r="11" spans="1:7" x14ac:dyDescent="0.2">
      <c r="B11" s="140" t="s">
        <v>8058</v>
      </c>
      <c r="E11" s="141">
        <f>E8*G3</f>
        <v>1955646.2731809316</v>
      </c>
    </row>
    <row r="13" spans="1:7" x14ac:dyDescent="0.2">
      <c r="E13" s="141">
        <f>SUM(E10:E12)</f>
        <v>5086504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0767-544A-4472-A802-9BCB62436E29}">
  <dimension ref="B2:G13"/>
  <sheetViews>
    <sheetView workbookViewId="0">
      <selection activeCell="H29" sqref="H29"/>
    </sheetView>
  </sheetViews>
  <sheetFormatPr baseColWidth="10" defaultColWidth="9.140625" defaultRowHeight="12.75" x14ac:dyDescent="0.2"/>
  <cols>
    <col min="1" max="4" width="9.140625" style="140"/>
    <col min="5" max="5" width="14.140625" style="140" bestFit="1" customWidth="1"/>
    <col min="6" max="16384" width="9.140625" style="140"/>
  </cols>
  <sheetData>
    <row r="2" spans="2:7" x14ac:dyDescent="0.2">
      <c r="B2" s="140" t="s">
        <v>8057</v>
      </c>
      <c r="E2" s="141">
        <v>309760222.81</v>
      </c>
      <c r="G2" s="142">
        <f>E2/E5</f>
        <v>0.34006233796183555</v>
      </c>
    </row>
    <row r="3" spans="2:7" x14ac:dyDescent="0.2">
      <c r="B3" s="140" t="s">
        <v>8058</v>
      </c>
      <c r="E3" s="141">
        <v>601132246.69000006</v>
      </c>
      <c r="G3" s="142">
        <f>E3/E5</f>
        <v>0.65993766203816451</v>
      </c>
    </row>
    <row r="5" spans="2:7" x14ac:dyDescent="0.2">
      <c r="E5" s="141">
        <f>E3+E2</f>
        <v>910892469.5</v>
      </c>
    </row>
    <row r="8" spans="2:7" x14ac:dyDescent="0.2">
      <c r="B8" s="140" t="s">
        <v>8060</v>
      </c>
      <c r="E8" s="141" t="e">
        <f>#REF!</f>
        <v>#REF!</v>
      </c>
    </row>
    <row r="9" spans="2:7" ht="15" x14ac:dyDescent="0.25">
      <c r="E9" s="143"/>
    </row>
    <row r="10" spans="2:7" x14ac:dyDescent="0.2">
      <c r="B10" s="140" t="s">
        <v>8057</v>
      </c>
      <c r="E10" s="141" t="e">
        <f>E8*G2</f>
        <v>#REF!</v>
      </c>
    </row>
    <row r="11" spans="2:7" x14ac:dyDescent="0.2">
      <c r="B11" s="140" t="s">
        <v>8058</v>
      </c>
      <c r="E11" s="141" t="e">
        <f>E8*G3</f>
        <v>#REF!</v>
      </c>
    </row>
    <row r="13" spans="2:7" x14ac:dyDescent="0.2">
      <c r="E13" s="141" t="e">
        <f>SUM(E10:E12)</f>
        <v>#REF!</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69DFE-2377-4DCA-A042-B1CCDCDD40B1}">
  <dimension ref="A15:I36"/>
  <sheetViews>
    <sheetView workbookViewId="0">
      <selection activeCell="H29" sqref="H29"/>
    </sheetView>
  </sheetViews>
  <sheetFormatPr baseColWidth="10" defaultColWidth="9.140625" defaultRowHeight="12.75" x14ac:dyDescent="0.2"/>
  <cols>
    <col min="7" max="7" width="12" bestFit="1" customWidth="1"/>
    <col min="8" max="8" width="13" bestFit="1" customWidth="1"/>
    <col min="9" max="9" width="12" bestFit="1" customWidth="1"/>
  </cols>
  <sheetData>
    <row r="15" spans="1:9" x14ac:dyDescent="0.2">
      <c r="B15" t="s">
        <v>8061</v>
      </c>
      <c r="H15" s="123">
        <v>2010417.2024999999</v>
      </c>
      <c r="I15" s="139">
        <f>+H15/$H$20</f>
        <v>0.3950007608572213</v>
      </c>
    </row>
    <row r="16" spans="1:9" x14ac:dyDescent="0.2">
      <c r="A16">
        <v>2021</v>
      </c>
      <c r="B16" t="s">
        <v>8062</v>
      </c>
      <c r="H16" s="123">
        <v>2010417.2024999999</v>
      </c>
      <c r="I16" s="139">
        <f t="shared" ref="I16:I18" si="0">+H16/$H$20</f>
        <v>0.3950007608572213</v>
      </c>
    </row>
    <row r="17" spans="1:9" x14ac:dyDescent="0.2">
      <c r="B17" t="s">
        <v>8061</v>
      </c>
      <c r="H17" s="123">
        <v>952700.96</v>
      </c>
      <c r="I17" s="139">
        <f t="shared" si="0"/>
        <v>0.18718383607215736</v>
      </c>
    </row>
    <row r="18" spans="1:9" x14ac:dyDescent="0.2">
      <c r="B18" t="s">
        <v>8061</v>
      </c>
      <c r="H18" s="138">
        <v>116118.63499999999</v>
      </c>
      <c r="I18" s="139">
        <f t="shared" si="0"/>
        <v>2.2814642213399967E-2</v>
      </c>
    </row>
    <row r="20" spans="1:9" x14ac:dyDescent="0.2">
      <c r="H20" s="123">
        <f>SUM(H15:H19)</f>
        <v>5089654</v>
      </c>
      <c r="I20" s="139">
        <f>SUM(I15:I19)</f>
        <v>1</v>
      </c>
    </row>
    <row r="22" spans="1:9" x14ac:dyDescent="0.2">
      <c r="G22" s="123">
        <v>4807161</v>
      </c>
    </row>
    <row r="23" spans="1:9" x14ac:dyDescent="0.2">
      <c r="B23" t="s">
        <v>8061</v>
      </c>
      <c r="H23" s="123">
        <f>+G22*I15</f>
        <v>1898832.2525631608</v>
      </c>
      <c r="I23" s="139">
        <f>+H23/G22</f>
        <v>0.3950007608572213</v>
      </c>
    </row>
    <row r="24" spans="1:9" x14ac:dyDescent="0.2">
      <c r="A24">
        <v>2022</v>
      </c>
      <c r="B24" t="s">
        <v>8062</v>
      </c>
      <c r="H24" s="123">
        <f>+G22*I16</f>
        <v>1898832.2525631608</v>
      </c>
      <c r="I24" s="139">
        <f>+H24/G22</f>
        <v>0.3950007608572213</v>
      </c>
    </row>
    <row r="25" spans="1:9" x14ac:dyDescent="0.2">
      <c r="B25" t="s">
        <v>8061</v>
      </c>
      <c r="H25" s="123">
        <f>+G22*I17</f>
        <v>899822.836596468</v>
      </c>
      <c r="I25" s="139">
        <f>+H25/G22</f>
        <v>0.18718383607215736</v>
      </c>
    </row>
    <row r="26" spans="1:9" x14ac:dyDescent="0.2">
      <c r="B26" t="s">
        <v>8061</v>
      </c>
      <c r="H26" s="123">
        <f>+G22*I18</f>
        <v>109673.65827720999</v>
      </c>
      <c r="I26" s="139">
        <f>+H26/G22</f>
        <v>2.2814642213399967E-2</v>
      </c>
    </row>
    <row r="28" spans="1:9" x14ac:dyDescent="0.2">
      <c r="H28" s="123">
        <f>SUM(H23:H27)</f>
        <v>4807161</v>
      </c>
      <c r="I28" s="139">
        <f>SUM(I23:I26)</f>
        <v>1</v>
      </c>
    </row>
    <row r="30" spans="1:9" x14ac:dyDescent="0.2">
      <c r="G30" s="123">
        <v>4807161</v>
      </c>
    </row>
    <row r="31" spans="1:9" x14ac:dyDescent="0.2">
      <c r="B31" t="s">
        <v>8061</v>
      </c>
      <c r="H31" s="123">
        <f>+H23*4</f>
        <v>7595329.0102526434</v>
      </c>
      <c r="I31" s="139">
        <f>+H31/G30</f>
        <v>1.5800030434288852</v>
      </c>
    </row>
    <row r="32" spans="1:9" x14ac:dyDescent="0.2">
      <c r="A32">
        <v>2022</v>
      </c>
      <c r="B32" t="s">
        <v>8062</v>
      </c>
      <c r="H32" s="123">
        <f>+H24*4</f>
        <v>7595329.0102526434</v>
      </c>
      <c r="I32" s="139">
        <f>+H32/G30</f>
        <v>1.5800030434288852</v>
      </c>
    </row>
    <row r="33" spans="2:9" x14ac:dyDescent="0.2">
      <c r="B33" t="s">
        <v>8061</v>
      </c>
      <c r="H33" s="123">
        <f>+H25*4</f>
        <v>3599291.346385872</v>
      </c>
      <c r="I33" s="139">
        <f>+H33/G30</f>
        <v>0.74873534428862942</v>
      </c>
    </row>
    <row r="34" spans="2:9" x14ac:dyDescent="0.2">
      <c r="B34" t="s">
        <v>8061</v>
      </c>
      <c r="H34" s="123">
        <f>+H26*4</f>
        <v>438694.63310883997</v>
      </c>
      <c r="I34" s="139">
        <f>+H34/G30</f>
        <v>9.125856885359987E-2</v>
      </c>
    </row>
    <row r="36" spans="2:9" x14ac:dyDescent="0.2">
      <c r="H36" s="123">
        <f>SUM(H31:H35)</f>
        <v>19228644</v>
      </c>
      <c r="I36" s="139">
        <f>SUM(I31:I34)</f>
        <v>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99935833AADD24FA15E15C2EC0E3986" ma:contentTypeVersion="4" ma:contentTypeDescription="Crear nuevo documento." ma:contentTypeScope="" ma:versionID="08c2126b0e4f2fc511429c514fe86f58">
  <xsd:schema xmlns:xsd="http://www.w3.org/2001/XMLSchema" xmlns:xs="http://www.w3.org/2001/XMLSchema" xmlns:p="http://schemas.microsoft.com/office/2006/metadata/properties" xmlns:ns2="dc95f372-236f-49f8-af9d-4cc803f010d7" targetNamespace="http://schemas.microsoft.com/office/2006/metadata/properties" ma:root="true" ma:fieldsID="e00490806080b4548837432de80a0700" ns2:_="">
    <xsd:import namespace="dc95f372-236f-49f8-af9d-4cc803f010d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95f372-236f-49f8-af9d-4cc803f010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1A189-EEF7-4761-AE63-E5AE928720D6}">
  <ds:schemaRefs>
    <ds:schemaRef ds:uri="http://schemas.microsoft.com/sharepoint/v3/contenttype/forms"/>
  </ds:schemaRefs>
</ds:datastoreItem>
</file>

<file path=customXml/itemProps2.xml><?xml version="1.0" encoding="utf-8"?>
<ds:datastoreItem xmlns:ds="http://schemas.openxmlformats.org/officeDocument/2006/customXml" ds:itemID="{1AF131A9-3889-4E1C-9540-3A4E7327B1C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7D23C8E-239C-4658-924F-1F0068C824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95f372-236f-49f8-af9d-4cc803f010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92</vt:i4>
      </vt:variant>
    </vt:vector>
  </HeadingPairs>
  <TitlesOfParts>
    <vt:vector size="103" baseType="lpstr">
      <vt:lpstr>FORMULARIO</vt:lpstr>
      <vt:lpstr>CONSTANCIA REQUISITOS</vt:lpstr>
      <vt:lpstr>TOMA DATOS</vt:lpstr>
      <vt:lpstr>ACTIVAS</vt:lpstr>
      <vt:lpstr>PARÁMETROS</vt:lpstr>
      <vt:lpstr>PROVINCIAS</vt:lpstr>
      <vt:lpstr>UNICOMER</vt:lpstr>
      <vt:lpstr>PAYUTE</vt:lpstr>
      <vt:lpstr>GESSA</vt:lpstr>
      <vt:lpstr>BNCR</vt:lpstr>
      <vt:lpstr>colono</vt:lpstr>
      <vt:lpstr>ABANGARES</vt:lpstr>
      <vt:lpstr>ACOSTA</vt:lpstr>
      <vt:lpstr>AGUIRRE</vt:lpstr>
      <vt:lpstr>ALAJUELA</vt:lpstr>
      <vt:lpstr>ALAJUELA_</vt:lpstr>
      <vt:lpstr>ALAJUELITA</vt:lpstr>
      <vt:lpstr>ALFARO_RUIZ</vt:lpstr>
      <vt:lpstr>ALVARADO</vt:lpstr>
      <vt:lpstr>'CONSTANCIA REQUISITOS'!Área_de_impresión</vt:lpstr>
      <vt:lpstr>FORMULARIO!Área_de_impresión</vt:lpstr>
      <vt:lpstr>'TOMA DATOS'!Área_de_impresión</vt:lpstr>
      <vt:lpstr>ASERRI</vt:lpstr>
      <vt:lpstr>ATENAS</vt:lpstr>
      <vt:lpstr>BARVA</vt:lpstr>
      <vt:lpstr>BELÉN</vt:lpstr>
      <vt:lpstr>BUENOS_AIRES</vt:lpstr>
      <vt:lpstr>CAÑAS</vt:lpstr>
      <vt:lpstr>CARRILLO</vt:lpstr>
      <vt:lpstr>CARTAGO</vt:lpstr>
      <vt:lpstr>CARTAGO_</vt:lpstr>
      <vt:lpstr>CORREDORES</vt:lpstr>
      <vt:lpstr>COTO_BRUS</vt:lpstr>
      <vt:lpstr>CURRIDABAT</vt:lpstr>
      <vt:lpstr>DESAMPARADOS</vt:lpstr>
      <vt:lpstr>DOTA</vt:lpstr>
      <vt:lpstr>EL_GUARCO</vt:lpstr>
      <vt:lpstr>ESCAZÚ</vt:lpstr>
      <vt:lpstr>ESPARZA</vt:lpstr>
      <vt:lpstr>FLORES</vt:lpstr>
      <vt:lpstr>GARABITO</vt:lpstr>
      <vt:lpstr>GOICOCHEA</vt:lpstr>
      <vt:lpstr>GOLFITO</vt:lpstr>
      <vt:lpstr>GRECIA</vt:lpstr>
      <vt:lpstr>GUÁCIMO</vt:lpstr>
      <vt:lpstr>GUANACASTE</vt:lpstr>
      <vt:lpstr>GUATUSO</vt:lpstr>
      <vt:lpstr>HEREDIA</vt:lpstr>
      <vt:lpstr>HEREDIA_</vt:lpstr>
      <vt:lpstr>HOJANCHA</vt:lpstr>
      <vt:lpstr>JIMÉNEZ</vt:lpstr>
      <vt:lpstr>LA_CRUZ</vt:lpstr>
      <vt:lpstr>LA_UNIÓN</vt:lpstr>
      <vt:lpstr>LEÓN_CORTES</vt:lpstr>
      <vt:lpstr>LIBERIA</vt:lpstr>
      <vt:lpstr>LIMÓN</vt:lpstr>
      <vt:lpstr>LIMÓN_</vt:lpstr>
      <vt:lpstr>LOS_CHILES</vt:lpstr>
      <vt:lpstr>MATINA</vt:lpstr>
      <vt:lpstr>MONTES_DE_OCA</vt:lpstr>
      <vt:lpstr>MONTES_DE_ORO</vt:lpstr>
      <vt:lpstr>MORA</vt:lpstr>
      <vt:lpstr>MORAVIA</vt:lpstr>
      <vt:lpstr>NANDAYURE</vt:lpstr>
      <vt:lpstr>NARANJO</vt:lpstr>
      <vt:lpstr>NICOYA</vt:lpstr>
      <vt:lpstr>OREAMUNO</vt:lpstr>
      <vt:lpstr>OROTINA</vt:lpstr>
      <vt:lpstr>OSA</vt:lpstr>
      <vt:lpstr>PALMARES</vt:lpstr>
      <vt:lpstr>PARAÍSO</vt:lpstr>
      <vt:lpstr>PARRITA</vt:lpstr>
      <vt:lpstr>PEREZ_ZELEDÓN</vt:lpstr>
      <vt:lpstr>POÁS</vt:lpstr>
      <vt:lpstr>POCOCI</vt:lpstr>
      <vt:lpstr>PROVINCIA</vt:lpstr>
      <vt:lpstr>PUNTARENAS</vt:lpstr>
      <vt:lpstr>PUNTARENAS_</vt:lpstr>
      <vt:lpstr>PURISCAL</vt:lpstr>
      <vt:lpstr>SAN_CARLOS</vt:lpstr>
      <vt:lpstr>SAN_ISIDRO</vt:lpstr>
      <vt:lpstr>SAN_JOSE</vt:lpstr>
      <vt:lpstr>SAN_MATEO</vt:lpstr>
      <vt:lpstr>SAN_PABLO</vt:lpstr>
      <vt:lpstr>SAN_RAFAEL</vt:lpstr>
      <vt:lpstr>SAN_RAMON</vt:lpstr>
      <vt:lpstr>SANTA_ANA</vt:lpstr>
      <vt:lpstr>SANTA_BÁRBARA</vt:lpstr>
      <vt:lpstr>SANTA_CRUZ</vt:lpstr>
      <vt:lpstr>SANTO_DOMINGO</vt:lpstr>
      <vt:lpstr>SARAPIQUÍ</vt:lpstr>
      <vt:lpstr>SIQUIRRES</vt:lpstr>
      <vt:lpstr>TALAMANCA</vt:lpstr>
      <vt:lpstr>TARRAZU</vt:lpstr>
      <vt:lpstr>TIBAS</vt:lpstr>
      <vt:lpstr>TILARAN</vt:lpstr>
      <vt:lpstr>FORMULARIO!Títulos_a_imprimir</vt:lpstr>
      <vt:lpstr>'TOMA DATOS'!Títulos_a_imprimir</vt:lpstr>
      <vt:lpstr>TURRIALBA</vt:lpstr>
      <vt:lpstr>TURRUBARES</vt:lpstr>
      <vt:lpstr>UPALA</vt:lpstr>
      <vt:lpstr>VALVERDE_VEGA</vt:lpstr>
      <vt:lpstr>VASQUEZ_DE_CORONADO</vt:lpstr>
    </vt:vector>
  </TitlesOfParts>
  <Manager/>
  <Company>Municipalidad de Tilarán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Onoris</dc:creator>
  <cp:keywords/>
  <dc:description/>
  <cp:lastModifiedBy>Mario humberto Alvarado Barrantes</cp:lastModifiedBy>
  <cp:revision/>
  <dcterms:created xsi:type="dcterms:W3CDTF">2001-07-11T14:16:01Z</dcterms:created>
  <dcterms:modified xsi:type="dcterms:W3CDTF">2026-03-18T16:29:41Z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0x010100C99935833AADD24FA15E15C2EC0E3986</vt:lpwstr>
  </property>
  <property fmtid="{D5CDD505-2E9C-101B-9397-08002B2CF9AE}" pid="3" name="Order">
    <vt:r8>3400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