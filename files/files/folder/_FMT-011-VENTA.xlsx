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mc:AlternateContent xmlns:mc="http://schemas.openxmlformats.org/markup-compatibility/2006">
    <mc:Choice Requires="x15">
      <x15ac:absPath xmlns:x15ac="http://schemas.microsoft.com/office/spreadsheetml/2010/11/ac" url="C:\Respaldo Coordinación PSCT 07122023\PROYECTOS 2024\FORMULARIOS WEB\"/>
    </mc:Choice>
  </mc:AlternateContent>
  <xr:revisionPtr revIDLastSave="0" documentId="13_ncr:1_{4C075F9C-9914-4815-827A-074412F237A2}" xr6:coauthVersionLast="47" xr6:coauthVersionMax="47" xr10:uidLastSave="{00000000-0000-0000-0000-000000000000}"/>
  <bookViews>
    <workbookView xWindow="-120" yWindow="-120" windowWidth="29040" windowHeight="15720" tabRatio="881" firstSheet="1" activeTab="1" xr2:uid="{00000000-000D-0000-FFFF-FFFF00000000}"/>
  </bookViews>
  <sheets>
    <sheet name="FACTORES" sheetId="23" state="hidden" r:id="rId1"/>
    <sheet name="FORMULARIO" sheetId="54" r:id="rId2"/>
    <sheet name="EX INS-F-D0139" sheetId="57" state="hidden" r:id="rId3"/>
    <sheet name="CALCULO AMBULANTES" sheetId="50" state="hidden" r:id="rId4"/>
    <sheet name="RESOLUCION AMBULANTES" sheetId="51" state="hidden" r:id="rId5"/>
    <sheet name="CERTIFICADO" sheetId="52" state="hidden" r:id="rId6"/>
    <sheet name="PARAMETROS" sheetId="55" state="hidden" r:id="rId7"/>
  </sheets>
  <externalReferences>
    <externalReference r:id="rId8"/>
  </externalReferences>
  <definedNames>
    <definedName name="_xlnm.Print_Area" localSheetId="3">'CALCULO AMBULANTES'!$A$1:$Y$45</definedName>
    <definedName name="_xlnm.Print_Area" localSheetId="5">CERTIFICADO!$B$1:$AJ$36</definedName>
    <definedName name="_xlnm.Print_Area" localSheetId="2">'EX INS-F-D0139'!$B$1:$O$114</definedName>
    <definedName name="_xlnm.Print_Area" localSheetId="1">FORMULARIO!$A$1:$AE$38</definedName>
    <definedName name="PROVINCIA">[1]PROVINCIAS!$A$2:$A$8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50" l="1"/>
  <c r="Q9" i="50" s="1"/>
  <c r="B32" i="50" s="1"/>
  <c r="M42" i="51"/>
  <c r="M43" i="51" s="1"/>
  <c r="Q13" i="51"/>
  <c r="F32" i="50" l="1"/>
  <c r="O44" i="50"/>
  <c r="U7" i="50"/>
  <c r="N27" i="57"/>
  <c r="D27" i="57"/>
  <c r="G7" i="50"/>
  <c r="C40" i="50"/>
  <c r="C11" i="51"/>
  <c r="H19" i="50"/>
  <c r="H18" i="50"/>
  <c r="Q18" i="50" s="1"/>
  <c r="H17" i="50"/>
  <c r="Q17" i="50" s="1"/>
  <c r="K13" i="50"/>
  <c r="J56" i="57" l="1"/>
  <c r="M55" i="57"/>
  <c r="G55" i="57"/>
  <c r="H54" i="57"/>
  <c r="E53" i="57"/>
  <c r="I51" i="57"/>
  <c r="G15" i="55"/>
  <c r="G16" i="55" s="1"/>
  <c r="G17" i="55" s="1"/>
  <c r="G18" i="55" s="1"/>
  <c r="G19" i="55" s="1"/>
  <c r="G20" i="55" s="1"/>
  <c r="G21" i="55" s="1"/>
  <c r="I50" i="57"/>
  <c r="C88" i="57"/>
  <c r="L52" i="57"/>
  <c r="E52" i="57"/>
  <c r="D37" i="54"/>
  <c r="Q19" i="50" l="1"/>
  <c r="E20" i="50" s="1"/>
  <c r="G22" i="55"/>
  <c r="G23" i="55" s="1"/>
  <c r="G24" i="55" s="1"/>
  <c r="G25" i="55" s="1"/>
  <c r="G26" i="55" s="1"/>
  <c r="G27" i="55" s="1"/>
  <c r="G28" i="55" s="1"/>
  <c r="G29" i="55" s="1"/>
  <c r="G30" i="55" s="1"/>
  <c r="G31" i="55" s="1"/>
  <c r="G32" i="55" s="1"/>
  <c r="G33" i="55" s="1"/>
  <c r="G34" i="55" s="1"/>
  <c r="G35" i="55" s="1"/>
  <c r="G36" i="55" s="1"/>
  <c r="G37" i="55" s="1"/>
  <c r="G38" i="55" s="1"/>
  <c r="G39" i="55" s="1"/>
  <c r="G40" i="55" s="1"/>
  <c r="G41" i="55" s="1"/>
  <c r="G42" i="55" s="1"/>
  <c r="G43" i="55" s="1"/>
  <c r="G44" i="55" s="1"/>
  <c r="G45" i="55" s="1"/>
  <c r="G46" i="55" s="1"/>
  <c r="G47" i="55" l="1"/>
  <c r="G48" i="55" s="1"/>
  <c r="G49" i="55" s="1"/>
  <c r="G50" i="55" s="1"/>
  <c r="G51" i="55" s="1"/>
  <c r="G52" i="55" s="1"/>
  <c r="G53" i="55" s="1"/>
  <c r="G54" i="55" s="1"/>
  <c r="G55" i="55" s="1"/>
  <c r="G56" i="55" s="1"/>
  <c r="G57" i="55" s="1"/>
  <c r="G58" i="55" s="1"/>
  <c r="G59" i="55" s="1"/>
  <c r="G60" i="55" s="1"/>
  <c r="G61" i="55" s="1"/>
  <c r="G62" i="55" s="1"/>
  <c r="G63" i="55" s="1"/>
  <c r="G64" i="55" s="1"/>
  <c r="G65" i="55" s="1"/>
  <c r="G66" i="55" s="1"/>
  <c r="G67" i="55" s="1"/>
  <c r="G68" i="55" s="1"/>
  <c r="G69" i="55" s="1"/>
  <c r="G70" i="55" s="1"/>
  <c r="G71" i="55" s="1"/>
  <c r="G72" i="55" s="1"/>
  <c r="G73" i="55" s="1"/>
  <c r="G74" i="55" s="1"/>
  <c r="G75" i="55" s="1"/>
  <c r="G76" i="55" s="1"/>
  <c r="G77" i="55" s="1"/>
  <c r="G78" i="55" s="1"/>
  <c r="G79" i="55" s="1"/>
  <c r="G80" i="55" s="1"/>
  <c r="G81" i="55" s="1"/>
  <c r="G82" i="55" s="1"/>
  <c r="A18" i="55"/>
  <c r="A19" i="55" s="1"/>
  <c r="A20" i="55" s="1"/>
  <c r="A21" i="55" s="1"/>
  <c r="A22" i="55" s="1"/>
  <c r="A23" i="55" s="1"/>
  <c r="A24" i="55" s="1"/>
  <c r="A25" i="55" s="1"/>
  <c r="A26" i="55" s="1"/>
  <c r="A27" i="55" s="1"/>
  <c r="A28" i="55" s="1"/>
  <c r="A29" i="55" s="1"/>
  <c r="A30" i="55" s="1"/>
  <c r="A31" i="55" s="1"/>
  <c r="A32" i="55" s="1"/>
  <c r="A33" i="55" s="1"/>
  <c r="A34" i="55" s="1"/>
  <c r="C38" i="50"/>
  <c r="C42" i="50"/>
  <c r="D13" i="52" l="1"/>
  <c r="D44" i="50"/>
  <c r="N13" i="50"/>
  <c r="Q13" i="50" s="1"/>
  <c r="T13" i="50" s="1"/>
  <c r="T14" i="50" s="1"/>
  <c r="D8" i="50"/>
  <c r="Q5" i="51"/>
  <c r="M38" i="51"/>
  <c r="C29" i="52" s="1"/>
  <c r="E37" i="50"/>
  <c r="L9" i="52"/>
  <c r="AD17" i="52"/>
  <c r="M19" i="52" s="1"/>
  <c r="C7" i="51"/>
  <c r="E44" i="51" s="1"/>
  <c r="C14" i="52"/>
  <c r="C15" i="52" s="1"/>
  <c r="H10" i="52"/>
  <c r="I11" i="51"/>
  <c r="H23" i="50"/>
  <c r="M39" i="51" l="1"/>
  <c r="C30" i="52" s="1"/>
  <c r="T7" i="51"/>
  <c r="J17" i="52"/>
  <c r="D22" i="50"/>
  <c r="G24" i="50" s="1"/>
  <c r="G26" i="50" s="1"/>
  <c r="K26" i="50" s="1"/>
  <c r="F27" i="50" l="1"/>
  <c r="F28" i="50" s="1"/>
  <c r="S32" i="50" s="1"/>
  <c r="K24" i="50"/>
  <c r="S34" i="50" l="1"/>
</calcChain>
</file>

<file path=xl/sharedStrings.xml><?xml version="1.0" encoding="utf-8"?>
<sst xmlns="http://schemas.openxmlformats.org/spreadsheetml/2006/main" count="389" uniqueCount="259">
  <si>
    <t>MUNICIPALIDAD DE TILARAN</t>
  </si>
  <si>
    <t>Administración Tributaria Municipal</t>
  </si>
  <si>
    <t>COBROS</t>
  </si>
  <si>
    <t>FACTORES DE UTILIDAD</t>
  </si>
  <si>
    <t>Manual de cobros I.F.A.M.</t>
  </si>
  <si>
    <t>Calculo del Impuesto de patentes</t>
  </si>
  <si>
    <t>ACTIVIDAD COMERCIAL</t>
  </si>
  <si>
    <t>MARGEN DE UTILIDAD</t>
  </si>
  <si>
    <t>FACTOR</t>
  </si>
  <si>
    <t>Carnes</t>
  </si>
  <si>
    <t>Abarrotes</t>
  </si>
  <si>
    <t>Productos farmacéuticos</t>
  </si>
  <si>
    <t>Productos para la agricultura</t>
  </si>
  <si>
    <t>Materiales de construcción</t>
  </si>
  <si>
    <t>Vestimenta</t>
  </si>
  <si>
    <t>Calzado</t>
  </si>
  <si>
    <t>Ferretería</t>
  </si>
  <si>
    <t>Librería</t>
  </si>
  <si>
    <t>Electrodomésticos</t>
  </si>
  <si>
    <t>Vehículos</t>
  </si>
  <si>
    <t>Artículos de boutique</t>
  </si>
  <si>
    <t>Almentos preparados</t>
  </si>
  <si>
    <t>Sodas, cafeterías, fondas restaurantes . . .</t>
  </si>
  <si>
    <t>Otros</t>
  </si>
  <si>
    <t>:</t>
  </si>
  <si>
    <t>a. INFORMACIÓN GENERAL DEL SOLICITANTE</t>
  </si>
  <si>
    <t>NOMBRE SOLICITANTE:</t>
  </si>
  <si>
    <t>LUGAR O MEDIO PARA  NOTIFICACIONES</t>
  </si>
  <si>
    <t>TELÉFONO:</t>
  </si>
  <si>
    <t>FIRMA solicitante</t>
  </si>
  <si>
    <t>b. INFORMACIÓN ADICIONAL</t>
  </si>
  <si>
    <t>LÍNEA COMERCIAL:</t>
  </si>
  <si>
    <t>MÁS DE ¢ 500.000.00</t>
  </si>
  <si>
    <t>DE ¢ 250.0001.00 ¢ 500.000.00</t>
  </si>
  <si>
    <t>DE ¢ 0.00 A ¢ 250.000</t>
  </si>
  <si>
    <t>c. REQUISITOS</t>
  </si>
  <si>
    <t>X</t>
  </si>
  <si>
    <t>a) Presentar la cédula de identidad o cédula de residencia libre de condición o DIMEX en caso de ser extranjero</t>
  </si>
  <si>
    <t>b) Póliza de riesgos del trabajo que emite el Instituto Nacional de Seguros al efecto. Si se trata de actividades lucrativas explotadas por el núcleo</t>
  </si>
  <si>
    <t xml:space="preserve"> familiar podrá presentarse el correspondiente certificado de exoneración extendido por el INS. Art 202 del Código de Trabajo.</t>
  </si>
  <si>
    <t>c) El solicitante se encuentra al día en el pago de los tributos municipales en favor de la Municipalidad de Tilarán.</t>
  </si>
  <si>
    <t>d) Cien colones en timbres fiscales o pago del entero.</t>
  </si>
  <si>
    <t>e) Ser mayor de edad o menor de edad debidamente autorizado, costarricense por nacimiento o naturalización o extranjero establecido permanente-</t>
  </si>
  <si>
    <t xml:space="preserve">mente en el país, con residencia no menor de 10 años, sometido al régimen jurídico y a la jurisdicción de los tribunales de la República, salvo lo que </t>
  </si>
  <si>
    <t>sobre el particular consignen los tratados o convenios internacionales.</t>
  </si>
  <si>
    <t>f) Constancia de inscripción ante la Dirección General de Tributación Directa.</t>
  </si>
  <si>
    <t>g) EL SOLICITANTE está al día en el pago de las obligaciones con la Caja Costarricense de Seguro Social.</t>
  </si>
  <si>
    <t>h) Queda prohibido el establecimiento de puestos fijos o transitorios de elaboración o venta de alimentos en calles, parques o aceras, u otros lugares públicos, con excepción de las ventas en ferias debidamente autorizadas de conformidad con las disposiciones reglamentarias correspondientes.</t>
  </si>
  <si>
    <t>REQUISITOS RECIBIDOS Y REVISADOS POR:</t>
  </si>
  <si>
    <t>FECHA:</t>
  </si>
  <si>
    <t>SOLICITUD DE PATENTE COMERCIAL PARA VENTAS AMBULANTES O ESTACIONARIAS EN VÍAS PÚBLICAS</t>
  </si>
  <si>
    <t>Calculo del Impuesto</t>
  </si>
  <si>
    <t>INFORMACIÓN GENERAL</t>
  </si>
  <si>
    <t>NOMBRE DEL SOLICITANTE:</t>
  </si>
  <si>
    <t>DIRECCIÓN:</t>
  </si>
  <si>
    <t>PATENTE COMERCIAL SOLICITADA:</t>
  </si>
  <si>
    <t>CODIGO:</t>
  </si>
  <si>
    <t>ACTIVIDAD:</t>
  </si>
  <si>
    <t>PERSONAL POR EMPLEAR INICIALMENTE</t>
  </si>
  <si>
    <t xml:space="preserve">CANTIDAD </t>
  </si>
  <si>
    <t>PUESTO</t>
  </si>
  <si>
    <t>SALARIO</t>
  </si>
  <si>
    <t>SALARIO GRUPAL</t>
  </si>
  <si>
    <t>CARGAS SOCIALES 31.36%</t>
  </si>
  <si>
    <t>COSTO MENSUAL</t>
  </si>
  <si>
    <t>1</t>
  </si>
  <si>
    <t>Licenciado Universitario</t>
  </si>
  <si>
    <t>COSTO ANUAL ESTIMADO a):</t>
  </si>
  <si>
    <t>FACTORES DE EVALUACIÓN ADICIONALES</t>
  </si>
  <si>
    <t>ZONA DE VENTA</t>
  </si>
  <si>
    <t>EDAD DEL SOLICITANTE</t>
  </si>
  <si>
    <t>e) PUNTAJE TOTAL:</t>
  </si>
  <si>
    <t>f) TOTAL GASTOS ESTIMADOS:</t>
  </si>
  <si>
    <t xml:space="preserve"> a * ( 1 +e/90 )</t>
  </si>
  <si>
    <t>g) FACTOR DE UTILIDAD:</t>
  </si>
  <si>
    <t>h) INGRESO BRUTO ESPERADO:</t>
  </si>
  <si>
    <t>* mes</t>
  </si>
  <si>
    <t xml:space="preserve">   ( f / g-1) * g</t>
  </si>
  <si>
    <t>i) RENTA LÍQUIDA ESPERADA:</t>
  </si>
  <si>
    <r>
      <t xml:space="preserve">j) IMPUESTO ANUAL </t>
    </r>
    <r>
      <rPr>
        <sz val="8"/>
        <rFont val="Arial Narrow"/>
        <family val="2"/>
      </rPr>
      <t>1.75/1000:</t>
    </r>
  </si>
  <si>
    <t>l) IMPUESTO TRIMESTRAL:</t>
  </si>
  <si>
    <t>ll) A PARTIR DEL TRIMESTRE:</t>
  </si>
  <si>
    <t>Timbre 2% impuesto de patentes, ley 7788</t>
  </si>
  <si>
    <t>TOTAL ACTIVIDADES AUTORIZADAS</t>
  </si>
  <si>
    <r>
      <t xml:space="preserve">EJECUTADO POR ( </t>
    </r>
    <r>
      <rPr>
        <sz val="8"/>
        <rFont val="Arial Narrow"/>
        <family val="2"/>
      </rPr>
      <t>firma</t>
    </r>
    <r>
      <rPr>
        <b/>
        <sz val="8"/>
        <rFont val="Arial Narrow"/>
        <family val="2"/>
      </rPr>
      <t xml:space="preserve"> ):</t>
    </r>
  </si>
  <si>
    <r>
      <t xml:space="preserve">REVISADO POR ( </t>
    </r>
    <r>
      <rPr>
        <sz val="8"/>
        <rFont val="Arial Narrow"/>
        <family val="2"/>
      </rPr>
      <t>firma</t>
    </r>
    <r>
      <rPr>
        <b/>
        <sz val="8"/>
        <rFont val="Arial Narrow"/>
        <family val="2"/>
      </rPr>
      <t xml:space="preserve"> ):</t>
    </r>
  </si>
  <si>
    <r>
      <t xml:space="preserve">APROBADO POR ( </t>
    </r>
    <r>
      <rPr>
        <sz val="8"/>
        <rFont val="Arial Narrow"/>
        <family val="2"/>
      </rPr>
      <t>firma</t>
    </r>
    <r>
      <rPr>
        <b/>
        <sz val="8"/>
        <rFont val="Arial Narrow"/>
        <family val="2"/>
      </rPr>
      <t xml:space="preserve"> ):</t>
    </r>
  </si>
  <si>
    <t>José Antonio Rodríguez Herrera</t>
  </si>
  <si>
    <t>PROCESO DE SERVICIOS CIUDADANOS Y TÉCNICOS</t>
  </si>
  <si>
    <t>Vista la solicitud de licencia comercial presentada mediante el formulario FMT 011 por:</t>
  </si>
  <si>
    <t>cédula nº:</t>
  </si>
  <si>
    <t>ésta Coordinación resuelve de conformidad con el artículo setenta y nueve, siguientes y concor-</t>
  </si>
  <si>
    <r>
      <t xml:space="preserve">dantes del Código Municipal </t>
    </r>
    <r>
      <rPr>
        <b/>
        <sz val="11"/>
        <rFont val="Tahoma"/>
        <family val="2"/>
      </rPr>
      <t>APROBAR</t>
    </r>
    <r>
      <rPr>
        <sz val="11"/>
        <rFont val="Tahoma"/>
        <family val="2"/>
      </rPr>
      <t xml:space="preserve"> el desarrollo de la siguiente actividad:</t>
    </r>
  </si>
  <si>
    <t xml:space="preserve">La actividad comercial autorizada, se desarrollará en </t>
  </si>
  <si>
    <t>debiendo el autorizado ajustarse a la legislación que a continuación se indica:</t>
  </si>
  <si>
    <t>√</t>
  </si>
  <si>
    <t>Original</t>
  </si>
  <si>
    <t>Copia 1:</t>
  </si>
  <si>
    <t>Oficina de gestión de cobros</t>
  </si>
  <si>
    <t>CERTIFICADO DE PATENTE COMERCIAL</t>
  </si>
  <si>
    <t>LÍNEA COMERCIAL AUTORIZADA:</t>
  </si>
  <si>
    <t>ZONA DE VENTA:</t>
  </si>
  <si>
    <t>ACTIVIDADES COMERCIALES AUTORIZADAS POR LA MUNICIPALIDAD DE TILARÁN:</t>
  </si>
  <si>
    <t>NINGUNA OTRA</t>
  </si>
  <si>
    <t>NOMBRE DEL PATENTADO:</t>
  </si>
  <si>
    <t>N° CEDULA:</t>
  </si>
  <si>
    <r>
      <t xml:space="preserve">EL PORTADOR DE LA </t>
    </r>
    <r>
      <rPr>
        <b/>
        <sz val="9"/>
        <rFont val="Tahoma"/>
        <family val="2"/>
      </rPr>
      <t>CÉDULA NÚMERO:</t>
    </r>
    <r>
      <rPr>
        <b/>
        <sz val="10"/>
        <rFont val="Tahoma"/>
        <family val="2"/>
      </rPr>
      <t xml:space="preserve"> </t>
    </r>
  </si>
  <si>
    <t>////Colóquese en lugar visible////</t>
  </si>
  <si>
    <t>Zeidy Campos Artavia</t>
  </si>
  <si>
    <t>OBSERVACIONES:</t>
  </si>
  <si>
    <t>MUNICIPALIDAD DE TILARÁN</t>
  </si>
  <si>
    <t>SALARIOS</t>
  </si>
  <si>
    <t>CATEGORÍAS</t>
  </si>
  <si>
    <t>SIGLAS</t>
  </si>
  <si>
    <t>Trabajador no Calificado Genéricos</t>
  </si>
  <si>
    <t>TNCG:</t>
  </si>
  <si>
    <t>Trabajador Semicalificado Genéricos</t>
  </si>
  <si>
    <t>TSCG</t>
  </si>
  <si>
    <t>Trabajador Calificado Genéricos</t>
  </si>
  <si>
    <t>TCG:</t>
  </si>
  <si>
    <t>Técnico Medio Educación Diver.</t>
  </si>
  <si>
    <t>TMED</t>
  </si>
  <si>
    <t>Trabajador Especializado Genéricos</t>
  </si>
  <si>
    <t>TEG:</t>
  </si>
  <si>
    <t>Técnico de Educación Superior</t>
  </si>
  <si>
    <t>TEdS</t>
  </si>
  <si>
    <t>Diplomados de Educación Superior</t>
  </si>
  <si>
    <t>DES:</t>
  </si>
  <si>
    <t>Bachiller Universitario</t>
  </si>
  <si>
    <t>Bach:</t>
  </si>
  <si>
    <t>Lic.:</t>
  </si>
  <si>
    <t>ASISTENTE TÉCNICO</t>
  </si>
  <si>
    <t>Annia Ramírez Rodríguez</t>
  </si>
  <si>
    <t>aramirez@tilaran.go.cr</t>
  </si>
  <si>
    <t>PLATAFORMISTA</t>
  </si>
  <si>
    <t>fperez@tilaran.go.cr</t>
  </si>
  <si>
    <t>Jimmy Espinoza Masis</t>
  </si>
  <si>
    <t>jespinoza@tilaran.go.cr</t>
  </si>
  <si>
    <t>jrodriguez@tilaran.go.cr</t>
  </si>
  <si>
    <t>COORDINADOR</t>
  </si>
  <si>
    <t>Yamileth Carvajal Manzanares</t>
  </si>
  <si>
    <t>ycarvajal@tilaran.go.cr</t>
  </si>
  <si>
    <t>zcampos@tilaran.go.cr</t>
  </si>
  <si>
    <t>Carolay Solera Calvo</t>
  </si>
  <si>
    <t>NA</t>
  </si>
  <si>
    <t>Frayman Perez Ramirez</t>
  </si>
  <si>
    <t>Rose Mary Ruiz Soto</t>
  </si>
  <si>
    <t>rruiz@tilaran.go.cr</t>
  </si>
  <si>
    <t>COORDINADOR DE DESARROLLO Y CONTROL URBANO</t>
  </si>
  <si>
    <t>Rigoberto Hernández Quesada</t>
  </si>
  <si>
    <t>rhernandez@tilaran.go.cr</t>
  </si>
  <si>
    <t>ENCARGADO DE BIENES INMUEBLES Y VALORACIÓN</t>
  </si>
  <si>
    <t>Gustavo Bogantes Morera</t>
  </si>
  <si>
    <t>gbogantes@tilaran.go.cr</t>
  </si>
  <si>
    <t>ENCARGADO DE CATASTRO</t>
  </si>
  <si>
    <t>INSPECTOR</t>
  </si>
  <si>
    <t>Brallan Vasquez Reyes</t>
  </si>
  <si>
    <t>bvasquez@tilaran.go.cr</t>
  </si>
  <si>
    <t>Uber Alberto Masis Solis</t>
  </si>
  <si>
    <t>hmasis@tilaran.go.cr</t>
  </si>
  <si>
    <t>Graciela Lopez Granados</t>
  </si>
  <si>
    <t>Gerald José Vega Zamora</t>
  </si>
  <si>
    <t>geraldvegazamora@gmail.com</t>
  </si>
  <si>
    <t>carolay.solera@tilaran.go.cr</t>
  </si>
  <si>
    <t>Mario Humberto Alvarado Barrantes</t>
  </si>
  <si>
    <t>mario.alvarado@tilaran.go.cr</t>
  </si>
  <si>
    <t xml:space="preserve">d. ACUSE DE RECIBIDO </t>
  </si>
  <si>
    <t>INSTITUTO NACIONAL DE SEGUROS</t>
  </si>
  <si>
    <t>Seguro Obligatorio de Riesgos del Trabajo</t>
  </si>
  <si>
    <t>Solicitud de validación del artículo 194 del Código de Trabajo</t>
  </si>
  <si>
    <t>REQUISITOS</t>
  </si>
  <si>
    <t>I. Original del documento de identificación del interesado, vigente y en buen estado.
II. Si el interesado (a) autoriza a otra persona para presentar esta solicitud a su nombre, debe aportar:
• Carta de autorización.
• Fotocopia del documento de identificación del interesado (a).
• Original del documento de identificación de la persona autorizada, vigente y en buen estado.
III. A efecto de verificar la actividad económica a exonerar, deberá presentar en original o fotocopia, alguno de los documentos que se citan:
• Permiso sanitario de funcionamiento vigente.
• Último recibo de la patente pagado o comprobante digital.
• Permiso o concesión vigente para transporte de personas.
• Si se encuentra tramitando por primera vez el permiso respectivo, podrá presentar el formulario de solicitud debidamente cumplimentado y
sellado por la institución correspondiente o en su defecto, comprobante digital cuando el trámite se pueda realizar en línea. No obstante, en el
caso del servicio de transporte de personas, solo debe presentar el formulario de “Solicitud de validación del artículo 194 del Código de Trabajo”
debidamente cumplimentado.
• Cualquier documento de respaldo de la actividad económica, expedido por la entidad reguladora en ese sector.</t>
  </si>
  <si>
    <t>DECLARACIÓN</t>
  </si>
  <si>
    <t>1. Yo</t>
  </si>
  <si>
    <t>, N° identificación</t>
  </si>
  <si>
    <t xml:space="preserve">declaro que la información suministrada en este documento es fiel reflejo de las condiciones en que realizaré la actividad, para la cual solicito la validación de conformidad con lo establecido en el artículo 194 del Título IV del Código de Trabajo, que a la letra señala: “Sin perjuicio de que, a solicitud del interesado, se pueda expedir el seguro contra riesgos del trabajo, estarán excluidos de las disposiciones de este Título:
a) La actividad laboral familiar de personas físicas, entendida ésta como la que se ejecuta entre los cónyuges, o los que viven como tales, entre éstos y sus ascendientes y descendientes, en beneficio común, cuando en forma indudable no exista relación de trabajo.
b) Los trabajadores que realicen actividades por cuenta propia, entendidos como los que trabajan solos o asociados, en forma independiente, y que no devengan salario.”
Asimismo, que los datos consignados son veraces y se pueden comprobar en cualquier momento y que, con la firma de este documento doy fe que conozco y acepto la responsabilidad existente por cualquier información suministrada que se compruebe ser falsa, todo de acuerdo con el marco legal costarricense.
</t>
  </si>
  <si>
    <t>INFORMACIÓN ACTIVIDAD ECONÓMICA</t>
  </si>
  <si>
    <t>2. Nombre del negocio:</t>
  </si>
  <si>
    <t>3. Dirección del negocio:</t>
  </si>
  <si>
    <t>4. Provincia:</t>
  </si>
  <si>
    <t>5. Cantón:</t>
  </si>
  <si>
    <t>6. Distrito:</t>
  </si>
  <si>
    <t>7. Correo electrónico:</t>
  </si>
  <si>
    <t>8. Teléfono del negocio:</t>
  </si>
  <si>
    <t>9. Número celular:</t>
  </si>
  <si>
    <t>10. Actividad económica del negocio:</t>
  </si>
  <si>
    <t>11. La actividad económica señalada anteriormente, la realiza:</t>
  </si>
  <si>
    <t>NO</t>
  </si>
  <si>
    <t>Con trabajadores a su cargo</t>
  </si>
  <si>
    <t>Asociado:</t>
  </si>
  <si>
    <t>Nombre</t>
  </si>
  <si>
    <t>N° identificación</t>
  </si>
  <si>
    <t>Con familiares:</t>
  </si>
  <si>
    <t>a. Seleccione la o las personas con quien ejecuta la actividad laboral.</t>
  </si>
  <si>
    <t xml:space="preserve">b. Selecciones si existe o no relación laboral; es decir, si hay o no remuneración, subordinación y prestación de un servicio. </t>
  </si>
  <si>
    <t>¿Existe relación laboral?</t>
  </si>
  <si>
    <t>SI</t>
  </si>
  <si>
    <t>Cónyuge / conviviente</t>
  </si>
  <si>
    <t>Papá / mamá</t>
  </si>
  <si>
    <t>Suegro (a)</t>
  </si>
  <si>
    <t>Hijo (a)</t>
  </si>
  <si>
    <t>Hijastro (a)</t>
  </si>
  <si>
    <t>Abuelo (a)</t>
  </si>
  <si>
    <t>Bisabuelo (a)</t>
  </si>
  <si>
    <t>Nieto (a)</t>
  </si>
  <si>
    <t>Bisnieto (a)</t>
  </si>
  <si>
    <t>Otros:</t>
  </si>
  <si>
    <t>Sólo</t>
  </si>
  <si>
    <t>12. Fecha de solicitud</t>
  </si>
  <si>
    <t>13. Firma del interesado (a)</t>
  </si>
  <si>
    <t>USO EXCLUSIVO DEL INSTITUTO NACIONAL DE SEGUROS</t>
  </si>
  <si>
    <t>VALIDACIÓN ART. 194</t>
  </si>
  <si>
    <t>14. De conformidad con lo dispuesto en el artículo 194 del Código de Trabajo y una vez analizada la información declarada anteriormente por la persona interesada, se tiene como resultado que:</t>
  </si>
  <si>
    <t>No está en la obligación de tomar la póliza del Seguro Obligatorio de Riesgos del Trabajo.</t>
  </si>
  <si>
    <t>Por tanto, esta condición rige a partir de la fecha de esta validación y se extenderá hasta un año calendario.</t>
  </si>
  <si>
    <t>Sin embargo, esta condición cesará automáticamente si los aspectos declarados en esta solicitud que consta en poder del Instituto Nacional
de Seguros varían, o se inicia una relación laboral en los términos del Código de Trabajo, por lo que la persona interesada quedará obligada a
adquirir la póliza del Seguro Obligatorio de Riesgos del Trabajo.</t>
  </si>
  <si>
    <t>Debe adquirir la póliza del Seguro Obligatorio de Riesgos del Trabajo.</t>
  </si>
  <si>
    <t>15. Fecha validación</t>
  </si>
  <si>
    <t>16. Sede</t>
  </si>
  <si>
    <t>17. Revisado</t>
  </si>
  <si>
    <t>18. Sello de Autorizado</t>
  </si>
  <si>
    <t>Instituto Nacional de Seguros / Apdo. Postal 10061-1000 Central telefónica 2287-6000 / Fax: 2243-7062
Consultas: contactenos@ins-cr.com / Defensoría del Cliente: defensoriadelcliente@ins-cr.com / página web: www.ins-cr.com</t>
  </si>
  <si>
    <t>CORREO:</t>
  </si>
  <si>
    <t>DOMICILIO:</t>
  </si>
  <si>
    <t>Todo el cantón</t>
  </si>
  <si>
    <t>Distrito Central</t>
  </si>
  <si>
    <t>Otros distritos</t>
  </si>
  <si>
    <t>EDAD DEL SOLICITANTE:</t>
  </si>
  <si>
    <t>puntos</t>
  </si>
  <si>
    <t>INVENTARIO SEMANAL MERCADERÍA</t>
  </si>
  <si>
    <t>CEL:</t>
  </si>
  <si>
    <t>ARTÍCULO 20 LEY N°  9505. Todos los patentados tienen la obligación de presentar, cada año, la declaración jurada del impuesto ante la Municipalidad de Tilarán y anexar la fotocopia de la declaración del impuesto sobre la renta del período sujeto a gravar, debidamente recibida por la Dirección General de Tributación, cualquiera que sea la cuantía de sus ingresos o ventas brutas obtenidas. En el mes de enero de cada año, podrá solicitarse en Plataforma de Servicios, el respectivo formulario.</t>
  </si>
  <si>
    <t>1133010200000-41</t>
  </si>
  <si>
    <t xml:space="preserve">Decreto Nº 43633-MTSS, publicado en el Alcance No.159 de La Gaceta No. 143, del 28072022. Rige 1º de julio del 2022 </t>
  </si>
  <si>
    <t>Columna1</t>
  </si>
  <si>
    <t>PUNTAJE</t>
  </si>
  <si>
    <t>INVENTARIO MERCADERÍA SEMANAL</t>
  </si>
  <si>
    <t>RESULTADO</t>
  </si>
  <si>
    <t>CÉDULA:</t>
  </si>
  <si>
    <t>1191020000000-02</t>
  </si>
  <si>
    <t>2023-01</t>
  </si>
  <si>
    <t>Municipalidad de Tilarán</t>
  </si>
  <si>
    <r>
      <t xml:space="preserve">HA CUMPLIDO CON LOS </t>
    </r>
    <r>
      <rPr>
        <b/>
        <sz val="9"/>
        <rFont val="Tahoma"/>
        <family val="2"/>
      </rPr>
      <t>REQUISITOS NECESARIOS</t>
    </r>
    <r>
      <rPr>
        <b/>
        <sz val="10"/>
        <rFont val="Tahoma"/>
        <family val="2"/>
      </rPr>
      <t xml:space="preserve"> PARA OTORGARLE LA </t>
    </r>
  </si>
  <si>
    <t>LICENCIA MUNICIPAL HASTA EL 30 DE ABRIL DEL AÑO:</t>
  </si>
  <si>
    <t>Proceso de Servicos Ciudadanos y Técnicos</t>
  </si>
  <si>
    <t xml:space="preserve">ARTÍCULO Nº 90 bis DEL CÓDIGO MUNICIPAL: La licencia referida en el artículo 88, podrá suspenderse por falta de pago de dos o más trimestres, o bien por incumplimiento de los requisitos ordenados en las leyes para el desarrollo de la actividad. ... </t>
  </si>
  <si>
    <t>TIPO DE PATENTE</t>
  </si>
  <si>
    <t>FORMULARIO DE SOLICITUD DE PATENTES PARA VENTAS AMBULANTES O ESTACIONARIOS EN VÍAS PÚBLICAS</t>
  </si>
  <si>
    <t>TIPO DE PATENTE:</t>
  </si>
  <si>
    <r>
      <t>UBICACIÓN: (</t>
    </r>
    <r>
      <rPr>
        <sz val="10"/>
        <rFont val="Tahoma"/>
        <family val="2"/>
      </rPr>
      <t>sólo estacionarios</t>
    </r>
    <r>
      <rPr>
        <b/>
        <sz val="10"/>
        <rFont val="Tahoma"/>
        <family val="2"/>
      </rPr>
      <t>):</t>
    </r>
  </si>
  <si>
    <t>i) Para el caso de los puestos estacionarios, el solicitante deberá aportar acuerdo municipal de adjudicación del mismo</t>
  </si>
  <si>
    <t>Ventas ambulantes (Buhonero)</t>
  </si>
  <si>
    <t>Ventas estacionarias en vía pública</t>
  </si>
  <si>
    <t>1133010200000-E5</t>
  </si>
  <si>
    <t>CÓDIGO:</t>
  </si>
  <si>
    <t>ARTICULO 5° DEL REGLAMENTO DE VENTAS AMBULANTES Y ESTACIONARIAS EN VÍAS PÚBLICAS: Las licencias municipales se podrán suspender por: a)	Por falta de pago de dos o más trimestres. b)	En caso de que el concesionario o el núcleo familiar no la utilice en forma regular, por espacio mínimo de tres meses. c)	Cuando se compruebe que se ha transferido el derecho a otra persona o que el concesionario o núcleo familiar no atienda el puesto. d)	Por denuncia formal comprobada ante la Municipalidad contra el concesionario, por motivos inmorales y contra las buenas costumbres. e)	Cambio de línea comercial establecida en la adjudicación de la licencia, sin autorización previa de la Municipalidad. f) No acatamiento a las órdenes emitidas por la Municipalidad para el buen funcionamiento. g) Cuando de alguna forma se violente el orden público y la tranquilidad pública. h) Cuando el patentado omita presentar la Declaración jurada de sus ventas brutas e ingresos brutos, a que hace referencia el artículo 20 de la Ley n° 9505 Licencias para actividades lucrativas del cantón de Tilarán.</t>
  </si>
  <si>
    <t xml:space="preserve">ARTICULO 10° DEL REGLAMENTO DE VENTAS AMBULANTES Y ESTACIONARIAS EN VÍAS PÚBLICAS: No podrán ubicarse puestos obstruyendo ventanas, entradas, esquinas donde converjan las zonas de seguridad peatonal, frente a monumentos nacionales; en la parada de autobuses y el Mercado Municipal. </t>
  </si>
  <si>
    <t>ARTICULO 11° DEL REGLAMENTO DE VENTAS AMBULANTES Y ESTACIONARIAS EN VÍAS PÚBLICAS: Quedan terminantemente prohibidas en ventanas de comercios establecidos cuando los dependientes y/o productos tengan que ocupar la vía pública para ejercer la actividad.</t>
  </si>
  <si>
    <t>ARTICULO 20° DEL REGLAMENTO DE VENTAS AMBULANTES Y ESTACIONARIAS EN VÍAS PÚBLICAS: La solicitud de cambio de línea comercial deberá ser tramitada ante la Coordinación del Proceso de Servicios Ciudadanos y Técnicos, mediante escrito.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</si>
</sst>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F800]dddd\,\ mmmm\ dd\,\ yyyy"/>
    <numFmt numFmtId="165" formatCode="dd/mm/yyyy;@"/>
  </numFmts>
  <fonts count="69" x14ac:knownFonts="1">
    <font>
      <sz val="10"/>
      <name val="Arial"/>
    </font>
    <font>
      <sz val="11"/>
      <color theme="1"/>
      <name val="Calibri"/>
      <family val="2"/>
      <scheme val="minor"/>
    </font>
    <font>
      <sz val="10"/>
      <name val="Arial"/>
      <family val="2"/>
    </font>
    <font>
      <sz val="10"/>
      <name val="Tahoma"/>
      <family val="2"/>
    </font>
    <font>
      <sz val="12"/>
      <name val="Tahoma"/>
      <family val="2"/>
    </font>
    <font>
      <b/>
      <sz val="10"/>
      <name val="Tahoma"/>
      <family val="2"/>
    </font>
    <font>
      <b/>
      <sz val="8"/>
      <name val="Arial"/>
      <family val="2"/>
    </font>
    <font>
      <b/>
      <sz val="12"/>
      <name val="Tahoma"/>
      <family val="2"/>
    </font>
    <font>
      <sz val="11"/>
      <name val="Tahoma"/>
      <family val="2"/>
    </font>
    <font>
      <b/>
      <sz val="11"/>
      <name val="Tahoma"/>
      <family val="2"/>
    </font>
    <font>
      <sz val="8"/>
      <name val="Arial"/>
      <family val="2"/>
    </font>
    <font>
      <sz val="10"/>
      <name val="Arial"/>
      <family val="2"/>
    </font>
    <font>
      <b/>
      <sz val="10"/>
      <name val="Arial"/>
      <family val="2"/>
    </font>
    <font>
      <sz val="6"/>
      <name val="Arial"/>
      <family val="2"/>
    </font>
    <font>
      <sz val="14"/>
      <name val="Arial"/>
      <family val="2"/>
    </font>
    <font>
      <b/>
      <sz val="9"/>
      <name val="Tahoma"/>
      <family val="2"/>
    </font>
    <font>
      <u/>
      <sz val="10"/>
      <color indexed="12"/>
      <name val="Arial"/>
      <family val="2"/>
    </font>
    <font>
      <sz val="10"/>
      <name val="Courier New"/>
      <family val="3"/>
    </font>
    <font>
      <u/>
      <sz val="8"/>
      <color indexed="12"/>
      <name val="Arial"/>
      <family val="2"/>
    </font>
    <font>
      <sz val="8"/>
      <name val="Courier New"/>
      <family val="3"/>
    </font>
    <font>
      <sz val="12"/>
      <name val="Courier New"/>
      <family val="3"/>
    </font>
    <font>
      <b/>
      <sz val="22"/>
      <name val="Copperplate Gothic Light"/>
      <family val="2"/>
    </font>
    <font>
      <sz val="7"/>
      <name val="Courier New"/>
      <family val="3"/>
    </font>
    <font>
      <b/>
      <sz val="12"/>
      <color indexed="10"/>
      <name val="Arial"/>
      <family val="2"/>
    </font>
    <font>
      <sz val="18"/>
      <name val="Tahoma"/>
      <family val="2"/>
    </font>
    <font>
      <u/>
      <sz val="10"/>
      <color indexed="12"/>
      <name val="Arial"/>
      <family val="2"/>
    </font>
    <font>
      <b/>
      <i/>
      <sz val="8"/>
      <name val="Arial"/>
      <family val="2"/>
    </font>
    <font>
      <b/>
      <sz val="12"/>
      <name val="Courier New"/>
      <family val="3"/>
    </font>
    <font>
      <b/>
      <sz val="14"/>
      <name val="Arial"/>
      <family val="2"/>
    </font>
    <font>
      <sz val="18"/>
      <name val="Arial"/>
      <family val="2"/>
    </font>
    <font>
      <b/>
      <sz val="7"/>
      <name val="Tahoma"/>
      <family val="2"/>
    </font>
    <font>
      <sz val="10"/>
      <name val="Arial Narrow"/>
      <family val="2"/>
    </font>
    <font>
      <b/>
      <sz val="10"/>
      <color indexed="10"/>
      <name val="Arial"/>
      <family val="2"/>
    </font>
    <font>
      <b/>
      <sz val="14"/>
      <name val="Baskerville Old Face"/>
      <family val="1"/>
    </font>
    <font>
      <sz val="11"/>
      <color theme="1"/>
      <name val="Calibri"/>
      <family val="2"/>
      <scheme val="minor"/>
    </font>
    <font>
      <sz val="10"/>
      <color rgb="FFFF0000"/>
      <name val="Arial"/>
      <family val="2"/>
    </font>
    <font>
      <b/>
      <sz val="9"/>
      <color rgb="FFFF0000"/>
      <name val="Courier New"/>
      <family val="3"/>
    </font>
    <font>
      <sz val="11"/>
      <name val="Arial Narrow"/>
      <family val="2"/>
    </font>
    <font>
      <b/>
      <sz val="8"/>
      <name val="Arial Narrow"/>
      <family val="2"/>
    </font>
    <font>
      <sz val="12"/>
      <name val="Arial Narrow"/>
      <family val="2"/>
    </font>
    <font>
      <b/>
      <sz val="14"/>
      <color indexed="10"/>
      <name val="Arial Narrow"/>
      <family val="2"/>
    </font>
    <font>
      <b/>
      <sz val="10"/>
      <name val="Arial Narrow"/>
      <family val="2"/>
    </font>
    <font>
      <b/>
      <sz val="9"/>
      <name val="Arial Narrow"/>
      <family val="2"/>
    </font>
    <font>
      <sz val="9"/>
      <name val="Arial Narrow"/>
      <family val="2"/>
    </font>
    <font>
      <u/>
      <sz val="8"/>
      <color indexed="12"/>
      <name val="Arial Narrow"/>
      <family val="2"/>
    </font>
    <font>
      <b/>
      <sz val="7"/>
      <name val="Arial Narrow"/>
      <family val="2"/>
    </font>
    <font>
      <sz val="7"/>
      <name val="Arial Narrow"/>
      <family val="2"/>
    </font>
    <font>
      <sz val="6"/>
      <name val="Arial Narrow"/>
      <family val="2"/>
    </font>
    <font>
      <sz val="8"/>
      <name val="Arial Narrow"/>
      <family val="2"/>
    </font>
    <font>
      <sz val="14"/>
      <name val="Arial Narrow"/>
      <family val="2"/>
    </font>
    <font>
      <b/>
      <sz val="6"/>
      <name val="Arial Narrow"/>
      <family val="2"/>
    </font>
    <font>
      <sz val="10"/>
      <color rgb="FFFF0000"/>
      <name val="Arial Narrow"/>
      <family val="2"/>
    </font>
    <font>
      <sz val="16"/>
      <name val="Arial Narrow"/>
      <family val="2"/>
    </font>
    <font>
      <u/>
      <sz val="10"/>
      <color theme="10"/>
      <name val="Arial"/>
      <family val="2"/>
    </font>
    <font>
      <sz val="7"/>
      <name val="Arial"/>
      <family val="2"/>
    </font>
    <font>
      <b/>
      <sz val="7"/>
      <name val="Arial"/>
      <family val="2"/>
    </font>
    <font>
      <b/>
      <sz val="6"/>
      <name val="Arial"/>
      <family val="2"/>
    </font>
    <font>
      <sz val="9"/>
      <name val="Courier New"/>
      <family val="3"/>
    </font>
    <font>
      <u/>
      <sz val="10"/>
      <color indexed="12"/>
      <name val="Courier New"/>
      <family val="3"/>
    </font>
    <font>
      <sz val="10"/>
      <color rgb="FFFF0000"/>
      <name val="Courier New"/>
      <family val="3"/>
    </font>
    <font>
      <sz val="11"/>
      <color rgb="FFFF0000"/>
      <name val="Courier New"/>
      <family val="3"/>
    </font>
    <font>
      <sz val="6"/>
      <color rgb="FFFF0000"/>
      <name val="Courier New"/>
      <family val="3"/>
    </font>
    <font>
      <b/>
      <sz val="12"/>
      <color rgb="FFFF0000"/>
      <name val="Courier New"/>
      <family val="3"/>
    </font>
    <font>
      <sz val="11"/>
      <name val="Courier New"/>
      <family val="3"/>
    </font>
    <font>
      <b/>
      <sz val="8"/>
      <name val="Courier New"/>
      <family val="3"/>
    </font>
    <font>
      <b/>
      <sz val="9"/>
      <name val="Courier New"/>
      <family val="3"/>
    </font>
    <font>
      <sz val="14"/>
      <name val="Courier New"/>
      <family val="3"/>
    </font>
    <font>
      <b/>
      <sz val="10"/>
      <color rgb="FFFF0000"/>
      <name val="Arial Narrow"/>
      <family val="2"/>
    </font>
    <font>
      <b/>
      <sz val="12"/>
      <name val="Arial"/>
      <family val="2"/>
    </font>
  </fonts>
  <fills count="6">
    <fill>
      <patternFill patternType="none"/>
    </fill>
    <fill>
      <patternFill patternType="gray125"/>
    </fill>
    <fill>
      <patternFill patternType="solid">
        <fgColor theme="2" tint="-9.9978637043366805E-2"/>
        <bgColor indexed="64"/>
      </patternFill>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s>
  <borders count="48">
    <border>
      <left/>
      <right/>
      <top/>
      <bottom/>
      <diagonal/>
    </border>
    <border>
      <left/>
      <right/>
      <top/>
      <bottom style="thin">
        <color indexed="64"/>
      </bottom>
      <diagonal/>
    </border>
    <border>
      <left/>
      <right/>
      <top/>
      <bottom style="double">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top style="thin">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medium">
        <color indexed="64"/>
      </right>
      <top style="thin">
        <color indexed="64"/>
      </top>
      <bottom style="thin">
        <color indexed="64"/>
      </bottom>
      <diagonal/>
    </border>
    <border>
      <left style="thin">
        <color indexed="64"/>
      </left>
      <right/>
      <top/>
      <bottom style="medium">
        <color indexed="64"/>
      </bottom>
      <diagonal/>
    </border>
    <border>
      <left style="medium">
        <color indexed="64"/>
      </left>
      <right/>
      <top style="thin">
        <color indexed="64"/>
      </top>
      <bottom/>
      <diagonal/>
    </border>
    <border>
      <left style="medium">
        <color indexed="64"/>
      </left>
      <right/>
      <top/>
      <bottom style="thin">
        <color indexed="64"/>
      </bottom>
      <diagonal/>
    </border>
    <border>
      <left/>
      <right style="medium">
        <color indexed="64"/>
      </right>
      <top style="thin">
        <color indexed="64"/>
      </top>
      <bottom/>
      <diagonal/>
    </border>
    <border>
      <left/>
      <right style="thin">
        <color indexed="64"/>
      </right>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s>
  <cellStyleXfs count="9">
    <xf numFmtId="0" fontId="0" fillId="0" borderId="0"/>
    <xf numFmtId="0" fontId="16"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43" fontId="2" fillId="0" borderId="0" applyFont="0" applyFill="0" applyBorder="0" applyAlignment="0" applyProtection="0"/>
    <xf numFmtId="0" fontId="11" fillId="0" borderId="0"/>
    <xf numFmtId="0" fontId="11" fillId="0" borderId="0"/>
    <xf numFmtId="0" fontId="34" fillId="0" borderId="0"/>
    <xf numFmtId="0" fontId="53" fillId="0" borderId="0" applyNumberFormat="0" applyFill="0" applyBorder="0" applyAlignment="0" applyProtection="0"/>
    <xf numFmtId="0" fontId="1" fillId="0" borderId="0"/>
  </cellStyleXfs>
  <cellXfs count="424">
    <xf numFmtId="0" fontId="0" fillId="0" borderId="0" xfId="0"/>
    <xf numFmtId="0" fontId="3" fillId="0" borderId="0" xfId="0" applyFont="1"/>
    <xf numFmtId="0" fontId="6" fillId="0" borderId="0" xfId="0" applyFont="1"/>
    <xf numFmtId="0" fontId="0" fillId="0" borderId="1" xfId="0" applyBorder="1"/>
    <xf numFmtId="0" fontId="6" fillId="0" borderId="2" xfId="0" applyFont="1" applyBorder="1" applyAlignment="1">
      <alignment horizontal="center"/>
    </xf>
    <xf numFmtId="0" fontId="8" fillId="0" borderId="0" xfId="0" applyFont="1" applyAlignment="1">
      <alignment vertical="center"/>
    </xf>
    <xf numFmtId="0" fontId="9" fillId="0" borderId="0" xfId="0" applyFont="1" applyAlignment="1">
      <alignment vertical="center"/>
    </xf>
    <xf numFmtId="0" fontId="7" fillId="0" borderId="0" xfId="0" applyFont="1"/>
    <xf numFmtId="0" fontId="0" fillId="0" borderId="0" xfId="0" applyAlignment="1">
      <alignment horizontal="center"/>
    </xf>
    <xf numFmtId="0" fontId="6" fillId="0" borderId="0" xfId="0" applyFont="1" applyAlignment="1">
      <alignment horizontal="center"/>
    </xf>
    <xf numFmtId="0" fontId="0" fillId="0" borderId="0" xfId="0" applyAlignment="1">
      <alignment vertical="center"/>
    </xf>
    <xf numFmtId="0" fontId="4" fillId="0" borderId="0" xfId="0" applyFont="1"/>
    <xf numFmtId="0" fontId="0" fillId="0" borderId="3" xfId="0" applyBorder="1"/>
    <xf numFmtId="0" fontId="0" fillId="0" borderId="4" xfId="0" applyBorder="1"/>
    <xf numFmtId="0" fontId="0" fillId="0" borderId="5" xfId="0" applyBorder="1"/>
    <xf numFmtId="0" fontId="0" fillId="0" borderId="6" xfId="0" applyBorder="1"/>
    <xf numFmtId="10" fontId="6" fillId="0" borderId="0" xfId="0" applyNumberFormat="1" applyFont="1" applyAlignment="1">
      <alignment horizontal="center" wrapText="1"/>
    </xf>
    <xf numFmtId="10" fontId="8" fillId="0" borderId="0" xfId="0" applyNumberFormat="1" applyFont="1" applyAlignment="1">
      <alignment horizontal="center" vertical="center"/>
    </xf>
    <xf numFmtId="10" fontId="0" fillId="0" borderId="0" xfId="0" applyNumberFormat="1" applyAlignment="1">
      <alignment horizontal="center"/>
    </xf>
    <xf numFmtId="10" fontId="0" fillId="0" borderId="1" xfId="0" applyNumberFormat="1" applyBorder="1" applyAlignment="1">
      <alignment horizontal="center"/>
    </xf>
    <xf numFmtId="10" fontId="14" fillId="0" borderId="7" xfId="0" applyNumberFormat="1" applyFont="1" applyBorder="1" applyAlignment="1">
      <alignment horizontal="center"/>
    </xf>
    <xf numFmtId="0" fontId="14" fillId="0" borderId="8" xfId="0" applyFont="1" applyBorder="1" applyAlignment="1">
      <alignment horizontal="center"/>
    </xf>
    <xf numFmtId="10" fontId="6" fillId="0" borderId="2" xfId="0" applyNumberFormat="1" applyFont="1" applyBorder="1" applyAlignment="1">
      <alignment horizontal="center" wrapText="1"/>
    </xf>
    <xf numFmtId="0" fontId="0" fillId="0" borderId="0" xfId="0" applyAlignment="1">
      <alignment horizontal="left"/>
    </xf>
    <xf numFmtId="0" fontId="12" fillId="0" borderId="0" xfId="0" applyFont="1" applyAlignment="1">
      <alignment horizontal="center"/>
    </xf>
    <xf numFmtId="0" fontId="8" fillId="0" borderId="0" xfId="0" applyFont="1" applyAlignment="1">
      <alignment horizontal="left"/>
    </xf>
    <xf numFmtId="0" fontId="11" fillId="0" borderId="12" xfId="5" applyBorder="1"/>
    <xf numFmtId="0" fontId="11" fillId="0" borderId="13" xfId="5" applyBorder="1" applyAlignment="1">
      <alignment horizontal="left"/>
    </xf>
    <xf numFmtId="0" fontId="11" fillId="0" borderId="13" xfId="5" applyBorder="1"/>
    <xf numFmtId="0" fontId="11" fillId="0" borderId="0" xfId="5"/>
    <xf numFmtId="0" fontId="11" fillId="0" borderId="14" xfId="5" applyBorder="1"/>
    <xf numFmtId="0" fontId="3" fillId="0" borderId="0" xfId="5" applyFont="1" applyAlignment="1">
      <alignment horizontal="left"/>
    </xf>
    <xf numFmtId="0" fontId="7" fillId="0" borderId="0" xfId="5" applyFont="1" applyAlignment="1">
      <alignment horizontal="center"/>
    </xf>
    <xf numFmtId="0" fontId="5" fillId="0" borderId="0" xfId="5" applyFont="1"/>
    <xf numFmtId="0" fontId="17" fillId="0" borderId="0" xfId="5" applyFont="1" applyAlignment="1">
      <alignment vertical="center"/>
    </xf>
    <xf numFmtId="0" fontId="17" fillId="0" borderId="0" xfId="5" applyFont="1" applyAlignment="1">
      <alignment horizontal="left"/>
    </xf>
    <xf numFmtId="0" fontId="17" fillId="0" borderId="0" xfId="5" applyFont="1"/>
    <xf numFmtId="0" fontId="3" fillId="0" borderId="0" xfId="5" applyFont="1"/>
    <xf numFmtId="0" fontId="5" fillId="0" borderId="0" xfId="5" applyFont="1" applyAlignment="1">
      <alignment horizontal="center"/>
    </xf>
    <xf numFmtId="0" fontId="15" fillId="0" borderId="0" xfId="5" applyFont="1"/>
    <xf numFmtId="0" fontId="22" fillId="0" borderId="0" xfId="5" applyFont="1"/>
    <xf numFmtId="0" fontId="17" fillId="0" borderId="0" xfId="5" applyFont="1" applyAlignment="1">
      <alignment horizontal="center"/>
    </xf>
    <xf numFmtId="0" fontId="12" fillId="0" borderId="0" xfId="5" applyFont="1"/>
    <xf numFmtId="0" fontId="11" fillId="0" borderId="0" xfId="5" applyAlignment="1">
      <alignment horizontal="left"/>
    </xf>
    <xf numFmtId="0" fontId="24" fillId="0" borderId="0" xfId="5" applyFont="1"/>
    <xf numFmtId="0" fontId="10" fillId="0" borderId="0" xfId="5" applyFont="1"/>
    <xf numFmtId="0" fontId="20" fillId="0" borderId="0" xfId="5" applyFont="1"/>
    <xf numFmtId="0" fontId="11" fillId="0" borderId="15" xfId="5" applyBorder="1"/>
    <xf numFmtId="0" fontId="11" fillId="0" borderId="16" xfId="5" applyBorder="1" applyAlignment="1">
      <alignment horizontal="left"/>
    </xf>
    <xf numFmtId="0" fontId="11" fillId="0" borderId="16" xfId="5" applyBorder="1"/>
    <xf numFmtId="0" fontId="11" fillId="0" borderId="18" xfId="5" applyBorder="1"/>
    <xf numFmtId="0" fontId="11" fillId="0" borderId="19" xfId="5" applyBorder="1"/>
    <xf numFmtId="0" fontId="11" fillId="0" borderId="20" xfId="5" applyBorder="1"/>
    <xf numFmtId="0" fontId="29" fillId="0" borderId="0" xfId="0" applyFont="1" applyAlignment="1">
      <alignment horizontal="right"/>
    </xf>
    <xf numFmtId="0" fontId="15" fillId="0" borderId="12" xfId="0" applyFont="1" applyBorder="1" applyAlignment="1">
      <alignment horizontal="left" vertical="center"/>
    </xf>
    <xf numFmtId="0" fontId="15" fillId="0" borderId="13" xfId="0" applyFont="1" applyBorder="1" applyAlignment="1">
      <alignment horizontal="center" vertical="center"/>
    </xf>
    <xf numFmtId="0" fontId="15" fillId="0" borderId="14" xfId="0" applyFont="1" applyBorder="1" applyAlignment="1">
      <alignment horizontal="left" vertical="center"/>
    </xf>
    <xf numFmtId="0" fontId="5" fillId="0" borderId="0" xfId="0" applyFont="1" applyAlignment="1">
      <alignment horizontal="left" vertical="center"/>
    </xf>
    <xf numFmtId="0" fontId="0" fillId="0" borderId="19" xfId="0" applyBorder="1"/>
    <xf numFmtId="0" fontId="0" fillId="0" borderId="14" xfId="0" applyBorder="1"/>
    <xf numFmtId="0" fontId="0" fillId="0" borderId="16" xfId="0" applyBorder="1"/>
    <xf numFmtId="0" fontId="0" fillId="0" borderId="20" xfId="0" applyBorder="1"/>
    <xf numFmtId="0" fontId="12" fillId="0" borderId="0" xfId="0" applyFont="1"/>
    <xf numFmtId="0" fontId="31" fillId="3" borderId="0" xfId="0" applyFont="1" applyFill="1" applyAlignment="1">
      <alignment vertical="center"/>
    </xf>
    <xf numFmtId="0" fontId="11" fillId="3" borderId="0" xfId="0" applyFont="1" applyFill="1" applyAlignment="1">
      <alignment vertical="center"/>
    </xf>
    <xf numFmtId="0" fontId="0" fillId="3" borderId="0" xfId="0" applyFill="1" applyAlignment="1">
      <alignment vertical="center"/>
    </xf>
    <xf numFmtId="0" fontId="12" fillId="3" borderId="0" xfId="0" applyFont="1" applyFill="1" applyAlignment="1">
      <alignment vertical="center"/>
    </xf>
    <xf numFmtId="0" fontId="31" fillId="0" borderId="0" xfId="0" applyFont="1" applyAlignment="1">
      <alignment vertical="center"/>
    </xf>
    <xf numFmtId="0" fontId="31" fillId="0" borderId="0" xfId="0" applyFont="1"/>
    <xf numFmtId="0" fontId="12" fillId="0" borderId="0" xfId="0" applyFont="1" applyAlignment="1">
      <alignment vertical="center"/>
    </xf>
    <xf numFmtId="49" fontId="11" fillId="0" borderId="0" xfId="0" applyNumberFormat="1" applyFont="1" applyAlignment="1">
      <alignment horizontal="center" vertical="center"/>
    </xf>
    <xf numFmtId="0" fontId="12" fillId="0" borderId="0" xfId="0" applyFont="1" applyAlignment="1">
      <alignment horizontal="center" vertical="center" wrapText="1"/>
    </xf>
    <xf numFmtId="0" fontId="12" fillId="0" borderId="0" xfId="0" applyFont="1" applyAlignment="1">
      <alignment horizontal="center" vertical="center"/>
    </xf>
    <xf numFmtId="0" fontId="13" fillId="0" borderId="0" xfId="0" applyFont="1" applyAlignment="1">
      <alignment vertical="center"/>
    </xf>
    <xf numFmtId="0" fontId="26" fillId="0" borderId="0" xfId="0" applyFont="1" applyAlignment="1">
      <alignment vertical="center" wrapText="1"/>
    </xf>
    <xf numFmtId="0" fontId="0" fillId="0" borderId="0" xfId="0" applyAlignment="1">
      <alignment horizontal="left" vertical="center"/>
    </xf>
    <xf numFmtId="0" fontId="32" fillId="0" borderId="17" xfId="0" applyFont="1" applyBorder="1" applyAlignment="1">
      <alignment horizontal="center" vertical="center"/>
    </xf>
    <xf numFmtId="0" fontId="0" fillId="0" borderId="12" xfId="0" applyBorder="1"/>
    <xf numFmtId="0" fontId="0" fillId="0" borderId="13" xfId="0" applyBorder="1"/>
    <xf numFmtId="0" fontId="0" fillId="0" borderId="18" xfId="0" applyBorder="1"/>
    <xf numFmtId="0" fontId="0" fillId="0" borderId="15" xfId="0" applyBorder="1"/>
    <xf numFmtId="0" fontId="0" fillId="0" borderId="16" xfId="0" applyBorder="1" applyAlignment="1">
      <alignment horizontal="left"/>
    </xf>
    <xf numFmtId="0" fontId="33" fillId="0" borderId="19" xfId="0" applyFont="1" applyBorder="1" applyAlignment="1">
      <alignment vertical="center"/>
    </xf>
    <xf numFmtId="0" fontId="17" fillId="0" borderId="0" xfId="5" applyFont="1" applyAlignment="1">
      <alignment vertical="center" wrapText="1"/>
    </xf>
    <xf numFmtId="0" fontId="11" fillId="0" borderId="0" xfId="0" applyFont="1"/>
    <xf numFmtId="0" fontId="27" fillId="0" borderId="0" xfId="5" applyFont="1" applyAlignment="1">
      <alignment vertical="center"/>
    </xf>
    <xf numFmtId="0" fontId="6" fillId="0" borderId="0" xfId="0" applyFont="1" applyAlignment="1">
      <alignment vertical="center"/>
    </xf>
    <xf numFmtId="0" fontId="31" fillId="0" borderId="0" xfId="0" applyFont="1" applyAlignment="1">
      <alignment horizontal="left"/>
    </xf>
    <xf numFmtId="0" fontId="42" fillId="0" borderId="0" xfId="0" applyFont="1" applyAlignment="1">
      <alignment horizontal="left" vertical="center"/>
    </xf>
    <xf numFmtId="49" fontId="37" fillId="0" borderId="0" xfId="0" applyNumberFormat="1" applyFont="1" applyAlignment="1">
      <alignment horizontal="center"/>
    </xf>
    <xf numFmtId="49" fontId="42" fillId="0" borderId="0" xfId="0" applyNumberFormat="1" applyFont="1" applyAlignment="1">
      <alignment horizontal="center"/>
    </xf>
    <xf numFmtId="0" fontId="43" fillId="0" borderId="0" xfId="0" applyFont="1" applyAlignment="1">
      <alignment horizontal="left"/>
    </xf>
    <xf numFmtId="0" fontId="45" fillId="0" borderId="22" xfId="0" applyFont="1" applyBorder="1" applyAlignment="1">
      <alignment horizontal="center" vertical="center"/>
    </xf>
    <xf numFmtId="0" fontId="46" fillId="0" borderId="0" xfId="0" applyFont="1" applyAlignment="1">
      <alignment vertical="center"/>
    </xf>
    <xf numFmtId="0" fontId="38" fillId="0" borderId="0" xfId="0" applyFont="1"/>
    <xf numFmtId="0" fontId="38" fillId="0" borderId="0" xfId="0" applyFont="1" applyAlignment="1">
      <alignment horizontal="left"/>
    </xf>
    <xf numFmtId="4" fontId="31" fillId="0" borderId="0" xfId="0" applyNumberFormat="1" applyFont="1"/>
    <xf numFmtId="0" fontId="44" fillId="0" borderId="0" xfId="1" applyFont="1" applyFill="1" applyBorder="1" applyAlignment="1" applyProtection="1"/>
    <xf numFmtId="4" fontId="48" fillId="0" borderId="0" xfId="0" applyNumberFormat="1" applyFont="1"/>
    <xf numFmtId="0" fontId="48" fillId="0" borderId="0" xfId="0" applyFont="1" applyAlignment="1">
      <alignment horizontal="left"/>
    </xf>
    <xf numFmtId="10" fontId="31" fillId="0" borderId="0" xfId="0" applyNumberFormat="1" applyFont="1"/>
    <xf numFmtId="49" fontId="50" fillId="0" borderId="0" xfId="0" applyNumberFormat="1" applyFont="1" applyAlignment="1">
      <alignment horizontal="right" wrapText="1"/>
    </xf>
    <xf numFmtId="0" fontId="49" fillId="2" borderId="17" xfId="0" applyFont="1" applyFill="1" applyBorder="1" applyAlignment="1">
      <alignment horizontal="center" vertical="center"/>
    </xf>
    <xf numFmtId="4" fontId="41" fillId="0" borderId="0" xfId="0" applyNumberFormat="1" applyFont="1" applyAlignment="1">
      <alignment horizontal="center" vertical="center"/>
    </xf>
    <xf numFmtId="4" fontId="40" fillId="0" borderId="0" xfId="0" applyNumberFormat="1" applyFont="1" applyAlignment="1">
      <alignment horizontal="center" vertical="center"/>
    </xf>
    <xf numFmtId="0" fontId="31" fillId="0" borderId="0" xfId="4" applyFont="1" applyAlignment="1">
      <alignment horizontal="left"/>
    </xf>
    <xf numFmtId="0" fontId="49" fillId="0" borderId="0" xfId="0" applyFont="1"/>
    <xf numFmtId="0" fontId="8" fillId="0" borderId="0" xfId="0" applyFont="1" applyAlignment="1">
      <alignment horizontal="center" vertical="center"/>
    </xf>
    <xf numFmtId="0" fontId="0" fillId="0" borderId="1" xfId="0" applyBorder="1" applyAlignment="1">
      <alignment horizontal="center"/>
    </xf>
    <xf numFmtId="0" fontId="5" fillId="0" borderId="0" xfId="0" applyFont="1" applyAlignment="1">
      <alignment horizontal="center" vertical="center"/>
    </xf>
    <xf numFmtId="4" fontId="43" fillId="0" borderId="0" xfId="0" applyNumberFormat="1" applyFont="1" applyAlignment="1">
      <alignment horizontal="center"/>
    </xf>
    <xf numFmtId="0" fontId="38" fillId="0" borderId="0" xfId="0" applyFont="1" applyAlignment="1">
      <alignment horizontal="center"/>
    </xf>
    <xf numFmtId="10" fontId="43" fillId="0" borderId="0" xfId="3" applyNumberFormat="1" applyFont="1" applyFill="1" applyBorder="1" applyAlignment="1">
      <alignment horizontal="center"/>
    </xf>
    <xf numFmtId="0" fontId="10" fillId="0" borderId="0" xfId="0" applyFont="1" applyAlignment="1">
      <alignment horizontal="left" vertical="center" wrapText="1"/>
    </xf>
    <xf numFmtId="0" fontId="17" fillId="0" borderId="0" xfId="5" applyFont="1" applyAlignment="1">
      <alignment horizontal="left" vertical="center" wrapText="1"/>
    </xf>
    <xf numFmtId="0" fontId="23" fillId="0" borderId="0" xfId="5" applyFont="1" applyAlignment="1">
      <alignment horizontal="center" vertical="center"/>
    </xf>
    <xf numFmtId="0" fontId="8" fillId="0" borderId="0" xfId="5" applyFont="1" applyAlignment="1">
      <alignment horizontal="center" vertical="center"/>
    </xf>
    <xf numFmtId="0" fontId="10" fillId="0" borderId="0" xfId="0" applyFont="1" applyAlignment="1">
      <alignment horizontal="justify" vertical="center" wrapText="1"/>
    </xf>
    <xf numFmtId="0" fontId="41" fillId="0" borderId="0" xfId="0" applyFont="1" applyAlignment="1">
      <alignment horizontal="center" vertical="center"/>
    </xf>
    <xf numFmtId="0" fontId="11" fillId="0" borderId="0" xfId="0" applyFont="1" applyAlignment="1">
      <alignment horizontal="center"/>
    </xf>
    <xf numFmtId="0" fontId="0" fillId="0" borderId="9" xfId="0" applyBorder="1"/>
    <xf numFmtId="0" fontId="16" fillId="0" borderId="9" xfId="1" applyBorder="1" applyAlignment="1" applyProtection="1"/>
    <xf numFmtId="0" fontId="11" fillId="0" borderId="9" xfId="1" applyFont="1" applyBorder="1" applyAlignment="1" applyProtection="1"/>
    <xf numFmtId="0" fontId="11" fillId="0" borderId="9" xfId="0" applyFont="1" applyBorder="1"/>
    <xf numFmtId="0" fontId="0" fillId="0" borderId="9" xfId="0" applyBorder="1" applyAlignment="1">
      <alignment horizontal="right"/>
    </xf>
    <xf numFmtId="0" fontId="53" fillId="0" borderId="9" xfId="7" applyBorder="1"/>
    <xf numFmtId="0" fontId="1" fillId="3" borderId="0" xfId="8" applyFill="1"/>
    <xf numFmtId="0" fontId="54" fillId="3" borderId="0" xfId="8" applyFont="1" applyFill="1"/>
    <xf numFmtId="0" fontId="1" fillId="0" borderId="0" xfId="8"/>
    <xf numFmtId="0" fontId="11" fillId="3" borderId="0" xfId="8" applyFont="1" applyFill="1"/>
    <xf numFmtId="0" fontId="55" fillId="0" borderId="0" xfId="8" applyFont="1" applyAlignment="1">
      <alignment vertical="center" textRotation="255"/>
    </xf>
    <xf numFmtId="0" fontId="11" fillId="3" borderId="0" xfId="8" applyFont="1" applyFill="1" applyAlignment="1">
      <alignment horizontal="justify" vertical="center" wrapText="1"/>
    </xf>
    <xf numFmtId="0" fontId="1" fillId="3" borderId="0" xfId="8" applyFill="1" applyAlignment="1">
      <alignment horizontal="justify" vertical="center"/>
    </xf>
    <xf numFmtId="0" fontId="11" fillId="3" borderId="12" xfId="8" applyFont="1" applyFill="1" applyBorder="1"/>
    <xf numFmtId="0" fontId="11" fillId="3" borderId="13" xfId="8" applyFont="1" applyFill="1" applyBorder="1"/>
    <xf numFmtId="0" fontId="1" fillId="3" borderId="13" xfId="8" applyFill="1" applyBorder="1" applyAlignment="1">
      <alignment horizontal="center"/>
    </xf>
    <xf numFmtId="0" fontId="1" fillId="3" borderId="13" xfId="8" applyFill="1" applyBorder="1"/>
    <xf numFmtId="0" fontId="55" fillId="3" borderId="0" xfId="8" applyFont="1" applyFill="1" applyAlignment="1">
      <alignment horizontal="center" vertical="center" textRotation="255"/>
    </xf>
    <xf numFmtId="0" fontId="11" fillId="3" borderId="0" xfId="8" applyFont="1" applyFill="1" applyAlignment="1">
      <alignment horizontal="justify" vertical="top"/>
    </xf>
    <xf numFmtId="0" fontId="11" fillId="3" borderId="12" xfId="8" applyFont="1" applyFill="1" applyBorder="1" applyAlignment="1">
      <alignment horizontal="left" vertical="top"/>
    </xf>
    <xf numFmtId="0" fontId="11" fillId="3" borderId="13" xfId="8" applyFont="1" applyFill="1" applyBorder="1" applyAlignment="1">
      <alignment horizontal="left" vertical="top"/>
    </xf>
    <xf numFmtId="0" fontId="11" fillId="3" borderId="14" xfId="8" applyFont="1" applyFill="1" applyBorder="1" applyAlignment="1">
      <alignment horizontal="left" vertical="top"/>
    </xf>
    <xf numFmtId="0" fontId="11" fillId="3" borderId="19" xfId="8" applyFont="1" applyFill="1" applyBorder="1" applyAlignment="1">
      <alignment horizontal="justify" vertical="top"/>
    </xf>
    <xf numFmtId="0" fontId="11" fillId="3" borderId="14" xfId="8" applyFont="1" applyFill="1" applyBorder="1" applyAlignment="1">
      <alignment vertical="top"/>
    </xf>
    <xf numFmtId="0" fontId="11" fillId="3" borderId="0" xfId="8" applyFont="1" applyFill="1" applyAlignment="1">
      <alignment vertical="top"/>
    </xf>
    <xf numFmtId="0" fontId="1" fillId="3" borderId="14" xfId="8" applyFill="1" applyBorder="1"/>
    <xf numFmtId="0" fontId="11" fillId="3" borderId="7" xfId="8" applyFont="1" applyFill="1" applyBorder="1" applyAlignment="1">
      <alignment horizontal="justify" vertical="top"/>
    </xf>
    <xf numFmtId="0" fontId="11" fillId="3" borderId="14" xfId="8" applyFont="1" applyFill="1" applyBorder="1" applyAlignment="1">
      <alignment horizontal="justify" vertical="top"/>
    </xf>
    <xf numFmtId="0" fontId="12" fillId="3" borderId="0" xfId="8" applyFont="1" applyFill="1" applyAlignment="1">
      <alignment vertical="top"/>
    </xf>
    <xf numFmtId="0" fontId="12" fillId="3" borderId="0" xfId="8" applyFont="1" applyFill="1" applyAlignment="1">
      <alignment horizontal="justify" vertical="top"/>
    </xf>
    <xf numFmtId="0" fontId="12" fillId="3" borderId="0" xfId="8" applyFont="1" applyFill="1"/>
    <xf numFmtId="0" fontId="1" fillId="3" borderId="15" xfId="8" applyFill="1" applyBorder="1"/>
    <xf numFmtId="0" fontId="12" fillId="3" borderId="0" xfId="8" applyFont="1" applyFill="1" applyAlignment="1">
      <alignment horizontal="center"/>
    </xf>
    <xf numFmtId="0" fontId="12" fillId="3" borderId="0" xfId="8" applyFont="1" applyFill="1" applyAlignment="1">
      <alignment horizontal="center" vertical="top"/>
    </xf>
    <xf numFmtId="0" fontId="1" fillId="3" borderId="27" xfId="8" applyFill="1" applyBorder="1"/>
    <xf numFmtId="0" fontId="1" fillId="3" borderId="24" xfId="8" applyFill="1" applyBorder="1"/>
    <xf numFmtId="0" fontId="11" fillId="3" borderId="3" xfId="8" applyFont="1" applyFill="1" applyBorder="1"/>
    <xf numFmtId="0" fontId="1" fillId="3" borderId="14" xfId="8" applyFill="1" applyBorder="1" applyAlignment="1">
      <alignment horizontal="justify" vertical="center"/>
    </xf>
    <xf numFmtId="0" fontId="1" fillId="3" borderId="19" xfId="8" applyFill="1" applyBorder="1" applyAlignment="1">
      <alignment horizontal="justify" vertical="center"/>
    </xf>
    <xf numFmtId="0" fontId="11" fillId="3" borderId="10" xfId="8" applyFont="1" applyFill="1" applyBorder="1" applyAlignment="1">
      <alignment horizontal="justify" vertical="top"/>
    </xf>
    <xf numFmtId="0" fontId="11" fillId="3" borderId="41" xfId="8" applyFont="1" applyFill="1" applyBorder="1" applyAlignment="1">
      <alignment horizontal="justify" vertical="top"/>
    </xf>
    <xf numFmtId="0" fontId="11" fillId="3" borderId="42" xfId="8" applyFont="1" applyFill="1" applyBorder="1" applyAlignment="1">
      <alignment horizontal="justify" vertical="top"/>
    </xf>
    <xf numFmtId="0" fontId="1" fillId="3" borderId="42" xfId="8" applyFill="1" applyBorder="1" applyAlignment="1">
      <alignment horizontal="justify" vertical="center"/>
    </xf>
    <xf numFmtId="0" fontId="11" fillId="3" borderId="3" xfId="8" applyFont="1" applyFill="1" applyBorder="1" applyAlignment="1">
      <alignment vertical="center"/>
    </xf>
    <xf numFmtId="0" fontId="11" fillId="3" borderId="27" xfId="8" applyFont="1" applyFill="1" applyBorder="1" applyAlignment="1">
      <alignment vertical="center"/>
    </xf>
    <xf numFmtId="0" fontId="1" fillId="3" borderId="43" xfId="8" applyFill="1" applyBorder="1" applyAlignment="1">
      <alignment horizontal="justify" vertical="center"/>
    </xf>
    <xf numFmtId="0" fontId="1" fillId="3" borderId="25" xfId="8" applyFill="1" applyBorder="1" applyAlignment="1">
      <alignment horizontal="justify" vertical="center"/>
    </xf>
    <xf numFmtId="0" fontId="1" fillId="3" borderId="4" xfId="8" applyFill="1" applyBorder="1" applyAlignment="1">
      <alignment horizontal="justify" vertical="center"/>
    </xf>
    <xf numFmtId="0" fontId="1" fillId="3" borderId="15" xfId="8" applyFill="1" applyBorder="1" applyAlignment="1">
      <alignment horizontal="justify" vertical="center"/>
    </xf>
    <xf numFmtId="0" fontId="1" fillId="3" borderId="16" xfId="8" applyFill="1" applyBorder="1" applyAlignment="1">
      <alignment horizontal="justify" vertical="center"/>
    </xf>
    <xf numFmtId="0" fontId="1" fillId="3" borderId="44" xfId="8" applyFill="1" applyBorder="1" applyAlignment="1">
      <alignment horizontal="justify" vertical="center"/>
    </xf>
    <xf numFmtId="0" fontId="1" fillId="3" borderId="40" xfId="8" applyFill="1" applyBorder="1" applyAlignment="1">
      <alignment horizontal="justify" vertical="center"/>
    </xf>
    <xf numFmtId="0" fontId="1" fillId="3" borderId="20" xfId="8" applyFill="1" applyBorder="1" applyAlignment="1">
      <alignment horizontal="justify" vertical="center"/>
    </xf>
    <xf numFmtId="0" fontId="15" fillId="0" borderId="0" xfId="0" applyFont="1" applyAlignment="1">
      <alignment horizontal="center" vertical="center"/>
    </xf>
    <xf numFmtId="0" fontId="5" fillId="0" borderId="13" xfId="0" applyFont="1" applyBorder="1" applyAlignment="1">
      <alignment horizontal="left" vertical="center"/>
    </xf>
    <xf numFmtId="0" fontId="31" fillId="0" borderId="9" xfId="0" applyFont="1" applyBorder="1" applyAlignment="1">
      <alignment horizontal="center"/>
    </xf>
    <xf numFmtId="0" fontId="5" fillId="0" borderId="16" xfId="0" applyFont="1" applyBorder="1" applyAlignment="1">
      <alignment vertical="center"/>
    </xf>
    <xf numFmtId="0" fontId="3" fillId="0" borderId="16" xfId="0" applyFont="1" applyBorder="1" applyAlignment="1">
      <alignment horizontal="center" vertical="center"/>
    </xf>
    <xf numFmtId="0" fontId="3" fillId="0" borderId="0" xfId="0" applyFont="1" applyAlignment="1">
      <alignment horizontal="center" vertical="center"/>
    </xf>
    <xf numFmtId="0" fontId="11" fillId="0" borderId="0" xfId="4" applyAlignment="1">
      <alignment horizontal="center"/>
    </xf>
    <xf numFmtId="0" fontId="36" fillId="0" borderId="0" xfId="0" applyFont="1" applyAlignment="1">
      <alignment horizontal="center" vertical="center"/>
    </xf>
    <xf numFmtId="0" fontId="32" fillId="0" borderId="0" xfId="0" applyFont="1" applyAlignment="1">
      <alignment horizontal="center" vertical="center"/>
    </xf>
    <xf numFmtId="49" fontId="12" fillId="0" borderId="0" xfId="0" applyNumberFormat="1" applyFont="1" applyAlignment="1">
      <alignment horizontal="center" vertical="center"/>
    </xf>
    <xf numFmtId="0" fontId="11" fillId="0" borderId="9" xfId="0" applyFont="1" applyBorder="1" applyAlignment="1">
      <alignment horizontal="center"/>
    </xf>
    <xf numFmtId="49" fontId="11" fillId="0" borderId="9" xfId="0" applyNumberFormat="1" applyFont="1" applyBorder="1" applyAlignment="1">
      <alignment horizontal="center" vertical="center"/>
    </xf>
    <xf numFmtId="4" fontId="0" fillId="0" borderId="9" xfId="0" applyNumberFormat="1" applyBorder="1"/>
    <xf numFmtId="0" fontId="47" fillId="0" borderId="9" xfId="0" applyFont="1" applyBorder="1" applyAlignment="1">
      <alignment horizontal="left" vertical="center"/>
    </xf>
    <xf numFmtId="4" fontId="31" fillId="0" borderId="9" xfId="0" applyNumberFormat="1" applyFont="1" applyBorder="1" applyAlignment="1">
      <alignment horizontal="center"/>
    </xf>
    <xf numFmtId="0" fontId="5" fillId="0" borderId="12" xfId="0" applyFont="1" applyBorder="1" applyAlignment="1">
      <alignment horizontal="left" vertical="center"/>
    </xf>
    <xf numFmtId="0" fontId="5" fillId="0" borderId="15" xfId="0" applyFont="1" applyBorder="1" applyAlignment="1">
      <alignment vertical="center"/>
    </xf>
    <xf numFmtId="0" fontId="59" fillId="3" borderId="9" xfId="8" applyFont="1" applyFill="1" applyBorder="1" applyAlignment="1">
      <alignment horizontal="center" vertical="top"/>
    </xf>
    <xf numFmtId="0" fontId="62" fillId="3" borderId="9" xfId="8" applyFont="1" applyFill="1" applyBorder="1" applyAlignment="1">
      <alignment horizontal="center"/>
    </xf>
    <xf numFmtId="0" fontId="62" fillId="3" borderId="9" xfId="8" applyFont="1" applyFill="1" applyBorder="1" applyAlignment="1">
      <alignment horizontal="center" vertical="top"/>
    </xf>
    <xf numFmtId="49" fontId="57" fillId="0" borderId="23" xfId="0" applyNumberFormat="1" applyFont="1" applyBorder="1" applyAlignment="1">
      <alignment horizontal="center" vertical="center"/>
    </xf>
    <xf numFmtId="0" fontId="65" fillId="2" borderId="17" xfId="0" applyFont="1" applyFill="1" applyBorder="1" applyAlignment="1">
      <alignment horizontal="center"/>
    </xf>
    <xf numFmtId="0" fontId="57" fillId="0" borderId="0" xfId="0" applyFont="1" applyAlignment="1">
      <alignment horizontal="left" vertical="center"/>
    </xf>
    <xf numFmtId="0" fontId="42" fillId="0" borderId="0" xfId="0" applyFont="1" applyAlignment="1">
      <alignment horizontal="center" vertical="center"/>
    </xf>
    <xf numFmtId="0" fontId="5" fillId="0" borderId="14" xfId="0" applyFont="1" applyBorder="1" applyAlignment="1">
      <alignment horizontal="left" vertical="center"/>
    </xf>
    <xf numFmtId="0" fontId="17" fillId="0" borderId="0" xfId="0" applyFont="1" applyAlignment="1">
      <alignment horizontal="left" vertical="center"/>
    </xf>
    <xf numFmtId="0" fontId="31" fillId="0" borderId="0" xfId="0" applyFont="1" applyAlignment="1">
      <alignment horizontal="left" vertical="center"/>
    </xf>
    <xf numFmtId="0" fontId="68" fillId="0" borderId="9" xfId="0" applyFont="1" applyBorder="1" applyAlignment="1">
      <alignment horizontal="center" vertical="center"/>
    </xf>
    <xf numFmtId="0" fontId="68" fillId="0" borderId="0" xfId="0" applyFont="1" applyAlignment="1">
      <alignment horizontal="center" vertical="center"/>
    </xf>
    <xf numFmtId="0" fontId="68" fillId="0" borderId="0" xfId="0" applyFont="1" applyAlignment="1">
      <alignment horizontal="center"/>
    </xf>
    <xf numFmtId="0" fontId="2" fillId="0" borderId="0" xfId="0" applyFont="1"/>
    <xf numFmtId="0" fontId="4" fillId="0" borderId="0" xfId="0" applyFont="1" applyAlignment="1">
      <alignment horizontal="center"/>
    </xf>
    <xf numFmtId="0" fontId="8" fillId="0" borderId="0" xfId="0" applyFont="1" applyAlignment="1">
      <alignment horizontal="center" vertical="center"/>
    </xf>
    <xf numFmtId="0" fontId="3" fillId="0" borderId="0" xfId="0" applyFont="1" applyAlignment="1">
      <alignment horizontal="center" vertical="center"/>
    </xf>
    <xf numFmtId="0" fontId="9" fillId="0" borderId="0" xfId="0" applyFont="1" applyAlignment="1">
      <alignment horizontal="center" vertical="center"/>
    </xf>
    <xf numFmtId="0" fontId="7" fillId="0" borderId="0" xfId="0" applyFont="1" applyAlignment="1">
      <alignment horizontal="center"/>
    </xf>
    <xf numFmtId="0" fontId="14" fillId="0" borderId="24" xfId="0" applyFont="1" applyBorder="1" applyAlignment="1">
      <alignment horizontal="center" vertical="center" textRotation="255"/>
    </xf>
    <xf numFmtId="0" fontId="14" fillId="0" borderId="25" xfId="0" applyFont="1" applyBorder="1" applyAlignment="1">
      <alignment horizontal="center" vertical="center" textRotation="255"/>
    </xf>
    <xf numFmtId="0" fontId="14" fillId="0" borderId="26" xfId="0" applyFont="1" applyBorder="1" applyAlignment="1">
      <alignment horizontal="center" vertical="center" textRotation="255"/>
    </xf>
    <xf numFmtId="0" fontId="14" fillId="0" borderId="24" xfId="0" applyFont="1" applyBorder="1" applyAlignment="1">
      <alignment horizontal="center" vertical="center"/>
    </xf>
    <xf numFmtId="0" fontId="14" fillId="0" borderId="25" xfId="0" applyFont="1" applyBorder="1" applyAlignment="1">
      <alignment horizontal="center" vertical="center"/>
    </xf>
    <xf numFmtId="0" fontId="14" fillId="0" borderId="26" xfId="0" applyFont="1" applyBorder="1" applyAlignment="1">
      <alignment horizontal="center" vertical="center"/>
    </xf>
    <xf numFmtId="0" fontId="18" fillId="0" borderId="0" xfId="1" quotePrefix="1" applyFont="1" applyAlignment="1" applyProtection="1">
      <alignment horizontal="center"/>
    </xf>
    <xf numFmtId="10" fontId="14" fillId="0" borderId="27" xfId="0" applyNumberFormat="1" applyFont="1" applyBorder="1" applyAlignment="1">
      <alignment horizontal="center" vertical="center"/>
    </xf>
    <xf numFmtId="10" fontId="14" fillId="0" borderId="0" xfId="0" applyNumberFormat="1" applyFont="1" applyAlignment="1">
      <alignment horizontal="center" vertical="center"/>
    </xf>
    <xf numFmtId="10" fontId="14" fillId="0" borderId="1" xfId="0" applyNumberFormat="1" applyFont="1" applyBorder="1" applyAlignment="1">
      <alignment horizontal="center" vertical="center"/>
    </xf>
    <xf numFmtId="0" fontId="31" fillId="0" borderId="0" xfId="0" applyFont="1" applyAlignment="1">
      <alignment horizontal="left" vertical="center" wrapText="1"/>
    </xf>
    <xf numFmtId="14" fontId="17" fillId="0" borderId="1" xfId="0" applyNumberFormat="1" applyFont="1" applyBorder="1" applyAlignment="1">
      <alignment horizontal="center"/>
    </xf>
    <xf numFmtId="0" fontId="17" fillId="0" borderId="1" xfId="0" applyFont="1" applyBorder="1" applyAlignment="1">
      <alignment horizontal="center"/>
    </xf>
    <xf numFmtId="0" fontId="15" fillId="0" borderId="15" xfId="0" applyFont="1" applyBorder="1" applyAlignment="1">
      <alignment horizontal="center" vertical="center" wrapText="1"/>
    </xf>
    <xf numFmtId="0" fontId="15" fillId="0" borderId="16" xfId="0" applyFont="1" applyBorder="1" applyAlignment="1">
      <alignment horizontal="center" vertical="center" wrapText="1"/>
    </xf>
    <xf numFmtId="0" fontId="5" fillId="0" borderId="0" xfId="0" applyFont="1" applyAlignment="1">
      <alignment horizontal="center" vertical="center"/>
    </xf>
    <xf numFmtId="0" fontId="5" fillId="0" borderId="16" xfId="0" applyFont="1" applyBorder="1" applyAlignment="1">
      <alignment horizontal="center" vertical="center"/>
    </xf>
    <xf numFmtId="0" fontId="17" fillId="0" borderId="0" xfId="0" applyFont="1" applyAlignment="1">
      <alignment horizontal="center" vertical="center"/>
    </xf>
    <xf numFmtId="0" fontId="17" fillId="0" borderId="36" xfId="0" applyFont="1" applyBorder="1" applyAlignment="1">
      <alignment horizontal="center" vertical="center"/>
    </xf>
    <xf numFmtId="0" fontId="3" fillId="0" borderId="45" xfId="0" applyFont="1" applyBorder="1" applyAlignment="1">
      <alignment horizontal="center" vertical="center"/>
    </xf>
    <xf numFmtId="0" fontId="3" fillId="0" borderId="36" xfId="0" applyFont="1" applyBorder="1" applyAlignment="1">
      <alignment horizontal="center" vertical="center"/>
    </xf>
    <xf numFmtId="0" fontId="3" fillId="0" borderId="46" xfId="0" applyFont="1" applyBorder="1" applyAlignment="1">
      <alignment horizontal="center" vertical="center"/>
    </xf>
    <xf numFmtId="0" fontId="17" fillId="0" borderId="16" xfId="0" applyFont="1" applyBorder="1" applyAlignment="1">
      <alignment horizontal="center" vertical="center"/>
    </xf>
    <xf numFmtId="0" fontId="17" fillId="0" borderId="7" xfId="0" applyFont="1" applyBorder="1" applyAlignment="1">
      <alignment horizontal="center" vertical="center"/>
    </xf>
    <xf numFmtId="0" fontId="19" fillId="0" borderId="16" xfId="0" applyFont="1" applyBorder="1" applyAlignment="1">
      <alignment horizontal="center" vertical="center"/>
    </xf>
    <xf numFmtId="0" fontId="19" fillId="0" borderId="20" xfId="0" applyFont="1" applyBorder="1" applyAlignment="1">
      <alignment horizontal="center" vertical="center"/>
    </xf>
    <xf numFmtId="0" fontId="19" fillId="0" borderId="28" xfId="0" applyFont="1" applyBorder="1" applyAlignment="1">
      <alignment horizontal="center" vertical="center"/>
    </xf>
    <xf numFmtId="0" fontId="17" fillId="0" borderId="28" xfId="0" applyFont="1" applyBorder="1" applyAlignment="1">
      <alignment horizontal="center" vertical="center"/>
    </xf>
    <xf numFmtId="0" fontId="17" fillId="0" borderId="29" xfId="0" applyFont="1" applyBorder="1" applyAlignment="1">
      <alignment horizontal="center" vertical="center"/>
    </xf>
    <xf numFmtId="0" fontId="17" fillId="0" borderId="39" xfId="0" applyFont="1" applyBorder="1" applyAlignment="1">
      <alignment horizontal="center" vertical="center"/>
    </xf>
    <xf numFmtId="0" fontId="5" fillId="4" borderId="0" xfId="0" applyFont="1" applyFill="1" applyAlignment="1">
      <alignment horizontal="center" vertical="center"/>
    </xf>
    <xf numFmtId="0" fontId="30" fillId="4" borderId="40" xfId="0" applyFont="1" applyFill="1" applyBorder="1" applyAlignment="1">
      <alignment horizontal="center" vertical="center" wrapText="1"/>
    </xf>
    <xf numFmtId="0" fontId="30" fillId="4" borderId="16" xfId="0" applyFont="1" applyFill="1" applyBorder="1" applyAlignment="1">
      <alignment horizontal="center" vertical="center" wrapText="1"/>
    </xf>
    <xf numFmtId="0" fontId="30" fillId="4" borderId="44" xfId="0" applyFont="1" applyFill="1" applyBorder="1" applyAlignment="1">
      <alignment horizontal="center" vertical="center" wrapText="1"/>
    </xf>
    <xf numFmtId="0" fontId="57" fillId="0" borderId="1" xfId="0" applyFont="1" applyBorder="1" applyAlignment="1">
      <alignment horizontal="center" vertical="center"/>
    </xf>
    <xf numFmtId="0" fontId="15" fillId="0" borderId="0" xfId="0" applyFont="1" applyAlignment="1">
      <alignment horizontal="center" vertical="center"/>
    </xf>
    <xf numFmtId="0" fontId="57" fillId="0" borderId="26" xfId="0" applyFont="1" applyBorder="1" applyAlignment="1">
      <alignment horizontal="center" vertical="center"/>
    </xf>
    <xf numFmtId="0" fontId="15" fillId="0" borderId="3" xfId="0" applyFont="1" applyBorder="1" applyAlignment="1">
      <alignment horizontal="center" vertical="center"/>
    </xf>
    <xf numFmtId="0" fontId="15" fillId="0" borderId="27" xfId="0" applyFont="1" applyBorder="1" applyAlignment="1">
      <alignment horizontal="center" vertical="center"/>
    </xf>
    <xf numFmtId="0" fontId="58" fillId="0" borderId="7" xfId="1" applyFont="1" applyBorder="1" applyAlignment="1" applyProtection="1">
      <alignment horizontal="center" vertical="center"/>
    </xf>
    <xf numFmtId="0" fontId="57" fillId="0" borderId="0" xfId="0" applyFont="1" applyAlignment="1">
      <alignment horizontal="left" vertical="center"/>
    </xf>
    <xf numFmtId="0" fontId="57" fillId="0" borderId="19" xfId="0" applyFont="1" applyBorder="1" applyAlignment="1">
      <alignment horizontal="left" vertical="center"/>
    </xf>
    <xf numFmtId="0" fontId="17" fillId="0" borderId="28" xfId="0" applyFont="1" applyBorder="1" applyAlignment="1">
      <alignment horizontal="left" vertical="center"/>
    </xf>
    <xf numFmtId="0" fontId="3" fillId="0" borderId="13" xfId="0" applyFont="1" applyBorder="1" applyAlignment="1">
      <alignment horizontal="center" vertical="center"/>
    </xf>
    <xf numFmtId="0" fontId="11" fillId="3" borderId="3" xfId="8" applyFont="1" applyFill="1" applyBorder="1" applyAlignment="1">
      <alignment horizontal="center" vertical="center"/>
    </xf>
    <xf numFmtId="0" fontId="11" fillId="3" borderId="27" xfId="8" applyFont="1" applyFill="1" applyBorder="1" applyAlignment="1">
      <alignment horizontal="center" vertical="center"/>
    </xf>
    <xf numFmtId="0" fontId="11" fillId="3" borderId="24" xfId="8" applyFont="1" applyFill="1" applyBorder="1" applyAlignment="1">
      <alignment horizontal="center" vertical="center"/>
    </xf>
    <xf numFmtId="0" fontId="10" fillId="3" borderId="12" xfId="8" applyFont="1" applyFill="1" applyBorder="1" applyAlignment="1">
      <alignment horizontal="center" vertical="center" wrapText="1"/>
    </xf>
    <xf numFmtId="0" fontId="10" fillId="3" borderId="13" xfId="8" applyFont="1" applyFill="1" applyBorder="1" applyAlignment="1">
      <alignment horizontal="center" vertical="center" wrapText="1"/>
    </xf>
    <xf numFmtId="0" fontId="10" fillId="3" borderId="18" xfId="8" applyFont="1" applyFill="1" applyBorder="1" applyAlignment="1">
      <alignment horizontal="center" vertical="center" wrapText="1"/>
    </xf>
    <xf numFmtId="0" fontId="10" fillId="3" borderId="14" xfId="8" applyFont="1" applyFill="1" applyBorder="1" applyAlignment="1">
      <alignment horizontal="center" vertical="center" wrapText="1"/>
    </xf>
    <xf numFmtId="0" fontId="10" fillId="3" borderId="0" xfId="8" applyFont="1" applyFill="1" applyAlignment="1">
      <alignment horizontal="center" vertical="center" wrapText="1"/>
    </xf>
    <xf numFmtId="0" fontId="10" fillId="3" borderId="19" xfId="8" applyFont="1" applyFill="1" applyBorder="1" applyAlignment="1">
      <alignment horizontal="center" vertical="center" wrapText="1"/>
    </xf>
    <xf numFmtId="0" fontId="10" fillId="3" borderId="15" xfId="8" applyFont="1" applyFill="1" applyBorder="1" applyAlignment="1">
      <alignment horizontal="center" vertical="center" wrapText="1"/>
    </xf>
    <xf numFmtId="0" fontId="10" fillId="3" borderId="16" xfId="8" applyFont="1" applyFill="1" applyBorder="1" applyAlignment="1">
      <alignment horizontal="center" vertical="center" wrapText="1"/>
    </xf>
    <xf numFmtId="0" fontId="10" fillId="3" borderId="20" xfId="8" applyFont="1" applyFill="1" applyBorder="1" applyAlignment="1">
      <alignment horizontal="center" vertical="center" wrapText="1"/>
    </xf>
    <xf numFmtId="165" fontId="60" fillId="3" borderId="1" xfId="8" applyNumberFormat="1" applyFont="1" applyFill="1" applyBorder="1" applyAlignment="1">
      <alignment horizontal="center" vertical="center"/>
    </xf>
    <xf numFmtId="165" fontId="60" fillId="3" borderId="26" xfId="8" applyNumberFormat="1" applyFont="1" applyFill="1" applyBorder="1" applyAlignment="1">
      <alignment horizontal="center" vertical="center"/>
    </xf>
    <xf numFmtId="0" fontId="1" fillId="3" borderId="5" xfId="8" applyFill="1" applyBorder="1" applyAlignment="1">
      <alignment horizontal="center"/>
    </xf>
    <xf numFmtId="0" fontId="1" fillId="3" borderId="1" xfId="8" applyFill="1" applyBorder="1" applyAlignment="1">
      <alignment horizontal="center"/>
    </xf>
    <xf numFmtId="0" fontId="1" fillId="3" borderId="26" xfId="8" applyFill="1" applyBorder="1" applyAlignment="1">
      <alignment horizontal="center"/>
    </xf>
    <xf numFmtId="0" fontId="12" fillId="3" borderId="0" xfId="8" applyFont="1" applyFill="1" applyAlignment="1">
      <alignment horizontal="center"/>
    </xf>
    <xf numFmtId="0" fontId="55" fillId="2" borderId="37" xfId="8" applyFont="1" applyFill="1" applyBorder="1" applyAlignment="1">
      <alignment horizontal="center" vertical="center" textRotation="255"/>
    </xf>
    <xf numFmtId="0" fontId="55" fillId="2" borderId="38" xfId="8" applyFont="1" applyFill="1" applyBorder="1" applyAlignment="1">
      <alignment horizontal="center" vertical="center" textRotation="255"/>
    </xf>
    <xf numFmtId="0" fontId="55" fillId="2" borderId="21" xfId="8" applyFont="1" applyFill="1" applyBorder="1" applyAlignment="1">
      <alignment horizontal="center" vertical="center" textRotation="255"/>
    </xf>
    <xf numFmtId="0" fontId="11" fillId="3" borderId="12" xfId="8" applyFont="1" applyFill="1" applyBorder="1" applyAlignment="1">
      <alignment horizontal="justify" vertical="center" wrapText="1"/>
    </xf>
    <xf numFmtId="0" fontId="1" fillId="3" borderId="13" xfId="8" applyFill="1" applyBorder="1" applyAlignment="1">
      <alignment horizontal="justify" vertical="center"/>
    </xf>
    <xf numFmtId="0" fontId="1" fillId="3" borderId="18" xfId="8" applyFill="1" applyBorder="1" applyAlignment="1">
      <alignment horizontal="justify" vertical="center"/>
    </xf>
    <xf numFmtId="0" fontId="1" fillId="3" borderId="14" xfId="8" applyFill="1" applyBorder="1" applyAlignment="1">
      <alignment horizontal="justify" vertical="center"/>
    </xf>
    <xf numFmtId="0" fontId="1" fillId="3" borderId="0" xfId="8" applyFill="1" applyAlignment="1">
      <alignment horizontal="justify" vertical="center"/>
    </xf>
    <xf numFmtId="0" fontId="1" fillId="3" borderId="19" xfId="8" applyFill="1" applyBorder="1" applyAlignment="1">
      <alignment horizontal="justify" vertical="center"/>
    </xf>
    <xf numFmtId="0" fontId="11" fillId="3" borderId="0" xfId="8" applyFont="1" applyFill="1" applyAlignment="1">
      <alignment horizontal="justify" vertical="center" wrapText="1"/>
    </xf>
    <xf numFmtId="0" fontId="11" fillId="3" borderId="19" xfId="8" applyFont="1" applyFill="1" applyBorder="1" applyAlignment="1">
      <alignment horizontal="justify" vertical="center" wrapText="1"/>
    </xf>
    <xf numFmtId="0" fontId="11" fillId="3" borderId="1" xfId="8" applyFont="1" applyFill="1" applyBorder="1" applyAlignment="1">
      <alignment horizontal="justify" vertical="center" wrapText="1"/>
    </xf>
    <xf numFmtId="0" fontId="11" fillId="3" borderId="32" xfId="8" applyFont="1" applyFill="1" applyBorder="1" applyAlignment="1">
      <alignment horizontal="justify" vertical="center" wrapText="1"/>
    </xf>
    <xf numFmtId="0" fontId="11" fillId="3" borderId="41" xfId="8" applyFont="1" applyFill="1" applyBorder="1" applyAlignment="1">
      <alignment horizontal="center" vertical="center"/>
    </xf>
    <xf numFmtId="0" fontId="1" fillId="3" borderId="0" xfId="8" applyFill="1" applyAlignment="1">
      <alignment horizontal="center"/>
    </xf>
    <xf numFmtId="0" fontId="11" fillId="3" borderId="14" xfId="8" applyFont="1" applyFill="1" applyBorder="1" applyAlignment="1">
      <alignment horizontal="right"/>
    </xf>
    <xf numFmtId="0" fontId="1" fillId="3" borderId="0" xfId="8" applyFill="1" applyAlignment="1">
      <alignment horizontal="right"/>
    </xf>
    <xf numFmtId="0" fontId="59" fillId="3" borderId="7" xfId="8" applyFont="1" applyFill="1" applyBorder="1" applyAlignment="1">
      <alignment horizontal="center"/>
    </xf>
    <xf numFmtId="0" fontId="60" fillId="3" borderId="7" xfId="8" applyFont="1" applyFill="1" applyBorder="1" applyAlignment="1">
      <alignment horizontal="center"/>
    </xf>
    <xf numFmtId="0" fontId="59" fillId="3" borderId="1" xfId="8" applyFont="1" applyFill="1" applyBorder="1" applyAlignment="1">
      <alignment horizontal="center"/>
    </xf>
    <xf numFmtId="0" fontId="60" fillId="3" borderId="1" xfId="8" applyFont="1" applyFill="1" applyBorder="1" applyAlignment="1">
      <alignment horizontal="center"/>
    </xf>
    <xf numFmtId="0" fontId="1" fillId="3" borderId="14" xfId="8" applyFill="1" applyBorder="1" applyAlignment="1">
      <alignment horizontal="right"/>
    </xf>
    <xf numFmtId="0" fontId="12" fillId="3" borderId="0" xfId="8" applyFont="1" applyFill="1" applyAlignment="1">
      <alignment horizontal="center" vertical="top"/>
    </xf>
    <xf numFmtId="0" fontId="11" fillId="3" borderId="1" xfId="8" applyFont="1" applyFill="1" applyBorder="1" applyAlignment="1">
      <alignment horizontal="center"/>
    </xf>
    <xf numFmtId="0" fontId="11" fillId="3" borderId="1" xfId="8" applyFont="1" applyFill="1" applyBorder="1" applyAlignment="1">
      <alignment horizontal="center" vertical="top"/>
    </xf>
    <xf numFmtId="0" fontId="11" fillId="3" borderId="5" xfId="8" applyFont="1" applyFill="1" applyBorder="1" applyAlignment="1">
      <alignment horizontal="center" vertical="top"/>
    </xf>
    <xf numFmtId="0" fontId="11" fillId="3" borderId="32" xfId="8" applyFont="1" applyFill="1" applyBorder="1" applyAlignment="1">
      <alignment horizontal="center" vertical="top"/>
    </xf>
    <xf numFmtId="0" fontId="11" fillId="3" borderId="16" xfId="8" applyFont="1" applyFill="1" applyBorder="1" applyAlignment="1">
      <alignment horizontal="center" vertical="top"/>
    </xf>
    <xf numFmtId="0" fontId="11" fillId="3" borderId="40" xfId="8" applyFont="1" applyFill="1" applyBorder="1" applyAlignment="1">
      <alignment horizontal="center" vertical="top"/>
    </xf>
    <xf numFmtId="0" fontId="11" fillId="3" borderId="20" xfId="8" applyFont="1" applyFill="1" applyBorder="1" applyAlignment="1">
      <alignment horizontal="center" vertical="top"/>
    </xf>
    <xf numFmtId="0" fontId="56" fillId="2" borderId="37" xfId="8" applyFont="1" applyFill="1" applyBorder="1" applyAlignment="1">
      <alignment horizontal="center" vertical="center" textRotation="255"/>
    </xf>
    <xf numFmtId="0" fontId="56" fillId="2" borderId="38" xfId="8" applyFont="1" applyFill="1" applyBorder="1" applyAlignment="1">
      <alignment horizontal="center" vertical="center" textRotation="255"/>
    </xf>
    <xf numFmtId="0" fontId="56" fillId="2" borderId="21" xfId="8" applyFont="1" applyFill="1" applyBorder="1" applyAlignment="1">
      <alignment horizontal="center" vertical="center" textRotation="255"/>
    </xf>
    <xf numFmtId="0" fontId="59" fillId="3" borderId="28" xfId="8" applyFont="1" applyFill="1" applyBorder="1" applyAlignment="1">
      <alignment horizontal="center" vertical="center"/>
    </xf>
    <xf numFmtId="0" fontId="59" fillId="3" borderId="29" xfId="8" applyFont="1" applyFill="1" applyBorder="1" applyAlignment="1">
      <alignment horizontal="center" vertical="center"/>
    </xf>
    <xf numFmtId="0" fontId="59" fillId="3" borderId="7" xfId="8" applyFont="1" applyFill="1" applyBorder="1" applyAlignment="1">
      <alignment horizontal="center" vertical="center"/>
    </xf>
    <xf numFmtId="0" fontId="59" fillId="3" borderId="39" xfId="8" applyFont="1" applyFill="1" applyBorder="1" applyAlignment="1">
      <alignment horizontal="center" vertical="center"/>
    </xf>
    <xf numFmtId="0" fontId="59" fillId="3" borderId="1" xfId="8" applyFont="1" applyFill="1" applyBorder="1" applyAlignment="1">
      <alignment horizontal="center" vertical="center"/>
    </xf>
    <xf numFmtId="0" fontId="11" fillId="3" borderId="0" xfId="8" applyFont="1" applyFill="1" applyAlignment="1">
      <alignment horizontal="left" vertical="top"/>
    </xf>
    <xf numFmtId="0" fontId="59" fillId="3" borderId="32" xfId="8" applyFont="1" applyFill="1" applyBorder="1" applyAlignment="1">
      <alignment horizontal="center" vertical="center"/>
    </xf>
    <xf numFmtId="0" fontId="11" fillId="3" borderId="14" xfId="8" applyFont="1" applyFill="1" applyBorder="1" applyAlignment="1">
      <alignment horizontal="left" vertical="top"/>
    </xf>
    <xf numFmtId="0" fontId="59" fillId="3" borderId="0" xfId="8" applyFont="1" applyFill="1" applyAlignment="1">
      <alignment horizontal="center" vertical="top"/>
    </xf>
    <xf numFmtId="0" fontId="59" fillId="3" borderId="0" xfId="8" applyFont="1" applyFill="1" applyAlignment="1">
      <alignment horizontal="center" vertical="center"/>
    </xf>
    <xf numFmtId="0" fontId="11" fillId="3" borderId="12" xfId="8" applyFont="1" applyFill="1" applyBorder="1" applyAlignment="1">
      <alignment horizontal="left" vertical="center" wrapText="1"/>
    </xf>
    <xf numFmtId="0" fontId="11" fillId="3" borderId="13" xfId="8" applyFont="1" applyFill="1" applyBorder="1" applyAlignment="1">
      <alignment horizontal="left" vertical="center" wrapText="1"/>
    </xf>
    <xf numFmtId="0" fontId="11" fillId="3" borderId="18" xfId="8" applyFont="1" applyFill="1" applyBorder="1" applyAlignment="1">
      <alignment horizontal="left" vertical="center" wrapText="1"/>
    </xf>
    <xf numFmtId="0" fontId="11" fillId="3" borderId="14" xfId="8" applyFont="1" applyFill="1" applyBorder="1" applyAlignment="1">
      <alignment horizontal="left" vertical="center" wrapText="1"/>
    </xf>
    <xf numFmtId="0" fontId="11" fillId="3" borderId="0" xfId="8" applyFont="1" applyFill="1" applyAlignment="1">
      <alignment horizontal="left" vertical="center" wrapText="1"/>
    </xf>
    <xf numFmtId="0" fontId="11" fillId="3" borderId="19" xfId="8" applyFont="1" applyFill="1" applyBorder="1" applyAlignment="1">
      <alignment horizontal="left" vertical="center" wrapText="1"/>
    </xf>
    <xf numFmtId="0" fontId="11" fillId="3" borderId="15" xfId="8" applyFont="1" applyFill="1" applyBorder="1" applyAlignment="1">
      <alignment horizontal="left" vertical="center" wrapText="1"/>
    </xf>
    <xf numFmtId="0" fontId="11" fillId="3" borderId="16" xfId="8" applyFont="1" applyFill="1" applyBorder="1" applyAlignment="1">
      <alignment horizontal="left" vertical="center" wrapText="1"/>
    </xf>
    <xf numFmtId="0" fontId="11" fillId="3" borderId="20" xfId="8" applyFont="1" applyFill="1" applyBorder="1" applyAlignment="1">
      <alignment horizontal="left" vertical="center" wrapText="1"/>
    </xf>
    <xf numFmtId="0" fontId="60" fillId="3" borderId="28" xfId="8" applyFont="1" applyFill="1" applyBorder="1" applyAlignment="1">
      <alignment horizontal="center" vertical="center"/>
    </xf>
    <xf numFmtId="0" fontId="61" fillId="3" borderId="28" xfId="8" applyFont="1" applyFill="1" applyBorder="1" applyAlignment="1">
      <alignment horizontal="center" vertical="center"/>
    </xf>
    <xf numFmtId="0" fontId="61" fillId="3" borderId="29" xfId="8" applyFont="1" applyFill="1" applyBorder="1" applyAlignment="1">
      <alignment horizontal="center" vertical="center"/>
    </xf>
    <xf numFmtId="0" fontId="11" fillId="3" borderId="14" xfId="8" applyFont="1" applyFill="1" applyBorder="1" applyAlignment="1">
      <alignment horizontal="justify" vertical="top" wrapText="1"/>
    </xf>
    <xf numFmtId="0" fontId="11" fillId="3" borderId="0" xfId="8" applyFont="1" applyFill="1" applyAlignment="1">
      <alignment horizontal="justify" vertical="top" wrapText="1"/>
    </xf>
    <xf numFmtId="0" fontId="11" fillId="3" borderId="19" xfId="8" applyFont="1" applyFill="1" applyBorder="1" applyAlignment="1">
      <alignment horizontal="justify" vertical="top" wrapText="1"/>
    </xf>
    <xf numFmtId="0" fontId="11" fillId="3" borderId="15" xfId="8" applyFont="1" applyFill="1" applyBorder="1" applyAlignment="1">
      <alignment horizontal="justify" vertical="top" wrapText="1"/>
    </xf>
    <xf numFmtId="0" fontId="11" fillId="3" borderId="16" xfId="8" applyFont="1" applyFill="1" applyBorder="1" applyAlignment="1">
      <alignment horizontal="justify" vertical="top" wrapText="1"/>
    </xf>
    <xf numFmtId="0" fontId="11" fillId="3" borderId="20" xfId="8" applyFont="1" applyFill="1" applyBorder="1" applyAlignment="1">
      <alignment horizontal="justify" vertical="top" wrapText="1"/>
    </xf>
    <xf numFmtId="0" fontId="38" fillId="0" borderId="9" xfId="0" applyFont="1" applyBorder="1" applyAlignment="1">
      <alignment horizontal="center" vertical="center"/>
    </xf>
    <xf numFmtId="0" fontId="64" fillId="0" borderId="9" xfId="0" applyFont="1" applyBorder="1" applyAlignment="1">
      <alignment horizontal="center" vertical="center"/>
    </xf>
    <xf numFmtId="0" fontId="41" fillId="0" borderId="6" xfId="0" applyFont="1" applyBorder="1" applyAlignment="1">
      <alignment horizontal="left" vertical="center"/>
    </xf>
    <xf numFmtId="0" fontId="41" fillId="0" borderId="7" xfId="0" applyFont="1" applyBorder="1" applyAlignment="1">
      <alignment horizontal="left" vertical="center"/>
    </xf>
    <xf numFmtId="0" fontId="41" fillId="0" borderId="8" xfId="0" applyFont="1" applyBorder="1" applyAlignment="1">
      <alignment horizontal="left" vertical="center"/>
    </xf>
    <xf numFmtId="0" fontId="38" fillId="0" borderId="6" xfId="0" applyFont="1" applyBorder="1" applyAlignment="1">
      <alignment horizontal="center" vertical="center"/>
    </xf>
    <xf numFmtId="0" fontId="38" fillId="0" borderId="7" xfId="0" applyFont="1" applyBorder="1" applyAlignment="1">
      <alignment horizontal="center" vertical="center"/>
    </xf>
    <xf numFmtId="0" fontId="38" fillId="0" borderId="8" xfId="0" applyFont="1" applyBorder="1" applyAlignment="1">
      <alignment horizontal="center" vertical="center"/>
    </xf>
    <xf numFmtId="0" fontId="49" fillId="0" borderId="0" xfId="0" applyFont="1" applyAlignment="1">
      <alignment horizontal="center" wrapText="1"/>
    </xf>
    <xf numFmtId="0" fontId="43" fillId="0" borderId="11" xfId="0" applyFont="1" applyBorder="1" applyAlignment="1">
      <alignment horizontal="left"/>
    </xf>
    <xf numFmtId="4" fontId="43" fillId="0" borderId="11" xfId="0" applyNumberFormat="1" applyFont="1" applyBorder="1" applyAlignment="1">
      <alignment horizontal="center"/>
    </xf>
    <xf numFmtId="4" fontId="43" fillId="0" borderId="34" xfId="0" applyNumberFormat="1" applyFont="1" applyBorder="1" applyAlignment="1">
      <alignment horizontal="center"/>
    </xf>
    <xf numFmtId="0" fontId="42" fillId="0" borderId="0" xfId="0" applyFont="1" applyAlignment="1">
      <alignment horizontal="center" vertical="center"/>
    </xf>
    <xf numFmtId="4" fontId="17" fillId="0" borderId="0" xfId="0" applyNumberFormat="1" applyFont="1" applyAlignment="1">
      <alignment horizontal="center"/>
    </xf>
    <xf numFmtId="0" fontId="41" fillId="0" borderId="0" xfId="0" applyFont="1" applyAlignment="1">
      <alignment horizontal="center"/>
    </xf>
    <xf numFmtId="4" fontId="57" fillId="0" borderId="0" xfId="0" applyNumberFormat="1" applyFont="1" applyAlignment="1">
      <alignment horizontal="center"/>
    </xf>
    <xf numFmtId="0" fontId="38" fillId="0" borderId="0" xfId="0" applyFont="1" applyAlignment="1">
      <alignment horizontal="left"/>
    </xf>
    <xf numFmtId="0" fontId="31" fillId="0" borderId="0" xfId="0" applyFont="1" applyAlignment="1">
      <alignment horizontal="center"/>
    </xf>
    <xf numFmtId="10" fontId="43" fillId="0" borderId="0" xfId="0" applyNumberFormat="1" applyFont="1" applyAlignment="1">
      <alignment horizontal="center"/>
    </xf>
    <xf numFmtId="164" fontId="51" fillId="5" borderId="22" xfId="4" applyNumberFormat="1" applyFont="1" applyFill="1" applyBorder="1" applyAlignment="1">
      <alignment horizontal="center" vertical="center"/>
    </xf>
    <xf numFmtId="164" fontId="51" fillId="5" borderId="30" xfId="4" applyNumberFormat="1" applyFont="1" applyFill="1" applyBorder="1" applyAlignment="1">
      <alignment horizontal="center" vertical="center"/>
    </xf>
    <xf numFmtId="164" fontId="51" fillId="5" borderId="31" xfId="4" applyNumberFormat="1" applyFont="1" applyFill="1" applyBorder="1" applyAlignment="1">
      <alignment horizontal="center" vertical="center"/>
    </xf>
    <xf numFmtId="0" fontId="38" fillId="0" borderId="0" xfId="0" applyFont="1" applyAlignment="1">
      <alignment horizontal="center"/>
    </xf>
    <xf numFmtId="10" fontId="57" fillId="0" borderId="0" xfId="3" applyNumberFormat="1" applyFont="1" applyFill="1" applyBorder="1" applyAlignment="1">
      <alignment horizontal="center"/>
    </xf>
    <xf numFmtId="4" fontId="66" fillId="0" borderId="0" xfId="0" applyNumberFormat="1" applyFont="1" applyAlignment="1">
      <alignment horizontal="center"/>
    </xf>
    <xf numFmtId="49" fontId="27" fillId="2" borderId="0" xfId="0" applyNumberFormat="1" applyFont="1" applyFill="1" applyAlignment="1">
      <alignment horizontal="center"/>
    </xf>
    <xf numFmtId="0" fontId="37" fillId="0" borderId="22" xfId="0" applyFont="1" applyBorder="1" applyAlignment="1">
      <alignment horizontal="center"/>
    </xf>
    <xf numFmtId="0" fontId="37" fillId="0" borderId="30" xfId="0" applyFont="1" applyBorder="1" applyAlignment="1">
      <alignment horizontal="center"/>
    </xf>
    <xf numFmtId="0" fontId="37" fillId="0" borderId="47" xfId="0" applyFont="1" applyBorder="1" applyAlignment="1">
      <alignment horizontal="center"/>
    </xf>
    <xf numFmtId="49" fontId="37" fillId="3" borderId="22" xfId="0" applyNumberFormat="1" applyFont="1" applyFill="1" applyBorder="1" applyAlignment="1">
      <alignment horizontal="center"/>
    </xf>
    <xf numFmtId="49" fontId="37" fillId="3" borderId="30" xfId="0" applyNumberFormat="1" applyFont="1" applyFill="1" applyBorder="1" applyAlignment="1">
      <alignment horizontal="center"/>
    </xf>
    <xf numFmtId="49" fontId="37" fillId="3" borderId="47" xfId="0" applyNumberFormat="1" applyFont="1" applyFill="1" applyBorder="1" applyAlignment="1">
      <alignment horizontal="center"/>
    </xf>
    <xf numFmtId="0" fontId="37" fillId="0" borderId="0" xfId="0" applyFont="1" applyAlignment="1">
      <alignment horizontal="center" vertical="center"/>
    </xf>
    <xf numFmtId="0" fontId="31" fillId="0" borderId="0" xfId="0" applyFont="1" applyAlignment="1">
      <alignment horizontal="center" vertical="center"/>
    </xf>
    <xf numFmtId="0" fontId="39" fillId="0" borderId="0" xfId="0" applyFont="1" applyAlignment="1">
      <alignment horizontal="center"/>
    </xf>
    <xf numFmtId="0" fontId="67" fillId="0" borderId="0" xfId="0" applyFont="1" applyAlignment="1">
      <alignment horizontal="center"/>
    </xf>
    <xf numFmtId="0" fontId="42" fillId="0" borderId="27" xfId="0" applyFont="1" applyBorder="1" applyAlignment="1">
      <alignment horizontal="center" vertical="center"/>
    </xf>
    <xf numFmtId="0" fontId="67" fillId="0" borderId="0" xfId="0" applyFont="1" applyAlignment="1">
      <alignment horizontal="center" vertical="center"/>
    </xf>
    <xf numFmtId="4" fontId="57" fillId="0" borderId="33" xfId="0" applyNumberFormat="1" applyFont="1" applyBorder="1" applyAlignment="1">
      <alignment horizontal="right" vertical="center"/>
    </xf>
    <xf numFmtId="0" fontId="57" fillId="0" borderId="0" xfId="0" applyFont="1" applyAlignment="1">
      <alignment horizontal="center" vertical="center"/>
    </xf>
    <xf numFmtId="0" fontId="19" fillId="0" borderId="0" xfId="0" applyFont="1" applyAlignment="1">
      <alignment horizontal="left" vertical="center" wrapText="1"/>
    </xf>
    <xf numFmtId="0" fontId="0" fillId="0" borderId="0" xfId="0" applyAlignment="1">
      <alignment horizontal="left" vertical="center" wrapText="1"/>
    </xf>
    <xf numFmtId="0" fontId="63" fillId="0" borderId="0" xfId="0" applyFont="1" applyAlignment="1">
      <alignment horizontal="center" vertical="center"/>
    </xf>
    <xf numFmtId="0" fontId="63" fillId="0" borderId="0" xfId="0" applyFont="1" applyAlignment="1">
      <alignment horizontal="left" vertical="center" indent="1"/>
    </xf>
    <xf numFmtId="0" fontId="52" fillId="0" borderId="22" xfId="4" applyFont="1" applyBorder="1" applyAlignment="1">
      <alignment horizontal="center" vertical="center"/>
    </xf>
    <xf numFmtId="0" fontId="52" fillId="0" borderId="30" xfId="0" applyFont="1" applyBorder="1"/>
    <xf numFmtId="0" fontId="52" fillId="0" borderId="31" xfId="0" applyFont="1" applyBorder="1"/>
    <xf numFmtId="0" fontId="48" fillId="0" borderId="22" xfId="4" applyFont="1" applyBorder="1" applyAlignment="1">
      <alignment horizontal="center" vertical="center"/>
    </xf>
    <xf numFmtId="0" fontId="48" fillId="0" borderId="30" xfId="0" applyFont="1" applyBorder="1" applyAlignment="1">
      <alignment vertical="center"/>
    </xf>
    <xf numFmtId="0" fontId="48" fillId="0" borderId="31" xfId="0" applyFont="1" applyBorder="1" applyAlignment="1">
      <alignment vertical="center"/>
    </xf>
    <xf numFmtId="0" fontId="45" fillId="0" borderId="11" xfId="0" applyFont="1" applyBorder="1" applyAlignment="1">
      <alignment horizontal="center" vertical="center" wrapText="1"/>
    </xf>
    <xf numFmtId="0" fontId="45" fillId="0" borderId="11" xfId="0" applyFont="1" applyBorder="1" applyAlignment="1">
      <alignment horizontal="center" vertical="center"/>
    </xf>
    <xf numFmtId="0" fontId="45" fillId="0" borderId="34" xfId="0" applyFont="1" applyBorder="1" applyAlignment="1">
      <alignment horizontal="center" vertical="center"/>
    </xf>
    <xf numFmtId="0" fontId="57" fillId="0" borderId="33" xfId="0" applyFont="1" applyBorder="1" applyAlignment="1">
      <alignment horizontal="right" vertical="center"/>
    </xf>
    <xf numFmtId="49" fontId="57" fillId="0" borderId="33" xfId="0" applyNumberFormat="1" applyFont="1" applyBorder="1" applyAlignment="1">
      <alignment horizontal="left" vertical="center"/>
    </xf>
    <xf numFmtId="4" fontId="57" fillId="0" borderId="35" xfId="0" applyNumberFormat="1" applyFont="1" applyBorder="1" applyAlignment="1">
      <alignment horizontal="right" vertical="center"/>
    </xf>
    <xf numFmtId="0" fontId="57" fillId="0" borderId="11" xfId="0" applyFont="1" applyBorder="1" applyAlignment="1">
      <alignment horizontal="right" vertical="center"/>
    </xf>
    <xf numFmtId="0" fontId="57" fillId="0" borderId="34" xfId="0" applyFont="1" applyBorder="1" applyAlignment="1">
      <alignment horizontal="right" vertical="center"/>
    </xf>
    <xf numFmtId="0" fontId="10" fillId="0" borderId="0" xfId="0" applyFont="1" applyAlignment="1">
      <alignment horizontal="left" vertical="center" wrapText="1"/>
    </xf>
    <xf numFmtId="0" fontId="10" fillId="3" borderId="0" xfId="0" applyFont="1" applyFill="1" applyAlignment="1">
      <alignment horizontal="justify" vertical="center" wrapText="1"/>
    </xf>
    <xf numFmtId="0" fontId="12" fillId="0" borderId="0" xfId="4" applyFont="1" applyAlignment="1">
      <alignment horizontal="center"/>
    </xf>
    <xf numFmtId="0" fontId="11" fillId="0" borderId="0" xfId="4" applyAlignment="1">
      <alignment horizontal="center"/>
    </xf>
    <xf numFmtId="0" fontId="8" fillId="0" borderId="0" xfId="0" applyFont="1" applyAlignment="1">
      <alignment horizontal="center"/>
    </xf>
    <xf numFmtId="0" fontId="17" fillId="3" borderId="0" xfId="0" applyFont="1" applyFill="1" applyAlignment="1">
      <alignment horizontal="center"/>
    </xf>
    <xf numFmtId="0" fontId="20" fillId="0" borderId="0" xfId="0" applyFont="1" applyAlignment="1">
      <alignment horizontal="center"/>
    </xf>
    <xf numFmtId="0" fontId="17" fillId="0" borderId="11" xfId="0" applyFont="1" applyBorder="1" applyAlignment="1">
      <alignment horizontal="left"/>
    </xf>
    <xf numFmtId="0" fontId="17" fillId="0" borderId="34" xfId="0" applyFont="1" applyBorder="1" applyAlignment="1">
      <alignment horizontal="left"/>
    </xf>
    <xf numFmtId="49" fontId="63" fillId="0" borderId="22" xfId="0" applyNumberFormat="1" applyFont="1" applyBorder="1" applyAlignment="1">
      <alignment horizontal="center" wrapText="1"/>
    </xf>
    <xf numFmtId="0" fontId="63" fillId="0" borderId="30" xfId="0" applyFont="1" applyBorder="1" applyAlignment="1">
      <alignment horizontal="center" wrapText="1"/>
    </xf>
    <xf numFmtId="0" fontId="63" fillId="0" borderId="47" xfId="0" applyFont="1" applyBorder="1" applyAlignment="1">
      <alignment horizontal="center" wrapText="1"/>
    </xf>
    <xf numFmtId="0" fontId="17" fillId="0" borderId="0" xfId="0" applyFont="1" applyAlignment="1">
      <alignment horizontal="center"/>
    </xf>
    <xf numFmtId="0" fontId="9" fillId="0" borderId="13" xfId="0" applyFont="1" applyBorder="1" applyAlignment="1">
      <alignment horizontal="center" vertical="center"/>
    </xf>
    <xf numFmtId="0" fontId="10" fillId="0" borderId="0" xfId="0" applyFont="1" applyAlignment="1">
      <alignment horizontal="center"/>
    </xf>
    <xf numFmtId="0" fontId="15" fillId="0" borderId="0" xfId="0" applyFont="1" applyAlignment="1">
      <alignment horizontal="center"/>
    </xf>
    <xf numFmtId="164" fontId="19" fillId="0" borderId="0" xfId="0" applyNumberFormat="1" applyFont="1" applyAlignment="1">
      <alignment horizontal="center" vertical="center"/>
    </xf>
    <xf numFmtId="0" fontId="17" fillId="0" borderId="0" xfId="5" applyFont="1" applyAlignment="1">
      <alignment horizontal="left" vertical="center" wrapText="1"/>
    </xf>
    <xf numFmtId="0" fontId="23" fillId="0" borderId="0" xfId="5" applyFont="1" applyAlignment="1">
      <alignment horizontal="center" vertical="center"/>
    </xf>
    <xf numFmtId="0" fontId="12" fillId="0" borderId="0" xfId="5" applyFont="1" applyAlignment="1">
      <alignment horizontal="center"/>
    </xf>
    <xf numFmtId="0" fontId="12" fillId="0" borderId="19" xfId="5" applyFont="1" applyBorder="1" applyAlignment="1">
      <alignment horizontal="center"/>
    </xf>
    <xf numFmtId="1" fontId="17" fillId="0" borderId="0" xfId="5" applyNumberFormat="1" applyFont="1" applyAlignment="1">
      <alignment horizontal="center"/>
    </xf>
    <xf numFmtId="1" fontId="27" fillId="0" borderId="0" xfId="5" applyNumberFormat="1" applyFont="1" applyAlignment="1">
      <alignment horizontal="center"/>
    </xf>
    <xf numFmtId="0" fontId="33" fillId="0" borderId="0" xfId="0" applyFont="1" applyAlignment="1">
      <alignment horizontal="center" vertical="center"/>
    </xf>
    <xf numFmtId="0" fontId="27" fillId="0" borderId="0" xfId="5" applyFont="1" applyAlignment="1">
      <alignment horizontal="center"/>
    </xf>
    <xf numFmtId="0" fontId="28" fillId="0" borderId="0" xfId="5" applyFont="1" applyAlignment="1">
      <alignment horizontal="center" vertical="center"/>
    </xf>
    <xf numFmtId="0" fontId="8" fillId="0" borderId="0" xfId="5" applyFont="1" applyAlignment="1">
      <alignment horizontal="center" vertical="center"/>
    </xf>
    <xf numFmtId="0" fontId="8" fillId="0" borderId="19" xfId="5" applyFont="1" applyBorder="1" applyAlignment="1">
      <alignment horizontal="center" vertical="center"/>
    </xf>
    <xf numFmtId="0" fontId="3" fillId="0" borderId="0" xfId="5" applyFont="1" applyAlignment="1">
      <alignment horizontal="center" vertical="center"/>
    </xf>
    <xf numFmtId="0" fontId="3" fillId="0" borderId="19" xfId="5" applyFont="1" applyBorder="1" applyAlignment="1">
      <alignment horizontal="center" vertical="center"/>
    </xf>
    <xf numFmtId="0" fontId="21" fillId="0" borderId="0" xfId="5" applyFont="1" applyAlignment="1">
      <alignment horizontal="center" wrapText="1"/>
    </xf>
    <xf numFmtId="0" fontId="21" fillId="0" borderId="19" xfId="5" applyFont="1" applyBorder="1" applyAlignment="1">
      <alignment horizontal="center" wrapText="1"/>
    </xf>
    <xf numFmtId="0" fontId="27" fillId="0" borderId="0" xfId="5" applyFont="1" applyAlignment="1">
      <alignment horizontal="left" vertical="center" wrapText="1"/>
    </xf>
    <xf numFmtId="0" fontId="35" fillId="0" borderId="0" xfId="0" applyFont="1" applyAlignment="1">
      <alignment horizontal="center" vertical="center" wrapText="1"/>
    </xf>
  </cellXfs>
  <cellStyles count="9">
    <cellStyle name="Hipervínculo" xfId="1" builtinId="8"/>
    <cellStyle name="Hipervínculo 2" xfId="2" xr:uid="{00000000-0005-0000-0000-000001000000}"/>
    <cellStyle name="Hyperlink" xfId="7" xr:uid="{CE06F691-B8FD-447B-84B0-035736AFDB35}"/>
    <cellStyle name="Millares" xfId="3" builtinId="3"/>
    <cellStyle name="Normal" xfId="0" builtinId="0"/>
    <cellStyle name="Normal 10" xfId="4" xr:uid="{00000000-0005-0000-0000-000004000000}"/>
    <cellStyle name="Normal 2" xfId="5" xr:uid="{00000000-0005-0000-0000-000005000000}"/>
    <cellStyle name="Normal 3" xfId="6" xr:uid="{00000000-0005-0000-0000-000006000000}"/>
    <cellStyle name="Normal 6" xfId="8" xr:uid="{89781589-6B70-4C46-B04A-B6D629B68C8F}"/>
  </cellStyles>
  <dxfs count="5">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Arial"/>
        <scheme val="none"/>
      </font>
      <numFmt numFmtId="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4.jpeg"/></Relationships>
</file>

<file path=xl/drawings/_rels/drawing6.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6.png"/><Relationship Id="rId1" Type="http://schemas.openxmlformats.org/officeDocument/2006/relationships/image" Target="../media/image5.wmf"/></Relationships>
</file>

<file path=xl/drawings/drawing1.xml><?xml version="1.0" encoding="utf-8"?>
<xdr:wsDr xmlns:xdr="http://schemas.openxmlformats.org/drawingml/2006/spreadsheetDrawing" xmlns:a="http://schemas.openxmlformats.org/drawingml/2006/main">
  <xdr:twoCellAnchor>
    <xdr:from>
      <xdr:col>2</xdr:col>
      <xdr:colOff>628015</xdr:colOff>
      <xdr:row>9</xdr:row>
      <xdr:rowOff>0</xdr:rowOff>
    </xdr:from>
    <xdr:to>
      <xdr:col>3</xdr:col>
      <xdr:colOff>813467</xdr:colOff>
      <xdr:row>10</xdr:row>
      <xdr:rowOff>22316</xdr:rowOff>
    </xdr:to>
    <xdr:sp macro="" textlink="">
      <xdr:nvSpPr>
        <xdr:cNvPr id="18433" name="WordArt 1">
          <a:extLst>
            <a:ext uri="{FF2B5EF4-FFF2-40B4-BE49-F238E27FC236}">
              <a16:creationId xmlns:a16="http://schemas.microsoft.com/office/drawing/2014/main" id="{00000000-0008-0000-0000-000001480000}"/>
            </a:ext>
          </a:extLst>
        </xdr:cNvPr>
        <xdr:cNvSpPr>
          <a:spLocks noChangeArrowheads="1" noChangeShapeType="1" noTextEdit="1"/>
        </xdr:cNvSpPr>
      </xdr:nvSpPr>
      <xdr:spPr bwMode="auto">
        <a:xfrm>
          <a:off x="4143375" y="1485900"/>
          <a:ext cx="9429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sz="1200" i="1" kern="10" spc="0">
              <a:ln w="9525">
                <a:solidFill>
                  <a:srgbClr val="000000"/>
                </a:solidFill>
                <a:round/>
                <a:headEnd/>
                <a:tailEnd/>
              </a:ln>
              <a:solidFill>
                <a:srgbClr val="FFFFFF"/>
              </a:solidFill>
              <a:effectLst/>
              <a:latin typeface="Arial Black"/>
            </a:rPr>
            <a:t>@ tributaria</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209550</xdr:colOff>
      <xdr:row>1</xdr:row>
      <xdr:rowOff>38100</xdr:rowOff>
    </xdr:from>
    <xdr:to>
      <xdr:col>7</xdr:col>
      <xdr:colOff>38099</xdr:colOff>
      <xdr:row>3</xdr:row>
      <xdr:rowOff>133350</xdr:rowOff>
    </xdr:to>
    <xdr:pic>
      <xdr:nvPicPr>
        <xdr:cNvPr id="50318" name="2 Imagen">
          <a:extLst>
            <a:ext uri="{FF2B5EF4-FFF2-40B4-BE49-F238E27FC236}">
              <a16:creationId xmlns:a16="http://schemas.microsoft.com/office/drawing/2014/main" id="{00000000-0008-0000-0100-00008EC4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8625" y="209550"/>
          <a:ext cx="1314450" cy="47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144780</xdr:colOff>
      <xdr:row>0</xdr:row>
      <xdr:rowOff>137160</xdr:rowOff>
    </xdr:from>
    <xdr:to>
      <xdr:col>4</xdr:col>
      <xdr:colOff>364309</xdr:colOff>
      <xdr:row>3</xdr:row>
      <xdr:rowOff>81334</xdr:rowOff>
    </xdr:to>
    <xdr:pic>
      <xdr:nvPicPr>
        <xdr:cNvPr id="2" name="Imagen 1" descr="Archivo:Ins logo.jpg - Wikipedia, la enciclopedia libre">
          <a:extLst>
            <a:ext uri="{FF2B5EF4-FFF2-40B4-BE49-F238E27FC236}">
              <a16:creationId xmlns:a16="http://schemas.microsoft.com/office/drawing/2014/main" id="{5B7EF097-ED81-4B47-8373-B3DAD9878B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780" y="137160"/>
          <a:ext cx="1362529" cy="5156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310243</xdr:colOff>
      <xdr:row>35</xdr:row>
      <xdr:rowOff>161925</xdr:rowOff>
    </xdr:from>
    <xdr:to>
      <xdr:col>22</xdr:col>
      <xdr:colOff>190500</xdr:colOff>
      <xdr:row>40</xdr:row>
      <xdr:rowOff>180975</xdr:rowOff>
    </xdr:to>
    <xdr:pic>
      <xdr:nvPicPr>
        <xdr:cNvPr id="40796" name="Imagen 52" descr="C:\Users\cprendas\Desktop\LOGO 2016.png">
          <a:extLst>
            <a:ext uri="{FF2B5EF4-FFF2-40B4-BE49-F238E27FC236}">
              <a16:creationId xmlns:a16="http://schemas.microsoft.com/office/drawing/2014/main" id="{00000000-0008-0000-0200-00005C9F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24943" y="7210425"/>
          <a:ext cx="2718707"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205739</xdr:colOff>
      <xdr:row>36</xdr:row>
      <xdr:rowOff>135258</xdr:rowOff>
    </xdr:from>
    <xdr:to>
      <xdr:col>10</xdr:col>
      <xdr:colOff>205280</xdr:colOff>
      <xdr:row>39</xdr:row>
      <xdr:rowOff>227250</xdr:rowOff>
    </xdr:to>
    <xdr:pic>
      <xdr:nvPicPr>
        <xdr:cNvPr id="5" name="Imagen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1" cstate="print">
          <a:duotone>
            <a:schemeClr val="accent5">
              <a:shade val="45000"/>
              <a:satMod val="135000"/>
            </a:schemeClr>
            <a:prstClr val="white"/>
          </a:duotone>
          <a:extLst>
            <a:ext uri="{28A0092B-C50C-407E-A947-70E740481C1C}">
              <a14:useLocalDpi xmlns:a14="http://schemas.microsoft.com/office/drawing/2010/main" val="0"/>
            </a:ext>
          </a:extLst>
        </a:blip>
        <a:stretch>
          <a:fillRect/>
        </a:stretch>
      </xdr:blipFill>
      <xdr:spPr>
        <a:xfrm>
          <a:off x="1074419" y="6482718"/>
          <a:ext cx="1508301" cy="72445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36</xdr:col>
      <xdr:colOff>0</xdr:colOff>
      <xdr:row>34</xdr:row>
      <xdr:rowOff>0</xdr:rowOff>
    </xdr:from>
    <xdr:to>
      <xdr:col>36</xdr:col>
      <xdr:colOff>0</xdr:colOff>
      <xdr:row>34</xdr:row>
      <xdr:rowOff>0</xdr:rowOff>
    </xdr:to>
    <xdr:grpSp>
      <xdr:nvGrpSpPr>
        <xdr:cNvPr id="57046" name="Group 108">
          <a:extLst>
            <a:ext uri="{FF2B5EF4-FFF2-40B4-BE49-F238E27FC236}">
              <a16:creationId xmlns:a16="http://schemas.microsoft.com/office/drawing/2014/main" id="{00000000-0008-0000-0400-0000D6DE0000}"/>
            </a:ext>
          </a:extLst>
        </xdr:cNvPr>
        <xdr:cNvGrpSpPr>
          <a:grpSpLocks/>
        </xdr:cNvGrpSpPr>
      </xdr:nvGrpSpPr>
      <xdr:grpSpPr bwMode="auto">
        <a:xfrm>
          <a:off x="8609135" y="6792058"/>
          <a:ext cx="0" cy="0"/>
          <a:chOff x="110530132" y="107927479"/>
          <a:chExt cx="3196335" cy="4369138"/>
        </a:xfrm>
      </xdr:grpSpPr>
      <xdr:pic>
        <xdr:nvPicPr>
          <xdr:cNvPr id="57076" name="Picture 109" descr="j0152876">
            <a:extLst>
              <a:ext uri="{FF2B5EF4-FFF2-40B4-BE49-F238E27FC236}">
                <a16:creationId xmlns:a16="http://schemas.microsoft.com/office/drawing/2014/main" id="{00000000-0008-0000-0400-0000F4DE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162977" y="111757161"/>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57077" name="Picture 110" descr="j0152876">
            <a:extLst>
              <a:ext uri="{FF2B5EF4-FFF2-40B4-BE49-F238E27FC236}">
                <a16:creationId xmlns:a16="http://schemas.microsoft.com/office/drawing/2014/main" id="{00000000-0008-0000-0400-0000F5DE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74453" y="111742416"/>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57078" name="Picture 111" descr="j0152876">
            <a:extLst>
              <a:ext uri="{FF2B5EF4-FFF2-40B4-BE49-F238E27FC236}">
                <a16:creationId xmlns:a16="http://schemas.microsoft.com/office/drawing/2014/main" id="{00000000-0008-0000-0400-0000F6DE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74453" y="111202960"/>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57079" name="Picture 112" descr="j0152876">
            <a:extLst>
              <a:ext uri="{FF2B5EF4-FFF2-40B4-BE49-F238E27FC236}">
                <a16:creationId xmlns:a16="http://schemas.microsoft.com/office/drawing/2014/main" id="{00000000-0008-0000-0400-0000F7DE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74453" y="110678249"/>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57080" name="Picture 113" descr="j0152876">
            <a:extLst>
              <a:ext uri="{FF2B5EF4-FFF2-40B4-BE49-F238E27FC236}">
                <a16:creationId xmlns:a16="http://schemas.microsoft.com/office/drawing/2014/main" id="{00000000-0008-0000-0400-0000F8DE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74453" y="110138793"/>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57081" name="Picture 114" descr="j0152876">
            <a:extLst>
              <a:ext uri="{FF2B5EF4-FFF2-40B4-BE49-F238E27FC236}">
                <a16:creationId xmlns:a16="http://schemas.microsoft.com/office/drawing/2014/main" id="{00000000-0008-0000-0400-0000F9DE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74453" y="109615277"/>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57082" name="Picture 115" descr="j0152876">
            <a:extLst>
              <a:ext uri="{FF2B5EF4-FFF2-40B4-BE49-F238E27FC236}">
                <a16:creationId xmlns:a16="http://schemas.microsoft.com/office/drawing/2014/main" id="{00000000-0008-0000-0400-0000FADE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74453" y="109050355"/>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57083" name="Picture 116" descr="j0152876">
            <a:extLst>
              <a:ext uri="{FF2B5EF4-FFF2-40B4-BE49-F238E27FC236}">
                <a16:creationId xmlns:a16="http://schemas.microsoft.com/office/drawing/2014/main" id="{00000000-0008-0000-0400-0000FBDE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74453" y="108472273"/>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57084" name="Picture 117" descr="j0152876">
            <a:extLst>
              <a:ext uri="{FF2B5EF4-FFF2-40B4-BE49-F238E27FC236}">
                <a16:creationId xmlns:a16="http://schemas.microsoft.com/office/drawing/2014/main" id="{00000000-0008-0000-0400-0000FCDE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74453" y="107927479"/>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57085" name="Picture 118" descr="j0152876">
            <a:extLst>
              <a:ext uri="{FF2B5EF4-FFF2-40B4-BE49-F238E27FC236}">
                <a16:creationId xmlns:a16="http://schemas.microsoft.com/office/drawing/2014/main" id="{00000000-0008-0000-0400-0000FDDE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159098" y="107927479"/>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57086" name="Picture 119" descr="j0152876">
            <a:extLst>
              <a:ext uri="{FF2B5EF4-FFF2-40B4-BE49-F238E27FC236}">
                <a16:creationId xmlns:a16="http://schemas.microsoft.com/office/drawing/2014/main" id="{00000000-0008-0000-0400-0000FEDE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351689" y="107927479"/>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57087" name="Picture 120" descr="j0152876">
            <a:extLst>
              <a:ext uri="{FF2B5EF4-FFF2-40B4-BE49-F238E27FC236}">
                <a16:creationId xmlns:a16="http://schemas.microsoft.com/office/drawing/2014/main" id="{00000000-0008-0000-0400-0000FFDE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530132" y="107932817"/>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57088" name="Picture 121" descr="j0152876">
            <a:extLst>
              <a:ext uri="{FF2B5EF4-FFF2-40B4-BE49-F238E27FC236}">
                <a16:creationId xmlns:a16="http://schemas.microsoft.com/office/drawing/2014/main" id="{00000000-0008-0000-0400-000000DF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530132" y="108520425"/>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57089" name="Picture 122" descr="j0152876">
            <a:extLst>
              <a:ext uri="{FF2B5EF4-FFF2-40B4-BE49-F238E27FC236}">
                <a16:creationId xmlns:a16="http://schemas.microsoft.com/office/drawing/2014/main" id="{00000000-0008-0000-0400-000001DF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530132" y="109080584"/>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57090" name="Picture 123" descr="j0152876">
            <a:extLst>
              <a:ext uri="{FF2B5EF4-FFF2-40B4-BE49-F238E27FC236}">
                <a16:creationId xmlns:a16="http://schemas.microsoft.com/office/drawing/2014/main" id="{00000000-0008-0000-0400-000002DF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530132" y="110159341"/>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57091" name="Picture 124" descr="j0152876">
            <a:extLst>
              <a:ext uri="{FF2B5EF4-FFF2-40B4-BE49-F238E27FC236}">
                <a16:creationId xmlns:a16="http://schemas.microsoft.com/office/drawing/2014/main" id="{00000000-0008-0000-0400-000003DF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530132" y="109620040"/>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57092" name="Picture 125" descr="j0152876">
            <a:extLst>
              <a:ext uri="{FF2B5EF4-FFF2-40B4-BE49-F238E27FC236}">
                <a16:creationId xmlns:a16="http://schemas.microsoft.com/office/drawing/2014/main" id="{00000000-0008-0000-0400-000004DF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530132" y="110698797"/>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57093" name="Picture 126" descr="j0152876">
            <a:extLst>
              <a:ext uri="{FF2B5EF4-FFF2-40B4-BE49-F238E27FC236}">
                <a16:creationId xmlns:a16="http://schemas.microsoft.com/office/drawing/2014/main" id="{00000000-0008-0000-0400-000005DF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530132" y="111220918"/>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57094" name="Picture 127" descr="j0152876">
            <a:extLst>
              <a:ext uri="{FF2B5EF4-FFF2-40B4-BE49-F238E27FC236}">
                <a16:creationId xmlns:a16="http://schemas.microsoft.com/office/drawing/2014/main" id="{00000000-0008-0000-0400-000006DF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530132" y="111757161"/>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57095" name="Picture 128" descr="j0152876">
            <a:extLst>
              <a:ext uri="{FF2B5EF4-FFF2-40B4-BE49-F238E27FC236}">
                <a16:creationId xmlns:a16="http://schemas.microsoft.com/office/drawing/2014/main" id="{00000000-0008-0000-0400-000007DF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351689" y="111757161"/>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grpSp>
    <xdr:clientData/>
  </xdr:twoCellAnchor>
  <xdr:twoCellAnchor>
    <xdr:from>
      <xdr:col>36</xdr:col>
      <xdr:colOff>0</xdr:colOff>
      <xdr:row>34</xdr:row>
      <xdr:rowOff>0</xdr:rowOff>
    </xdr:from>
    <xdr:to>
      <xdr:col>36</xdr:col>
      <xdr:colOff>0</xdr:colOff>
      <xdr:row>34</xdr:row>
      <xdr:rowOff>0</xdr:rowOff>
    </xdr:to>
    <xdr:grpSp>
      <xdr:nvGrpSpPr>
        <xdr:cNvPr id="57047" name="Group 129">
          <a:extLst>
            <a:ext uri="{FF2B5EF4-FFF2-40B4-BE49-F238E27FC236}">
              <a16:creationId xmlns:a16="http://schemas.microsoft.com/office/drawing/2014/main" id="{00000000-0008-0000-0400-0000D7DE0000}"/>
            </a:ext>
          </a:extLst>
        </xdr:cNvPr>
        <xdr:cNvGrpSpPr>
          <a:grpSpLocks/>
        </xdr:cNvGrpSpPr>
      </xdr:nvGrpSpPr>
      <xdr:grpSpPr bwMode="auto">
        <a:xfrm>
          <a:off x="8609135" y="6792058"/>
          <a:ext cx="0" cy="0"/>
          <a:chOff x="110530132" y="107927479"/>
          <a:chExt cx="3196335" cy="4369138"/>
        </a:xfrm>
      </xdr:grpSpPr>
      <xdr:pic>
        <xdr:nvPicPr>
          <xdr:cNvPr id="57056" name="Picture 130" descr="j0152876">
            <a:extLst>
              <a:ext uri="{FF2B5EF4-FFF2-40B4-BE49-F238E27FC236}">
                <a16:creationId xmlns:a16="http://schemas.microsoft.com/office/drawing/2014/main" id="{00000000-0008-0000-0400-0000E0DE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162977" y="111757161"/>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57057" name="Picture 131" descr="j0152876">
            <a:extLst>
              <a:ext uri="{FF2B5EF4-FFF2-40B4-BE49-F238E27FC236}">
                <a16:creationId xmlns:a16="http://schemas.microsoft.com/office/drawing/2014/main" id="{00000000-0008-0000-0400-0000E1DE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74453" y="111742416"/>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57058" name="Picture 132" descr="j0152876">
            <a:extLst>
              <a:ext uri="{FF2B5EF4-FFF2-40B4-BE49-F238E27FC236}">
                <a16:creationId xmlns:a16="http://schemas.microsoft.com/office/drawing/2014/main" id="{00000000-0008-0000-0400-0000E2DE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74453" y="111202960"/>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57059" name="Picture 133" descr="j0152876">
            <a:extLst>
              <a:ext uri="{FF2B5EF4-FFF2-40B4-BE49-F238E27FC236}">
                <a16:creationId xmlns:a16="http://schemas.microsoft.com/office/drawing/2014/main" id="{00000000-0008-0000-0400-0000E3DE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74453" y="110678249"/>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57060" name="Picture 134" descr="j0152876">
            <a:extLst>
              <a:ext uri="{FF2B5EF4-FFF2-40B4-BE49-F238E27FC236}">
                <a16:creationId xmlns:a16="http://schemas.microsoft.com/office/drawing/2014/main" id="{00000000-0008-0000-0400-0000E4DE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74453" y="110138793"/>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57061" name="Picture 135" descr="j0152876">
            <a:extLst>
              <a:ext uri="{FF2B5EF4-FFF2-40B4-BE49-F238E27FC236}">
                <a16:creationId xmlns:a16="http://schemas.microsoft.com/office/drawing/2014/main" id="{00000000-0008-0000-0400-0000E5DE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74453" y="109615277"/>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57062" name="Picture 136" descr="j0152876">
            <a:extLst>
              <a:ext uri="{FF2B5EF4-FFF2-40B4-BE49-F238E27FC236}">
                <a16:creationId xmlns:a16="http://schemas.microsoft.com/office/drawing/2014/main" id="{00000000-0008-0000-0400-0000E6DE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74453" y="109050355"/>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57063" name="Picture 137" descr="j0152876">
            <a:extLst>
              <a:ext uri="{FF2B5EF4-FFF2-40B4-BE49-F238E27FC236}">
                <a16:creationId xmlns:a16="http://schemas.microsoft.com/office/drawing/2014/main" id="{00000000-0008-0000-0400-0000E7DE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74453" y="108472273"/>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57064" name="Picture 138" descr="j0152876">
            <a:extLst>
              <a:ext uri="{FF2B5EF4-FFF2-40B4-BE49-F238E27FC236}">
                <a16:creationId xmlns:a16="http://schemas.microsoft.com/office/drawing/2014/main" id="{00000000-0008-0000-0400-0000E8DE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74453" y="107927479"/>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57065" name="Picture 139" descr="j0152876">
            <a:extLst>
              <a:ext uri="{FF2B5EF4-FFF2-40B4-BE49-F238E27FC236}">
                <a16:creationId xmlns:a16="http://schemas.microsoft.com/office/drawing/2014/main" id="{00000000-0008-0000-0400-0000E9DE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159098" y="107927479"/>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57066" name="Picture 140" descr="j0152876">
            <a:extLst>
              <a:ext uri="{FF2B5EF4-FFF2-40B4-BE49-F238E27FC236}">
                <a16:creationId xmlns:a16="http://schemas.microsoft.com/office/drawing/2014/main" id="{00000000-0008-0000-0400-0000EADE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351689" y="107927479"/>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57067" name="Picture 141" descr="j0152876">
            <a:extLst>
              <a:ext uri="{FF2B5EF4-FFF2-40B4-BE49-F238E27FC236}">
                <a16:creationId xmlns:a16="http://schemas.microsoft.com/office/drawing/2014/main" id="{00000000-0008-0000-0400-0000EBDE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530132" y="107932817"/>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57068" name="Picture 142" descr="j0152876">
            <a:extLst>
              <a:ext uri="{FF2B5EF4-FFF2-40B4-BE49-F238E27FC236}">
                <a16:creationId xmlns:a16="http://schemas.microsoft.com/office/drawing/2014/main" id="{00000000-0008-0000-0400-0000ECDE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530132" y="108520425"/>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57069" name="Picture 143" descr="j0152876">
            <a:extLst>
              <a:ext uri="{FF2B5EF4-FFF2-40B4-BE49-F238E27FC236}">
                <a16:creationId xmlns:a16="http://schemas.microsoft.com/office/drawing/2014/main" id="{00000000-0008-0000-0400-0000EDDE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530132" y="109080584"/>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57070" name="Picture 144" descr="j0152876">
            <a:extLst>
              <a:ext uri="{FF2B5EF4-FFF2-40B4-BE49-F238E27FC236}">
                <a16:creationId xmlns:a16="http://schemas.microsoft.com/office/drawing/2014/main" id="{00000000-0008-0000-0400-0000EEDE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530132" y="110159341"/>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57071" name="Picture 145" descr="j0152876">
            <a:extLst>
              <a:ext uri="{FF2B5EF4-FFF2-40B4-BE49-F238E27FC236}">
                <a16:creationId xmlns:a16="http://schemas.microsoft.com/office/drawing/2014/main" id="{00000000-0008-0000-0400-0000EFDE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530132" y="109620040"/>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57072" name="Picture 146" descr="j0152876">
            <a:extLst>
              <a:ext uri="{FF2B5EF4-FFF2-40B4-BE49-F238E27FC236}">
                <a16:creationId xmlns:a16="http://schemas.microsoft.com/office/drawing/2014/main" id="{00000000-0008-0000-0400-0000F0DE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530132" y="110698797"/>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57073" name="Picture 147" descr="j0152876">
            <a:extLst>
              <a:ext uri="{FF2B5EF4-FFF2-40B4-BE49-F238E27FC236}">
                <a16:creationId xmlns:a16="http://schemas.microsoft.com/office/drawing/2014/main" id="{00000000-0008-0000-0400-0000F1DE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530132" y="111220918"/>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57074" name="Picture 148" descr="j0152876">
            <a:extLst>
              <a:ext uri="{FF2B5EF4-FFF2-40B4-BE49-F238E27FC236}">
                <a16:creationId xmlns:a16="http://schemas.microsoft.com/office/drawing/2014/main" id="{00000000-0008-0000-0400-0000F2DE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530132" y="111757161"/>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57075" name="Picture 149" descr="j0152876">
            <a:extLst>
              <a:ext uri="{FF2B5EF4-FFF2-40B4-BE49-F238E27FC236}">
                <a16:creationId xmlns:a16="http://schemas.microsoft.com/office/drawing/2014/main" id="{00000000-0008-0000-0400-0000F3DE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351689" y="111757161"/>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grpSp>
    <xdr:clientData/>
  </xdr:twoCellAnchor>
  <xdr:twoCellAnchor editAs="oneCell">
    <xdr:from>
      <xdr:col>25</xdr:col>
      <xdr:colOff>114300</xdr:colOff>
      <xdr:row>21</xdr:row>
      <xdr:rowOff>104775</xdr:rowOff>
    </xdr:from>
    <xdr:to>
      <xdr:col>33</xdr:col>
      <xdr:colOff>180975</xdr:colOff>
      <xdr:row>25</xdr:row>
      <xdr:rowOff>114300</xdr:rowOff>
    </xdr:to>
    <xdr:pic>
      <xdr:nvPicPr>
        <xdr:cNvPr id="57048" name="Imagen 52" descr="C:\Users\cprendas\Desktop\LOGO 2016.png">
          <a:extLst>
            <a:ext uri="{FF2B5EF4-FFF2-40B4-BE49-F238E27FC236}">
              <a16:creationId xmlns:a16="http://schemas.microsoft.com/office/drawing/2014/main" id="{00000000-0008-0000-0400-0000D8DE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076950" y="4257675"/>
          <a:ext cx="2047875" cy="771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142877</xdr:colOff>
      <xdr:row>25</xdr:row>
      <xdr:rowOff>161926</xdr:rowOff>
    </xdr:from>
    <xdr:to>
      <xdr:col>13</xdr:col>
      <xdr:colOff>188173</xdr:colOff>
      <xdr:row>28</xdr:row>
      <xdr:rowOff>248558</xdr:rowOff>
    </xdr:to>
    <xdr:pic>
      <xdr:nvPicPr>
        <xdr:cNvPr id="52" name="Imagen 51">
          <a:extLst>
            <a:ext uri="{FF2B5EF4-FFF2-40B4-BE49-F238E27FC236}">
              <a16:creationId xmlns:a16="http://schemas.microsoft.com/office/drawing/2014/main" id="{00000000-0008-0000-0400-000034000000}"/>
            </a:ext>
          </a:extLst>
        </xdr:cNvPr>
        <xdr:cNvPicPr>
          <a:picLocks noChangeAspect="1"/>
        </xdr:cNvPicPr>
      </xdr:nvPicPr>
      <xdr:blipFill>
        <a:blip xmlns:r="http://schemas.openxmlformats.org/officeDocument/2006/relationships" r:embed="rId3" cstate="print">
          <a:duotone>
            <a:schemeClr val="accent5">
              <a:shade val="45000"/>
              <a:satMod val="135000"/>
            </a:schemeClr>
            <a:prstClr val="white"/>
          </a:duotone>
          <a:extLst>
            <a:ext uri="{28A0092B-C50C-407E-A947-70E740481C1C}">
              <a14:useLocalDpi xmlns:a14="http://schemas.microsoft.com/office/drawing/2010/main" val="0"/>
            </a:ext>
          </a:extLst>
        </a:blip>
        <a:stretch>
          <a:fillRect/>
        </a:stretch>
      </xdr:blipFill>
      <xdr:spPr>
        <a:xfrm rot="21390095">
          <a:off x="1659550" y="5078291"/>
          <a:ext cx="1539988" cy="716748"/>
        </a:xfrm>
        <a:prstGeom prst="rect">
          <a:avLst/>
        </a:prstGeom>
      </xdr:spPr>
    </xdr:pic>
    <xdr:clientData/>
  </xdr:twoCellAnchor>
  <xdr:twoCellAnchor>
    <xdr:from>
      <xdr:col>33</xdr:col>
      <xdr:colOff>152400</xdr:colOff>
      <xdr:row>1</xdr:row>
      <xdr:rowOff>104775</xdr:rowOff>
    </xdr:from>
    <xdr:to>
      <xdr:col>34</xdr:col>
      <xdr:colOff>228600</xdr:colOff>
      <xdr:row>3</xdr:row>
      <xdr:rowOff>28575</xdr:rowOff>
    </xdr:to>
    <xdr:pic>
      <xdr:nvPicPr>
        <xdr:cNvPr id="57050" name="Picture 163" descr="j0152876">
          <a:extLst>
            <a:ext uri="{FF2B5EF4-FFF2-40B4-BE49-F238E27FC236}">
              <a16:creationId xmlns:a16="http://schemas.microsoft.com/office/drawing/2014/main" id="{00000000-0008-0000-0400-0000DADE0000}"/>
            </a:ext>
          </a:extLst>
        </xdr:cNvPr>
        <xdr:cNvPicPr preferRelativeResize="0">
          <a:picLocks noChangeArrowheads="1" noChangeShapeType="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96250" y="295275"/>
          <a:ext cx="3238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clientData/>
  </xdr:twoCellAnchor>
  <xdr:twoCellAnchor>
    <xdr:from>
      <xdr:col>33</xdr:col>
      <xdr:colOff>142875</xdr:colOff>
      <xdr:row>3</xdr:row>
      <xdr:rowOff>0</xdr:rowOff>
    </xdr:from>
    <xdr:to>
      <xdr:col>34</xdr:col>
      <xdr:colOff>219075</xdr:colOff>
      <xdr:row>4</xdr:row>
      <xdr:rowOff>114300</xdr:rowOff>
    </xdr:to>
    <xdr:pic>
      <xdr:nvPicPr>
        <xdr:cNvPr id="57051" name="Picture 163" descr="j0152876">
          <a:extLst>
            <a:ext uri="{FF2B5EF4-FFF2-40B4-BE49-F238E27FC236}">
              <a16:creationId xmlns:a16="http://schemas.microsoft.com/office/drawing/2014/main" id="{00000000-0008-0000-0400-0000DBDE0000}"/>
            </a:ext>
          </a:extLst>
        </xdr:cNvPr>
        <xdr:cNvPicPr preferRelativeResize="0">
          <a:picLocks noChangeArrowheads="1" noChangeShapeType="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86725" y="571500"/>
          <a:ext cx="3238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clientData/>
  </xdr:twoCellAnchor>
  <xdr:twoCellAnchor>
    <xdr:from>
      <xdr:col>32</xdr:col>
      <xdr:colOff>161925</xdr:colOff>
      <xdr:row>2</xdr:row>
      <xdr:rowOff>38100</xdr:rowOff>
    </xdr:from>
    <xdr:to>
      <xdr:col>33</xdr:col>
      <xdr:colOff>238125</xdr:colOff>
      <xdr:row>3</xdr:row>
      <xdr:rowOff>152400</xdr:rowOff>
    </xdr:to>
    <xdr:pic>
      <xdr:nvPicPr>
        <xdr:cNvPr id="57052" name="Picture 163" descr="j0152876">
          <a:extLst>
            <a:ext uri="{FF2B5EF4-FFF2-40B4-BE49-F238E27FC236}">
              <a16:creationId xmlns:a16="http://schemas.microsoft.com/office/drawing/2014/main" id="{00000000-0008-0000-0400-0000DCDE0000}"/>
            </a:ext>
          </a:extLst>
        </xdr:cNvPr>
        <xdr:cNvPicPr preferRelativeResize="0">
          <a:picLocks noChangeArrowheads="1" noChangeShapeType="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58125" y="419100"/>
          <a:ext cx="3238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clientData/>
  </xdr:twoCellAnchor>
  <xdr:twoCellAnchor>
    <xdr:from>
      <xdr:col>33</xdr:col>
      <xdr:colOff>142875</xdr:colOff>
      <xdr:row>30</xdr:row>
      <xdr:rowOff>85725</xdr:rowOff>
    </xdr:from>
    <xdr:to>
      <xdr:col>34</xdr:col>
      <xdr:colOff>219075</xdr:colOff>
      <xdr:row>32</xdr:row>
      <xdr:rowOff>9525</xdr:rowOff>
    </xdr:to>
    <xdr:pic>
      <xdr:nvPicPr>
        <xdr:cNvPr id="57053" name="Picture 163" descr="j0152876">
          <a:extLst>
            <a:ext uri="{FF2B5EF4-FFF2-40B4-BE49-F238E27FC236}">
              <a16:creationId xmlns:a16="http://schemas.microsoft.com/office/drawing/2014/main" id="{00000000-0008-0000-0400-0000DDDE0000}"/>
            </a:ext>
          </a:extLst>
        </xdr:cNvPr>
        <xdr:cNvPicPr preferRelativeResize="0">
          <a:picLocks noChangeArrowheads="1" noChangeShapeType="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86725" y="6115050"/>
          <a:ext cx="3238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clientData/>
  </xdr:twoCellAnchor>
  <xdr:twoCellAnchor>
    <xdr:from>
      <xdr:col>33</xdr:col>
      <xdr:colOff>133350</xdr:colOff>
      <xdr:row>31</xdr:row>
      <xdr:rowOff>171450</xdr:rowOff>
    </xdr:from>
    <xdr:to>
      <xdr:col>34</xdr:col>
      <xdr:colOff>209550</xdr:colOff>
      <xdr:row>33</xdr:row>
      <xdr:rowOff>95250</xdr:rowOff>
    </xdr:to>
    <xdr:pic>
      <xdr:nvPicPr>
        <xdr:cNvPr id="57054" name="Picture 163" descr="j0152876">
          <a:extLst>
            <a:ext uri="{FF2B5EF4-FFF2-40B4-BE49-F238E27FC236}">
              <a16:creationId xmlns:a16="http://schemas.microsoft.com/office/drawing/2014/main" id="{00000000-0008-0000-0400-0000DEDE0000}"/>
            </a:ext>
          </a:extLst>
        </xdr:cNvPr>
        <xdr:cNvPicPr preferRelativeResize="0">
          <a:picLocks noChangeArrowheads="1" noChangeShapeType="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77200" y="6391275"/>
          <a:ext cx="3238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clientData/>
  </xdr:twoCellAnchor>
  <xdr:twoCellAnchor>
    <xdr:from>
      <xdr:col>32</xdr:col>
      <xdr:colOff>152400</xdr:colOff>
      <xdr:row>31</xdr:row>
      <xdr:rowOff>19050</xdr:rowOff>
    </xdr:from>
    <xdr:to>
      <xdr:col>33</xdr:col>
      <xdr:colOff>228600</xdr:colOff>
      <xdr:row>32</xdr:row>
      <xdr:rowOff>133350</xdr:rowOff>
    </xdr:to>
    <xdr:pic>
      <xdr:nvPicPr>
        <xdr:cNvPr id="57055" name="Picture 163" descr="j0152876">
          <a:extLst>
            <a:ext uri="{FF2B5EF4-FFF2-40B4-BE49-F238E27FC236}">
              <a16:creationId xmlns:a16="http://schemas.microsoft.com/office/drawing/2014/main" id="{00000000-0008-0000-0400-0000DFDE0000}"/>
            </a:ext>
          </a:extLst>
        </xdr:cNvPr>
        <xdr:cNvPicPr preferRelativeResize="0">
          <a:picLocks noChangeArrowheads="1" noChangeShapeType="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48600" y="6238875"/>
          <a:ext cx="3238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jrodriguez/Desktop/FMT%20ACTUALES/FMT%20104%20APERTURA%20ESTABLECIMIENTO/EXP-000-FMT-104-APERTURA%20ESTABLECIMIENTO-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VINCIAS"/>
      <sheetName val=" FMT 104 TOMA DATOS"/>
      <sheetName val="REQUISITOS FMT 104"/>
      <sheetName val="DECLARACIÓN JURADA"/>
      <sheetName val="CONSTANCIA INS"/>
      <sheetName val="EX INS-F-D0139"/>
      <sheetName val="FMT 025 REUBICACIÓN"/>
      <sheetName val="CONSTANCIA REQUISITOS"/>
      <sheetName val="ANTIGUA DECLARA"/>
      <sheetName val="USO DE SUELO"/>
      <sheetName val="RESOLUCIÓN PSF"/>
      <sheetName val="CERTIFICADO PSF"/>
      <sheetName val="CALCULO LICENCIA"/>
      <sheetName val="TRASLADO"/>
      <sheetName val="PARÁMETROS"/>
      <sheetName val="RESOLUCION COMERCIAL"/>
      <sheetName val="CERTIFICADO"/>
      <sheetName val="INFORME LICORES"/>
      <sheetName val="RESOLUCION LICORES"/>
      <sheetName val="CERTIFICADO LICORES "/>
      <sheetName val="DECLARACIÓN JURADA  (3)"/>
      <sheetName val="CIUU"/>
      <sheetName val="SIGRAMU"/>
      <sheetName val="CERTIFICADO CVO"/>
    </sheetNames>
    <sheetDataSet>
      <sheetData sheetId="0">
        <row r="2">
          <cell r="A2" t="str">
            <v>SAN_JOSE</v>
          </cell>
        </row>
        <row r="3">
          <cell r="A3" t="str">
            <v>ALAJUELA</v>
          </cell>
        </row>
        <row r="4">
          <cell r="A4" t="str">
            <v>CARTAGO</v>
          </cell>
        </row>
        <row r="5">
          <cell r="A5" t="str">
            <v>HEREDIA</v>
          </cell>
        </row>
        <row r="6">
          <cell r="A6" t="str">
            <v>GUANACASTE</v>
          </cell>
        </row>
        <row r="7">
          <cell r="A7" t="str">
            <v>PUNTARENAS</v>
          </cell>
        </row>
        <row r="8">
          <cell r="A8" t="str">
            <v>LIMÓN</v>
          </cell>
        </row>
      </sheetData>
      <sheetData sheetId="1">
        <row r="34">
          <cell r="I34" t="str">
            <v>GUANACASTE</v>
          </cell>
          <cell r="U34" t="str">
            <v>TILARAN</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0021D0B-6680-4307-A9C2-2A7A317EB735}" name="Tabla9" displayName="Tabla9" ref="B5:E14" totalsRowShown="0" tableBorderDxfId="4">
  <autoFilter ref="B5:E14" xr:uid="{60021D0B-6680-4307-A9C2-2A7A317EB735}"/>
  <tableColumns count="4">
    <tableColumn id="1" xr3:uid="{47FDF1B9-571B-4E5F-9B5E-2123620BEF8E}" name="CATEGORÍAS" dataDxfId="3"/>
    <tableColumn id="2" xr3:uid="{B739EE55-0E9E-4E7B-BB63-7C94DC3E3495}" name="SIGLAS" dataDxfId="2"/>
    <tableColumn id="3" xr3:uid="{3F540488-DAF6-40D2-A82D-D094AD850973}" name="SALARIOS" dataDxfId="1"/>
    <tableColumn id="4" xr3:uid="{4732F167-4681-43CF-B302-6A899B005663}" name="Columna1" dataDxfId="0"/>
  </tableColumns>
  <tableStyleInfo name="TableStyleMedium4"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8" Type="http://schemas.openxmlformats.org/officeDocument/2006/relationships/hyperlink" Target="mailto:hmasis@tilaran.go.cr" TargetMode="External"/><Relationship Id="rId3" Type="http://schemas.openxmlformats.org/officeDocument/2006/relationships/hyperlink" Target="mailto:fperez@tilaran.go.cr" TargetMode="External"/><Relationship Id="rId7" Type="http://schemas.openxmlformats.org/officeDocument/2006/relationships/hyperlink" Target="mailto:fperez@tilaran.go.cr" TargetMode="External"/><Relationship Id="rId2" Type="http://schemas.openxmlformats.org/officeDocument/2006/relationships/hyperlink" Target="mailto:aramirez@tilaran.go.cr" TargetMode="External"/><Relationship Id="rId1" Type="http://schemas.openxmlformats.org/officeDocument/2006/relationships/hyperlink" Target="mailto:bvasquez@tilaran.go.cr" TargetMode="External"/><Relationship Id="rId6" Type="http://schemas.openxmlformats.org/officeDocument/2006/relationships/hyperlink" Target="mailto:mario.alvarado@tilaran.go.cr" TargetMode="External"/><Relationship Id="rId5" Type="http://schemas.openxmlformats.org/officeDocument/2006/relationships/hyperlink" Target="mailto:carolay.solera@tilaran.go.cr" TargetMode="External"/><Relationship Id="rId10" Type="http://schemas.openxmlformats.org/officeDocument/2006/relationships/table" Target="../tables/table1.xml"/><Relationship Id="rId4" Type="http://schemas.openxmlformats.org/officeDocument/2006/relationships/hyperlink" Target="mailto:gbogantes@tilaran.go.cr" TargetMode="External"/><Relationship Id="rId9" Type="http://schemas.openxmlformats.org/officeDocument/2006/relationships/hyperlink" Target="mailto:fperez@tilaran.go.c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5:H37"/>
  <sheetViews>
    <sheetView topLeftCell="A10" workbookViewId="0">
      <selection activeCell="C12" sqref="C12:D12"/>
    </sheetView>
  </sheetViews>
  <sheetFormatPr baseColWidth="10" defaultColWidth="11.42578125" defaultRowHeight="12.75" x14ac:dyDescent="0.2"/>
  <cols>
    <col min="1" max="1" width="15.42578125" customWidth="1"/>
    <col min="2" max="2" width="37.28515625" customWidth="1"/>
    <col min="3" max="3" width="11.42578125" style="18" customWidth="1"/>
    <col min="4" max="4" width="12.7109375" style="8" customWidth="1"/>
    <col min="8" max="8" width="12.7109375" customWidth="1"/>
    <col min="9" max="9" width="13.7109375" bestFit="1" customWidth="1"/>
    <col min="10" max="10" width="12.7109375" bestFit="1" customWidth="1"/>
  </cols>
  <sheetData>
    <row r="5" spans="2:8" ht="14.25" x14ac:dyDescent="0.2">
      <c r="B5" s="205" t="s">
        <v>0</v>
      </c>
      <c r="C5" s="205"/>
      <c r="D5" s="205"/>
      <c r="E5" s="10"/>
      <c r="F5" s="10"/>
      <c r="G5" s="10"/>
      <c r="H5" s="10"/>
    </row>
    <row r="6" spans="2:8" x14ac:dyDescent="0.2">
      <c r="B6" s="206" t="s">
        <v>1</v>
      </c>
      <c r="C6" s="206"/>
      <c r="D6" s="206"/>
      <c r="E6" s="10"/>
      <c r="F6" s="10"/>
      <c r="G6" s="10"/>
      <c r="H6" s="10"/>
    </row>
    <row r="7" spans="2:8" ht="12" customHeight="1" x14ac:dyDescent="0.2">
      <c r="B7" s="207" t="s">
        <v>2</v>
      </c>
      <c r="C7" s="207"/>
      <c r="D7" s="207"/>
      <c r="E7" s="6"/>
      <c r="F7" s="6"/>
      <c r="G7" s="6"/>
      <c r="H7" s="6"/>
    </row>
    <row r="8" spans="2:8" ht="12" customHeight="1" x14ac:dyDescent="0.2">
      <c r="B8" s="5"/>
      <c r="C8" s="17"/>
      <c r="D8" s="107"/>
      <c r="E8" s="5"/>
      <c r="F8" s="5"/>
      <c r="G8" s="5"/>
      <c r="H8" s="5"/>
    </row>
    <row r="9" spans="2:8" ht="15" x14ac:dyDescent="0.2">
      <c r="B9" s="208" t="s">
        <v>3</v>
      </c>
      <c r="C9" s="208"/>
      <c r="D9" s="208"/>
      <c r="E9" s="7"/>
      <c r="F9" s="7"/>
      <c r="G9" s="7"/>
      <c r="H9" s="7"/>
    </row>
    <row r="10" spans="2:8" ht="15" x14ac:dyDescent="0.2">
      <c r="B10" s="208" t="s">
        <v>4</v>
      </c>
      <c r="C10" s="208"/>
      <c r="D10" s="208"/>
      <c r="E10" s="7"/>
      <c r="F10" s="7"/>
      <c r="G10" s="7"/>
      <c r="H10" s="7"/>
    </row>
    <row r="11" spans="2:8" ht="15" x14ac:dyDescent="0.2">
      <c r="B11" s="204" t="s">
        <v>5</v>
      </c>
      <c r="C11" s="204"/>
      <c r="D11" s="204"/>
      <c r="E11" s="11"/>
      <c r="F11" s="11"/>
      <c r="G11" s="11"/>
      <c r="H11" s="11"/>
    </row>
    <row r="12" spans="2:8" x14ac:dyDescent="0.2">
      <c r="B12" s="1"/>
      <c r="C12" s="215"/>
      <c r="D12" s="215"/>
    </row>
    <row r="13" spans="2:8" s="2" customFormat="1" ht="23.25" thickBot="1" x14ac:dyDescent="0.25">
      <c r="B13" s="4" t="s">
        <v>6</v>
      </c>
      <c r="C13" s="22" t="s">
        <v>7</v>
      </c>
      <c r="D13" s="4" t="s">
        <v>8</v>
      </c>
    </row>
    <row r="14" spans="2:8" s="2" customFormat="1" ht="12" thickTop="1" x14ac:dyDescent="0.2">
      <c r="B14" s="9"/>
      <c r="C14" s="16"/>
      <c r="D14" s="9"/>
    </row>
    <row r="15" spans="2:8" x14ac:dyDescent="0.2">
      <c r="B15" s="12" t="s">
        <v>9</v>
      </c>
      <c r="C15" s="216">
        <v>0.2</v>
      </c>
      <c r="D15" s="212">
        <v>6</v>
      </c>
    </row>
    <row r="16" spans="2:8" x14ac:dyDescent="0.2">
      <c r="B16" s="13" t="s">
        <v>10</v>
      </c>
      <c r="C16" s="217"/>
      <c r="D16" s="213"/>
    </row>
    <row r="17" spans="2:4" x14ac:dyDescent="0.2">
      <c r="B17" s="13" t="s">
        <v>11</v>
      </c>
      <c r="C17" s="217"/>
      <c r="D17" s="213"/>
    </row>
    <row r="18" spans="2:4" x14ac:dyDescent="0.2">
      <c r="B18" s="13" t="s">
        <v>12</v>
      </c>
      <c r="C18" s="217"/>
      <c r="D18" s="213"/>
    </row>
    <row r="19" spans="2:4" x14ac:dyDescent="0.2">
      <c r="B19" s="14" t="s">
        <v>13</v>
      </c>
      <c r="C19" s="218"/>
      <c r="D19" s="214"/>
    </row>
    <row r="21" spans="2:4" x14ac:dyDescent="0.2">
      <c r="B21" s="12" t="s">
        <v>14</v>
      </c>
      <c r="C21" s="216">
        <v>0.25</v>
      </c>
      <c r="D21" s="209">
        <v>5</v>
      </c>
    </row>
    <row r="22" spans="2:4" x14ac:dyDescent="0.2">
      <c r="B22" s="13" t="s">
        <v>15</v>
      </c>
      <c r="C22" s="217"/>
      <c r="D22" s="210"/>
    </row>
    <row r="23" spans="2:4" x14ac:dyDescent="0.2">
      <c r="B23" s="13" t="s">
        <v>16</v>
      </c>
      <c r="C23" s="217"/>
      <c r="D23" s="210"/>
    </row>
    <row r="24" spans="2:4" x14ac:dyDescent="0.2">
      <c r="B24" s="14" t="s">
        <v>17</v>
      </c>
      <c r="C24" s="218"/>
      <c r="D24" s="211"/>
    </row>
    <row r="26" spans="2:4" x14ac:dyDescent="0.2">
      <c r="B26" s="12" t="s">
        <v>18</v>
      </c>
      <c r="C26" s="216">
        <v>0.33</v>
      </c>
      <c r="D26" s="212">
        <v>4</v>
      </c>
    </row>
    <row r="27" spans="2:4" x14ac:dyDescent="0.2">
      <c r="B27" s="13" t="s">
        <v>19</v>
      </c>
      <c r="C27" s="217"/>
      <c r="D27" s="213"/>
    </row>
    <row r="28" spans="2:4" x14ac:dyDescent="0.2">
      <c r="B28" s="14" t="s">
        <v>20</v>
      </c>
      <c r="C28" s="218"/>
      <c r="D28" s="214"/>
    </row>
    <row r="30" spans="2:4" x14ac:dyDescent="0.2">
      <c r="B30" s="12" t="s">
        <v>21</v>
      </c>
      <c r="C30" s="216">
        <v>0.5</v>
      </c>
      <c r="D30" s="212">
        <v>3</v>
      </c>
    </row>
    <row r="31" spans="2:4" x14ac:dyDescent="0.2">
      <c r="B31" s="14" t="s">
        <v>22</v>
      </c>
      <c r="C31" s="218"/>
      <c r="D31" s="214"/>
    </row>
    <row r="33" spans="1:6" ht="18" x14ac:dyDescent="0.25">
      <c r="B33" s="15" t="s">
        <v>23</v>
      </c>
      <c r="C33" s="20">
        <v>0.33</v>
      </c>
      <c r="D33" s="21">
        <v>4</v>
      </c>
    </row>
    <row r="37" spans="1:6" x14ac:dyDescent="0.2">
      <c r="A37" s="3"/>
      <c r="B37" s="3"/>
      <c r="C37" s="19"/>
      <c r="D37" s="108"/>
      <c r="E37" s="3"/>
      <c r="F37" s="3"/>
    </row>
  </sheetData>
  <mergeCells count="15">
    <mergeCell ref="D21:D24"/>
    <mergeCell ref="D15:D19"/>
    <mergeCell ref="C12:D12"/>
    <mergeCell ref="D26:D28"/>
    <mergeCell ref="D30:D31"/>
    <mergeCell ref="C15:C19"/>
    <mergeCell ref="C21:C24"/>
    <mergeCell ref="C26:C28"/>
    <mergeCell ref="C30:C31"/>
    <mergeCell ref="B11:D11"/>
    <mergeCell ref="B5:D5"/>
    <mergeCell ref="B6:D6"/>
    <mergeCell ref="B7:D7"/>
    <mergeCell ref="B9:D9"/>
    <mergeCell ref="B10:D10"/>
  </mergeCells>
  <phoneticPr fontId="0" type="noConversion"/>
  <pageMargins left="0.75" right="0.75" top="1" bottom="1" header="0.59055118110236227" footer="0"/>
  <pageSetup paperSize="9" orientation="portrait" horizontalDpi="120" verticalDpi="144" r:id="rId1"/>
  <headerFooter alignWithMargins="0">
    <oddHeader>&amp;L&amp;F&amp;C&amp;A</oddHeader>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AK37"/>
  <sheetViews>
    <sheetView tabSelected="1" zoomScale="145" zoomScaleNormal="145" workbookViewId="0">
      <selection activeCell="AC40" sqref="AC40"/>
    </sheetView>
  </sheetViews>
  <sheetFormatPr baseColWidth="10" defaultColWidth="3.7109375" defaultRowHeight="14.1" customHeight="1" x14ac:dyDescent="0.2"/>
  <cols>
    <col min="1" max="1" width="4.5703125" customWidth="1"/>
    <col min="2" max="26" width="3.7109375" customWidth="1"/>
    <col min="27" max="27" width="3.28515625" customWidth="1"/>
  </cols>
  <sheetData>
    <row r="2" spans="1:37" ht="15" customHeight="1" x14ac:dyDescent="0.2">
      <c r="B2" s="205" t="s">
        <v>0</v>
      </c>
      <c r="C2" s="205"/>
      <c r="D2" s="205"/>
      <c r="E2" s="205"/>
      <c r="F2" s="205"/>
      <c r="G2" s="205"/>
      <c r="H2" s="205"/>
      <c r="I2" s="205"/>
      <c r="J2" s="205"/>
      <c r="K2" s="205"/>
      <c r="L2" s="205"/>
      <c r="M2" s="205"/>
      <c r="N2" s="205"/>
      <c r="O2" s="205"/>
      <c r="P2" s="205"/>
      <c r="Q2" s="205"/>
      <c r="R2" s="205"/>
      <c r="S2" s="205"/>
      <c r="T2" s="205"/>
      <c r="U2" s="205"/>
      <c r="V2" s="205"/>
      <c r="W2" s="205"/>
      <c r="X2" s="205"/>
      <c r="Y2" s="205"/>
      <c r="Z2" s="205"/>
      <c r="AA2" s="205"/>
      <c r="AB2" s="205"/>
      <c r="AC2" s="205"/>
      <c r="AD2" s="205"/>
    </row>
    <row r="3" spans="1:37" ht="15" customHeight="1" x14ac:dyDescent="0.2">
      <c r="B3" s="224" t="s">
        <v>88</v>
      </c>
      <c r="C3" s="224"/>
      <c r="D3" s="224"/>
      <c r="E3" s="224"/>
      <c r="F3" s="224"/>
      <c r="G3" s="224"/>
      <c r="H3" s="224"/>
      <c r="I3" s="224"/>
      <c r="J3" s="224"/>
      <c r="K3" s="224"/>
      <c r="L3" s="224"/>
      <c r="M3" s="224"/>
      <c r="N3" s="224"/>
      <c r="O3" s="224"/>
      <c r="P3" s="224"/>
      <c r="Q3" s="224"/>
      <c r="R3" s="224"/>
      <c r="S3" s="224"/>
      <c r="T3" s="224"/>
      <c r="U3" s="224"/>
      <c r="V3" s="224"/>
      <c r="W3" s="224"/>
      <c r="X3" s="224"/>
      <c r="Y3" s="224"/>
      <c r="Z3" s="224"/>
      <c r="AA3" s="224"/>
      <c r="AB3" s="224"/>
      <c r="AC3" s="224"/>
      <c r="AD3" s="224"/>
    </row>
    <row r="4" spans="1:37" ht="14.1" customHeight="1" x14ac:dyDescent="0.2">
      <c r="B4" s="109"/>
      <c r="C4" s="109"/>
      <c r="D4" s="109"/>
      <c r="E4" s="109"/>
      <c r="F4" s="109"/>
      <c r="G4" s="109"/>
      <c r="H4" s="109"/>
      <c r="I4" s="109"/>
      <c r="J4" s="109"/>
      <c r="K4" s="109"/>
      <c r="L4" s="109"/>
      <c r="M4" s="109"/>
      <c r="N4" s="109"/>
      <c r="O4" s="109"/>
      <c r="P4" s="109"/>
      <c r="Q4" s="109"/>
      <c r="R4" s="109"/>
      <c r="S4" s="109"/>
      <c r="T4" s="109"/>
      <c r="U4" s="109"/>
      <c r="V4" s="109"/>
      <c r="W4" s="109"/>
      <c r="X4" s="109"/>
      <c r="Y4" s="109"/>
      <c r="Z4" s="109"/>
      <c r="AA4" s="109"/>
      <c r="AB4" s="109"/>
      <c r="AC4" s="109"/>
      <c r="AD4" s="109"/>
    </row>
    <row r="5" spans="1:37" ht="20.100000000000001" customHeight="1" x14ac:dyDescent="0.2">
      <c r="B5" s="239" t="s">
        <v>247</v>
      </c>
      <c r="C5" s="239"/>
      <c r="D5" s="239"/>
      <c r="E5" s="239"/>
      <c r="F5" s="239"/>
      <c r="G5" s="239"/>
      <c r="H5" s="239"/>
      <c r="I5" s="239"/>
      <c r="J5" s="239"/>
      <c r="K5" s="239"/>
      <c r="L5" s="239"/>
      <c r="M5" s="239"/>
      <c r="N5" s="239"/>
      <c r="O5" s="239"/>
      <c r="P5" s="239"/>
      <c r="Q5" s="239"/>
      <c r="R5" s="239"/>
      <c r="S5" s="239"/>
      <c r="T5" s="239"/>
      <c r="U5" s="239"/>
      <c r="V5" s="239"/>
      <c r="W5" s="239"/>
      <c r="X5" s="239"/>
      <c r="Y5" s="239"/>
      <c r="Z5" s="239"/>
      <c r="AA5" s="239"/>
      <c r="AB5" s="239"/>
      <c r="AC5" s="239"/>
      <c r="AD5" s="239"/>
      <c r="AK5" s="84" t="s">
        <v>24</v>
      </c>
    </row>
    <row r="6" spans="1:37" ht="9.9499999999999993" customHeight="1" x14ac:dyDescent="0.2"/>
    <row r="7" spans="1:37" ht="14.1" customHeight="1" thickBot="1" x14ac:dyDescent="0.25">
      <c r="B7" s="224" t="s">
        <v>25</v>
      </c>
      <c r="C7" s="224"/>
      <c r="D7" s="224"/>
      <c r="E7" s="224"/>
      <c r="F7" s="224"/>
      <c r="G7" s="224"/>
      <c r="H7" s="224"/>
      <c r="I7" s="224"/>
      <c r="J7" s="224"/>
      <c r="K7" s="224"/>
      <c r="L7" s="224"/>
      <c r="M7" s="224"/>
      <c r="N7" s="224"/>
      <c r="O7" s="224"/>
      <c r="P7" s="224"/>
      <c r="Q7" s="224"/>
      <c r="R7" s="224"/>
      <c r="S7" s="224"/>
      <c r="T7" s="224"/>
      <c r="U7" s="224"/>
      <c r="V7" s="224"/>
      <c r="W7" s="224"/>
      <c r="X7" s="224"/>
      <c r="Y7" s="224"/>
      <c r="Z7" s="224"/>
      <c r="AA7" s="224"/>
      <c r="AB7" s="224"/>
      <c r="AC7" s="224"/>
      <c r="AD7" s="224"/>
    </row>
    <row r="8" spans="1:37" ht="20.100000000000001" customHeight="1" x14ac:dyDescent="0.35">
      <c r="A8" s="53"/>
      <c r="B8" s="54" t="s">
        <v>26</v>
      </c>
      <c r="C8" s="55"/>
      <c r="D8" s="55"/>
      <c r="E8" s="55"/>
      <c r="F8" s="55"/>
      <c r="G8" s="55"/>
      <c r="H8" s="251"/>
      <c r="I8" s="251"/>
      <c r="J8" s="251"/>
      <c r="K8" s="251"/>
      <c r="L8" s="251"/>
      <c r="M8" s="251"/>
      <c r="N8" s="251"/>
      <c r="O8" s="251"/>
      <c r="P8" s="251"/>
      <c r="Q8" s="251"/>
      <c r="R8" s="251"/>
      <c r="S8" s="251"/>
      <c r="T8" s="251"/>
      <c r="U8" s="252" t="s">
        <v>238</v>
      </c>
      <c r="V8" s="252"/>
      <c r="W8" s="252"/>
      <c r="X8" s="236"/>
      <c r="Y8" s="236"/>
      <c r="Z8" s="236"/>
      <c r="AA8" s="236"/>
      <c r="AB8" s="236"/>
      <c r="AC8" s="236"/>
      <c r="AD8" s="237"/>
    </row>
    <row r="9" spans="1:37" ht="20.100000000000001" customHeight="1" x14ac:dyDescent="0.35">
      <c r="A9" s="53"/>
      <c r="B9" s="56" t="s">
        <v>223</v>
      </c>
      <c r="C9" s="173"/>
      <c r="D9" s="173"/>
      <c r="E9" s="249"/>
      <c r="F9" s="249"/>
      <c r="G9" s="249"/>
      <c r="H9" s="249"/>
      <c r="I9" s="249"/>
      <c r="J9" s="249"/>
      <c r="K9" s="249"/>
      <c r="L9" s="249"/>
      <c r="M9" s="249"/>
      <c r="N9" s="249"/>
      <c r="O9" s="249"/>
      <c r="P9" s="249"/>
      <c r="Q9" s="249"/>
      <c r="R9" s="249"/>
      <c r="S9" s="249"/>
      <c r="T9" s="249"/>
      <c r="U9" s="249"/>
      <c r="V9" s="249"/>
      <c r="W9" s="249"/>
      <c r="X9" s="249"/>
      <c r="Y9" s="249"/>
      <c r="Z9" s="249"/>
      <c r="AA9" s="249"/>
      <c r="AB9" s="249"/>
      <c r="AC9" s="249"/>
      <c r="AD9" s="250"/>
    </row>
    <row r="10" spans="1:37" ht="20.100000000000001" customHeight="1" x14ac:dyDescent="0.35">
      <c r="A10" s="53"/>
      <c r="B10" s="56" t="s">
        <v>28</v>
      </c>
      <c r="C10" s="173"/>
      <c r="D10" s="173"/>
      <c r="E10" s="243"/>
      <c r="F10" s="243"/>
      <c r="G10" s="243"/>
      <c r="H10" s="243"/>
      <c r="I10" s="243"/>
      <c r="J10" s="243"/>
      <c r="K10" s="243"/>
      <c r="L10" s="243"/>
      <c r="M10" s="244" t="s">
        <v>230</v>
      </c>
      <c r="N10" s="244"/>
      <c r="O10" s="243"/>
      <c r="P10" s="243"/>
      <c r="Q10" s="243"/>
      <c r="R10" s="243"/>
      <c r="S10" s="243"/>
      <c r="T10" s="245"/>
      <c r="U10" s="246" t="s">
        <v>222</v>
      </c>
      <c r="V10" s="247"/>
      <c r="W10" s="247"/>
      <c r="X10" s="248"/>
      <c r="Y10" s="232"/>
      <c r="Z10" s="232"/>
      <c r="AA10" s="232"/>
      <c r="AB10" s="232"/>
      <c r="AC10" s="232"/>
      <c r="AD10" s="238"/>
    </row>
    <row r="11" spans="1:37" ht="32.25" customHeight="1" thickBot="1" x14ac:dyDescent="0.25">
      <c r="B11" s="222" t="s">
        <v>27</v>
      </c>
      <c r="C11" s="223"/>
      <c r="D11" s="223"/>
      <c r="E11" s="223"/>
      <c r="F11" s="223"/>
      <c r="G11" s="223"/>
      <c r="H11" s="227"/>
      <c r="I11" s="227"/>
      <c r="J11" s="227"/>
      <c r="K11" s="227"/>
      <c r="L11" s="227"/>
      <c r="M11" s="227"/>
      <c r="N11" s="227"/>
      <c r="O11" s="227"/>
      <c r="P11" s="227"/>
      <c r="Q11" s="227"/>
      <c r="R11" s="240" t="s">
        <v>29</v>
      </c>
      <c r="S11" s="241"/>
      <c r="T11" s="242"/>
      <c r="U11" s="228"/>
      <c r="V11" s="229"/>
      <c r="W11" s="229"/>
      <c r="X11" s="229"/>
      <c r="Y11" s="229"/>
      <c r="Z11" s="229"/>
      <c r="AA11" s="229"/>
      <c r="AB11" s="229"/>
      <c r="AC11" s="229"/>
      <c r="AD11" s="230"/>
    </row>
    <row r="12" spans="1:37" ht="9.9499999999999993" customHeight="1" x14ac:dyDescent="0.2">
      <c r="B12" s="57"/>
      <c r="C12" s="109"/>
      <c r="D12" s="109"/>
      <c r="E12" s="109"/>
      <c r="F12" s="109"/>
      <c r="G12" s="109"/>
      <c r="H12" s="109"/>
      <c r="I12" s="109"/>
      <c r="J12" s="109"/>
      <c r="K12" s="109"/>
      <c r="L12" s="109"/>
      <c r="M12" s="109"/>
      <c r="N12" s="109"/>
      <c r="O12" s="109"/>
      <c r="P12" s="109"/>
      <c r="Q12" s="109"/>
      <c r="R12" s="109"/>
      <c r="S12" s="109"/>
      <c r="T12" s="109"/>
      <c r="U12" s="109"/>
      <c r="V12" s="109"/>
      <c r="W12" s="109"/>
      <c r="X12" s="109"/>
      <c r="Y12" s="109"/>
      <c r="Z12" s="109"/>
      <c r="AA12" s="109"/>
      <c r="AB12" s="109"/>
      <c r="AC12" s="109"/>
      <c r="AD12" s="109"/>
    </row>
    <row r="13" spans="1:37" ht="14.1" customHeight="1" thickBot="1" x14ac:dyDescent="0.25">
      <c r="B13" s="225" t="s">
        <v>30</v>
      </c>
      <c r="C13" s="225"/>
      <c r="D13" s="225"/>
      <c r="E13" s="225"/>
      <c r="F13" s="225"/>
      <c r="G13" s="225"/>
      <c r="H13" s="225"/>
      <c r="I13" s="225"/>
      <c r="J13" s="225"/>
      <c r="K13" s="225"/>
      <c r="L13" s="225"/>
      <c r="M13" s="225"/>
      <c r="N13" s="225"/>
      <c r="O13" s="225"/>
      <c r="P13" s="225"/>
      <c r="Q13" s="225"/>
      <c r="R13" s="225"/>
      <c r="S13" s="225"/>
      <c r="T13" s="225"/>
      <c r="U13" s="225"/>
      <c r="V13" s="225"/>
      <c r="W13" s="225"/>
      <c r="X13" s="225"/>
      <c r="Y13" s="225"/>
      <c r="Z13" s="225"/>
      <c r="AA13" s="225"/>
      <c r="AB13" s="225"/>
      <c r="AC13" s="225"/>
      <c r="AD13" s="225"/>
    </row>
    <row r="14" spans="1:37" ht="14.1" customHeight="1" thickBot="1" x14ac:dyDescent="0.25">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row>
    <row r="15" spans="1:37" ht="14.1" customHeight="1" x14ac:dyDescent="0.2">
      <c r="B15" s="188" t="s">
        <v>248</v>
      </c>
      <c r="C15" s="78"/>
      <c r="D15" s="78"/>
      <c r="E15" s="78"/>
      <c r="F15" s="78"/>
      <c r="G15" s="235"/>
      <c r="H15" s="235"/>
      <c r="I15" s="235"/>
      <c r="J15" s="235"/>
      <c r="K15" s="235"/>
      <c r="L15" s="235"/>
      <c r="M15" s="235"/>
      <c r="N15" s="235"/>
      <c r="O15" s="235"/>
      <c r="P15" s="174" t="s">
        <v>31</v>
      </c>
      <c r="Q15" s="78"/>
      <c r="R15" s="78"/>
      <c r="S15" s="78"/>
      <c r="T15" s="78"/>
      <c r="U15" s="78"/>
      <c r="V15" s="236"/>
      <c r="W15" s="236"/>
      <c r="X15" s="236"/>
      <c r="Y15" s="236"/>
      <c r="Z15" s="236"/>
      <c r="AA15" s="236"/>
      <c r="AB15" s="236"/>
      <c r="AC15" s="236"/>
      <c r="AD15" s="237"/>
    </row>
    <row r="16" spans="1:37" ht="20.100000000000001" customHeight="1" x14ac:dyDescent="0.2">
      <c r="B16" s="197" t="s">
        <v>101</v>
      </c>
      <c r="G16" s="232"/>
      <c r="H16" s="232"/>
      <c r="I16" s="232"/>
      <c r="J16" s="232"/>
      <c r="K16" s="232"/>
      <c r="L16" s="232"/>
      <c r="M16" s="232"/>
      <c r="N16" s="57" t="s">
        <v>249</v>
      </c>
      <c r="O16" s="198"/>
      <c r="P16" s="198"/>
      <c r="Q16" s="198"/>
      <c r="S16" s="109"/>
      <c r="T16" s="109"/>
      <c r="U16" s="109"/>
      <c r="V16" s="232"/>
      <c r="W16" s="232"/>
      <c r="X16" s="232"/>
      <c r="Y16" s="232"/>
      <c r="Z16" s="232"/>
      <c r="AA16" s="232"/>
      <c r="AB16" s="232"/>
      <c r="AC16" s="232"/>
      <c r="AD16" s="238"/>
    </row>
    <row r="17" spans="2:31" ht="20.100000000000001" customHeight="1" thickBot="1" x14ac:dyDescent="0.25">
      <c r="B17" s="189" t="s">
        <v>227</v>
      </c>
      <c r="C17" s="176"/>
      <c r="D17" s="60"/>
      <c r="E17" s="60"/>
      <c r="F17" s="60"/>
      <c r="G17" s="60"/>
      <c r="H17" s="177"/>
      <c r="I17" s="231"/>
      <c r="J17" s="231"/>
      <c r="K17" s="231"/>
      <c r="L17" s="231"/>
      <c r="M17" s="225" t="s">
        <v>229</v>
      </c>
      <c r="N17" s="225"/>
      <c r="O17" s="225"/>
      <c r="P17" s="225"/>
      <c r="Q17" s="225"/>
      <c r="R17" s="225"/>
      <c r="S17" s="225"/>
      <c r="T17" s="225"/>
      <c r="U17" s="225"/>
      <c r="V17" s="225"/>
      <c r="W17" s="233"/>
      <c r="X17" s="233"/>
      <c r="Y17" s="233"/>
      <c r="Z17" s="233"/>
      <c r="AA17" s="233"/>
      <c r="AB17" s="233"/>
      <c r="AC17" s="233"/>
      <c r="AD17" s="234"/>
    </row>
    <row r="18" spans="2:31" ht="14.1" customHeight="1" x14ac:dyDescent="0.2">
      <c r="B18" s="109"/>
      <c r="C18" s="109"/>
      <c r="D18" s="109"/>
      <c r="E18" s="109"/>
      <c r="F18" s="109"/>
      <c r="G18" s="109"/>
      <c r="H18" s="109"/>
      <c r="I18" s="109"/>
      <c r="J18" s="109"/>
      <c r="K18" s="109"/>
      <c r="L18" s="109"/>
      <c r="M18" s="109"/>
      <c r="N18" s="109"/>
      <c r="O18" s="109"/>
      <c r="P18" s="109"/>
      <c r="Q18" s="109"/>
      <c r="R18" s="109"/>
      <c r="S18" s="109"/>
      <c r="T18" s="109"/>
      <c r="U18" s="109"/>
      <c r="V18" s="109"/>
      <c r="W18" s="109"/>
      <c r="X18" s="109"/>
      <c r="Y18" s="109"/>
      <c r="Z18" s="109"/>
      <c r="AA18" s="109"/>
      <c r="AB18" s="109"/>
      <c r="AC18" s="109"/>
      <c r="AD18" s="109"/>
    </row>
    <row r="19" spans="2:31" ht="14.1" customHeight="1" x14ac:dyDescent="0.2">
      <c r="B19" s="224" t="s">
        <v>35</v>
      </c>
      <c r="C19" s="224"/>
      <c r="D19" s="224"/>
      <c r="E19" s="224"/>
      <c r="F19" s="224"/>
      <c r="G19" s="224"/>
      <c r="H19" s="224"/>
      <c r="I19" s="224"/>
      <c r="J19" s="224"/>
      <c r="K19" s="224"/>
      <c r="L19" s="224"/>
      <c r="M19" s="224"/>
      <c r="N19" s="224"/>
      <c r="O19" s="224"/>
      <c r="P19" s="224"/>
      <c r="Q19" s="224"/>
      <c r="R19" s="224"/>
      <c r="S19" s="224"/>
      <c r="T19" s="224"/>
      <c r="U19" s="224"/>
      <c r="V19" s="224"/>
      <c r="W19" s="224"/>
      <c r="X19" s="224"/>
      <c r="Y19" s="224"/>
      <c r="Z19" s="224"/>
      <c r="AA19" s="224"/>
      <c r="AB19" s="224"/>
      <c r="AC19" s="224"/>
      <c r="AD19" s="224"/>
    </row>
    <row r="20" spans="2:31" ht="14.1" customHeight="1" x14ac:dyDescent="0.2">
      <c r="B20" s="109"/>
      <c r="C20" s="109"/>
      <c r="D20" s="109"/>
      <c r="E20" s="109"/>
      <c r="F20" s="109"/>
      <c r="G20" s="109"/>
      <c r="H20" s="109"/>
      <c r="I20" s="109"/>
      <c r="J20" s="109"/>
      <c r="K20" s="109"/>
      <c r="L20" s="109"/>
      <c r="M20" s="109"/>
      <c r="N20" s="109"/>
      <c r="O20" s="109"/>
      <c r="P20" s="109"/>
      <c r="Q20" s="109"/>
      <c r="R20" s="109"/>
      <c r="S20" s="109"/>
      <c r="T20" s="109"/>
      <c r="U20" s="109"/>
      <c r="V20" s="109"/>
      <c r="W20" s="109"/>
      <c r="X20" s="109"/>
      <c r="Y20" s="109"/>
      <c r="Z20" s="109"/>
      <c r="AA20" s="109"/>
      <c r="AB20" s="109"/>
      <c r="AC20" s="109"/>
      <c r="AD20" s="109"/>
    </row>
    <row r="21" spans="2:31" ht="20.100000000000001" customHeight="1" x14ac:dyDescent="0.2">
      <c r="B21" s="200" t="s">
        <v>36</v>
      </c>
      <c r="C21" s="10"/>
      <c r="D21" s="63" t="s">
        <v>37</v>
      </c>
      <c r="E21" s="64"/>
      <c r="F21" s="65"/>
      <c r="G21" s="65"/>
      <c r="H21" s="65"/>
      <c r="I21" s="65"/>
      <c r="J21" s="65"/>
      <c r="K21" s="65"/>
      <c r="L21" s="65"/>
      <c r="M21" s="65"/>
      <c r="N21" s="65"/>
      <c r="O21" s="65"/>
      <c r="P21" s="65"/>
      <c r="Q21" s="65"/>
      <c r="R21" s="65"/>
      <c r="S21" s="65"/>
      <c r="T21" s="65"/>
      <c r="U21" s="66"/>
      <c r="V21" s="65"/>
      <c r="W21" s="65"/>
      <c r="X21" s="65"/>
      <c r="Y21" s="65"/>
      <c r="Z21" s="65"/>
      <c r="AA21" s="65"/>
      <c r="AB21" s="65"/>
      <c r="AC21" s="65"/>
      <c r="AD21" s="65"/>
    </row>
    <row r="22" spans="2:31" ht="20.100000000000001" customHeight="1" x14ac:dyDescent="0.2">
      <c r="B22" s="200" t="s">
        <v>36</v>
      </c>
      <c r="C22" s="10"/>
      <c r="D22" s="67" t="s">
        <v>38</v>
      </c>
      <c r="E22" s="67"/>
      <c r="F22" s="67"/>
      <c r="G22" s="67"/>
      <c r="H22" s="67"/>
      <c r="I22" s="67"/>
      <c r="J22" s="67"/>
      <c r="K22" s="67"/>
      <c r="L22" s="67"/>
      <c r="M22" s="67"/>
      <c r="N22" s="67"/>
      <c r="O22" s="67"/>
      <c r="P22" s="67"/>
      <c r="Q22" s="67"/>
      <c r="R22" s="67"/>
      <c r="S22" s="67"/>
      <c r="T22" s="67"/>
      <c r="U22" s="67"/>
      <c r="V22" s="67"/>
      <c r="W22" s="67"/>
      <c r="X22" s="67"/>
      <c r="Y22" s="67"/>
      <c r="Z22" s="67"/>
      <c r="AA22" s="67"/>
      <c r="AB22" s="67"/>
      <c r="AC22" s="67"/>
      <c r="AD22" s="67"/>
    </row>
    <row r="23" spans="2:31" ht="20.100000000000001" customHeight="1" x14ac:dyDescent="0.2">
      <c r="B23" s="201"/>
      <c r="C23" s="10"/>
      <c r="D23" s="67" t="s">
        <v>39</v>
      </c>
      <c r="E23" s="67"/>
      <c r="F23" s="67"/>
      <c r="G23" s="67"/>
      <c r="H23" s="67"/>
      <c r="I23" s="67"/>
      <c r="J23" s="67"/>
      <c r="K23" s="67"/>
      <c r="L23" s="67"/>
      <c r="M23" s="67"/>
      <c r="N23" s="67"/>
      <c r="O23" s="67"/>
      <c r="P23" s="67"/>
      <c r="Q23" s="67"/>
      <c r="R23" s="67"/>
      <c r="S23" s="67"/>
      <c r="T23" s="67"/>
      <c r="U23" s="67"/>
      <c r="V23" s="67"/>
      <c r="W23" s="67"/>
      <c r="X23" s="67"/>
      <c r="Y23" s="67"/>
      <c r="Z23" s="67"/>
      <c r="AA23" s="67"/>
      <c r="AB23" s="67"/>
      <c r="AC23" s="67"/>
      <c r="AD23" s="67"/>
    </row>
    <row r="24" spans="2:31" ht="20.100000000000001" customHeight="1" x14ac:dyDescent="0.2">
      <c r="B24" s="200" t="s">
        <v>36</v>
      </c>
      <c r="C24" s="10"/>
      <c r="D24" s="67" t="s">
        <v>40</v>
      </c>
      <c r="E24" s="67"/>
      <c r="F24" s="67"/>
      <c r="G24" s="67"/>
      <c r="H24" s="67"/>
      <c r="I24" s="67"/>
      <c r="J24" s="67"/>
      <c r="K24" s="67"/>
      <c r="L24" s="67"/>
      <c r="M24" s="67"/>
      <c r="N24" s="67"/>
      <c r="O24" s="67"/>
      <c r="P24" s="67"/>
      <c r="Q24" s="67"/>
      <c r="R24" s="67"/>
      <c r="S24" s="67"/>
      <c r="T24" s="67"/>
      <c r="U24" s="67"/>
      <c r="V24" s="67"/>
      <c r="W24" s="67"/>
      <c r="X24" s="67"/>
      <c r="Y24" s="67"/>
      <c r="Z24" s="67"/>
      <c r="AA24" s="67"/>
      <c r="AB24" s="67"/>
      <c r="AC24" s="67"/>
      <c r="AD24" s="67"/>
    </row>
    <row r="25" spans="2:31" ht="20.100000000000001" customHeight="1" x14ac:dyDescent="0.2">
      <c r="B25" s="200" t="s">
        <v>36</v>
      </c>
      <c r="C25" s="10"/>
      <c r="D25" s="67" t="s">
        <v>41</v>
      </c>
      <c r="E25" s="67"/>
      <c r="F25" s="67"/>
      <c r="G25" s="67"/>
      <c r="H25" s="67"/>
      <c r="I25" s="67"/>
      <c r="J25" s="67"/>
      <c r="K25" s="67"/>
      <c r="L25" s="67"/>
      <c r="M25" s="67"/>
      <c r="N25" s="67"/>
      <c r="O25" s="67"/>
      <c r="P25" s="67"/>
      <c r="Q25" s="67"/>
      <c r="R25" s="67"/>
      <c r="S25" s="67"/>
      <c r="T25" s="67"/>
      <c r="U25" s="67"/>
      <c r="V25" s="67"/>
      <c r="W25" s="67"/>
      <c r="X25" s="67"/>
      <c r="Y25" s="67"/>
      <c r="Z25" s="67"/>
      <c r="AA25" s="67"/>
      <c r="AB25" s="67"/>
      <c r="AC25" s="67"/>
      <c r="AD25" s="67"/>
    </row>
    <row r="26" spans="2:31" ht="20.100000000000001" customHeight="1" x14ac:dyDescent="0.2">
      <c r="B26" s="200" t="s">
        <v>36</v>
      </c>
      <c r="D26" s="67" t="s">
        <v>42</v>
      </c>
      <c r="E26" s="67"/>
      <c r="F26" s="67"/>
      <c r="G26" s="67"/>
      <c r="H26" s="67"/>
      <c r="I26" s="67"/>
      <c r="J26" s="67"/>
      <c r="K26" s="67"/>
      <c r="L26" s="67"/>
      <c r="M26" s="67"/>
      <c r="N26" s="67"/>
      <c r="O26" s="67"/>
      <c r="P26" s="67"/>
      <c r="Q26" s="67"/>
      <c r="R26" s="67"/>
      <c r="S26" s="67"/>
      <c r="T26" s="67"/>
      <c r="U26" s="67"/>
      <c r="V26" s="67"/>
      <c r="W26" s="67"/>
      <c r="X26" s="67"/>
      <c r="Y26" s="67"/>
      <c r="Z26" s="67"/>
      <c r="AA26" s="67"/>
      <c r="AB26" s="67"/>
      <c r="AC26" s="67"/>
      <c r="AD26" s="67"/>
    </row>
    <row r="27" spans="2:31" ht="20.100000000000001" customHeight="1" x14ac:dyDescent="0.2">
      <c r="B27" s="201"/>
      <c r="C27" s="10"/>
      <c r="D27" s="67" t="s">
        <v>43</v>
      </c>
      <c r="E27" s="67"/>
      <c r="F27" s="67"/>
      <c r="G27" s="67"/>
      <c r="H27" s="67"/>
      <c r="I27" s="67"/>
      <c r="J27" s="67"/>
      <c r="K27" s="67"/>
      <c r="L27" s="67"/>
      <c r="M27" s="67"/>
      <c r="N27" s="67"/>
      <c r="O27" s="67"/>
      <c r="P27" s="67"/>
      <c r="Q27" s="67"/>
      <c r="R27" s="67"/>
      <c r="S27" s="67"/>
      <c r="T27" s="67"/>
      <c r="U27" s="67"/>
      <c r="V27" s="67"/>
      <c r="W27" s="67"/>
      <c r="X27" s="67"/>
      <c r="Y27" s="67"/>
      <c r="Z27" s="67"/>
      <c r="AA27" s="67"/>
      <c r="AB27" s="67"/>
      <c r="AC27" s="67"/>
      <c r="AD27" s="67"/>
    </row>
    <row r="28" spans="2:31" ht="20.100000000000001" customHeight="1" x14ac:dyDescent="0.25">
      <c r="B28" s="202"/>
      <c r="C28" s="68"/>
      <c r="D28" s="67" t="s">
        <v>44</v>
      </c>
      <c r="E28" s="67"/>
      <c r="F28" s="67"/>
      <c r="G28" s="67"/>
      <c r="H28" s="67"/>
      <c r="I28" s="67"/>
      <c r="J28" s="67"/>
      <c r="K28" s="67"/>
      <c r="L28" s="67"/>
      <c r="M28" s="67"/>
      <c r="N28" s="67"/>
      <c r="O28" s="67"/>
      <c r="P28" s="67"/>
      <c r="Q28" s="67"/>
      <c r="R28" s="67"/>
      <c r="S28" s="67"/>
      <c r="T28" s="67"/>
      <c r="U28" s="67"/>
      <c r="V28" s="67"/>
      <c r="W28" s="67"/>
      <c r="X28" s="67"/>
      <c r="Y28" s="67"/>
      <c r="Z28" s="67"/>
      <c r="AA28" s="67"/>
      <c r="AB28" s="67"/>
      <c r="AC28" s="67"/>
      <c r="AD28" s="67"/>
    </row>
    <row r="29" spans="2:31" ht="20.100000000000001" customHeight="1" x14ac:dyDescent="0.2">
      <c r="B29" s="200" t="s">
        <v>36</v>
      </c>
      <c r="C29" s="68"/>
      <c r="D29" s="67" t="s">
        <v>45</v>
      </c>
      <c r="E29" s="67"/>
      <c r="F29" s="67"/>
      <c r="G29" s="67"/>
      <c r="H29" s="67"/>
      <c r="I29" s="67"/>
      <c r="J29" s="67"/>
      <c r="K29" s="67"/>
      <c r="L29" s="67"/>
      <c r="M29" s="67"/>
      <c r="N29" s="67"/>
      <c r="O29" s="67"/>
      <c r="P29" s="67"/>
      <c r="Q29" s="67"/>
      <c r="R29" s="67"/>
      <c r="S29" s="67"/>
      <c r="T29" s="67"/>
      <c r="U29" s="67"/>
      <c r="V29" s="67"/>
      <c r="W29" s="67"/>
      <c r="X29" s="67"/>
      <c r="Y29" s="67"/>
      <c r="Z29" s="67"/>
      <c r="AA29" s="67"/>
      <c r="AB29" s="67"/>
      <c r="AC29" s="67"/>
      <c r="AD29" s="67"/>
    </row>
    <row r="30" spans="2:31" ht="20.100000000000001" customHeight="1" x14ac:dyDescent="0.2">
      <c r="B30" s="200" t="s">
        <v>36</v>
      </c>
      <c r="C30" s="68"/>
      <c r="D30" s="67" t="s">
        <v>46</v>
      </c>
      <c r="E30" s="67"/>
      <c r="F30" s="67"/>
      <c r="G30" s="67"/>
      <c r="H30" s="67"/>
      <c r="I30" s="67"/>
      <c r="J30" s="67"/>
      <c r="K30" s="67"/>
      <c r="L30" s="67"/>
      <c r="M30" s="67"/>
      <c r="N30" s="67"/>
      <c r="O30" s="67"/>
      <c r="P30" s="67"/>
      <c r="Q30" s="67"/>
      <c r="R30" s="67"/>
      <c r="S30" s="67"/>
      <c r="T30" s="67"/>
      <c r="U30" s="67"/>
      <c r="V30" s="67"/>
      <c r="W30" s="67"/>
      <c r="X30" s="67"/>
      <c r="Y30" s="67"/>
      <c r="Z30" s="67"/>
      <c r="AA30" s="67"/>
      <c r="AB30" s="67"/>
      <c r="AC30" s="67"/>
      <c r="AD30" s="67"/>
    </row>
    <row r="31" spans="2:31" ht="20.100000000000001" customHeight="1" x14ac:dyDescent="0.2">
      <c r="B31" s="200" t="s">
        <v>36</v>
      </c>
      <c r="C31" s="68"/>
      <c r="D31" s="219" t="s">
        <v>47</v>
      </c>
      <c r="E31" s="219"/>
      <c r="F31" s="219"/>
      <c r="G31" s="219"/>
      <c r="H31" s="219"/>
      <c r="I31" s="219"/>
      <c r="J31" s="219"/>
      <c r="K31" s="219"/>
      <c r="L31" s="219"/>
      <c r="M31" s="219"/>
      <c r="N31" s="219"/>
      <c r="O31" s="219"/>
      <c r="P31" s="219"/>
      <c r="Q31" s="219"/>
      <c r="R31" s="219"/>
      <c r="S31" s="219"/>
      <c r="T31" s="219"/>
      <c r="U31" s="219"/>
      <c r="V31" s="219"/>
      <c r="W31" s="219"/>
      <c r="X31" s="219"/>
      <c r="Y31" s="219"/>
      <c r="Z31" s="219"/>
      <c r="AA31" s="219"/>
      <c r="AB31" s="219"/>
      <c r="AC31" s="219"/>
      <c r="AD31" s="219"/>
      <c r="AE31" s="67"/>
    </row>
    <row r="32" spans="2:31" ht="20.100000000000001" customHeight="1" x14ac:dyDescent="0.25">
      <c r="B32" s="202"/>
      <c r="C32" s="68"/>
      <c r="D32" s="219"/>
      <c r="E32" s="219"/>
      <c r="F32" s="219"/>
      <c r="G32" s="219"/>
      <c r="H32" s="219"/>
      <c r="I32" s="219"/>
      <c r="J32" s="219"/>
      <c r="K32" s="219"/>
      <c r="L32" s="219"/>
      <c r="M32" s="219"/>
      <c r="N32" s="219"/>
      <c r="O32" s="219"/>
      <c r="P32" s="219"/>
      <c r="Q32" s="219"/>
      <c r="R32" s="219"/>
      <c r="S32" s="219"/>
      <c r="T32" s="219"/>
      <c r="U32" s="219"/>
      <c r="V32" s="219"/>
      <c r="W32" s="219"/>
      <c r="X32" s="219"/>
      <c r="Y32" s="219"/>
      <c r="Z32" s="219"/>
      <c r="AA32" s="219"/>
      <c r="AB32" s="219"/>
      <c r="AC32" s="219"/>
      <c r="AD32" s="219"/>
      <c r="AE32" s="67"/>
    </row>
    <row r="33" spans="2:31" ht="20.100000000000001" customHeight="1" x14ac:dyDescent="0.2">
      <c r="B33" s="200" t="s">
        <v>144</v>
      </c>
      <c r="C33" s="68"/>
      <c r="D33" s="199" t="s">
        <v>250</v>
      </c>
      <c r="E33" s="199"/>
      <c r="F33" s="199"/>
      <c r="G33" s="199"/>
      <c r="H33" s="199"/>
      <c r="I33" s="199"/>
      <c r="J33" s="199"/>
      <c r="K33" s="199"/>
      <c r="L33" s="199"/>
      <c r="M33" s="199"/>
      <c r="N33" s="199"/>
      <c r="O33" s="199"/>
      <c r="P33" s="199"/>
      <c r="Q33" s="199"/>
      <c r="R33" s="199"/>
      <c r="S33" s="199"/>
      <c r="T33" s="199"/>
      <c r="U33" s="199"/>
      <c r="V33" s="199"/>
      <c r="W33" s="199"/>
      <c r="X33" s="199"/>
      <c r="Y33" s="199"/>
      <c r="Z33" s="199"/>
      <c r="AA33" s="199"/>
      <c r="AB33" s="199"/>
      <c r="AC33" s="199"/>
      <c r="AD33" s="199"/>
      <c r="AE33" s="67"/>
    </row>
    <row r="34" spans="2:31" ht="20.100000000000001" customHeight="1" x14ac:dyDescent="0.2">
      <c r="B34" s="24"/>
      <c r="C34" s="68"/>
      <c r="D34" s="199"/>
      <c r="E34" s="199"/>
      <c r="F34" s="199"/>
      <c r="G34" s="199"/>
      <c r="H34" s="199"/>
      <c r="I34" s="199"/>
      <c r="J34" s="199"/>
      <c r="K34" s="199"/>
      <c r="L34" s="199"/>
      <c r="M34" s="199"/>
      <c r="N34" s="199"/>
      <c r="O34" s="199"/>
      <c r="P34" s="199"/>
      <c r="Q34" s="199"/>
      <c r="R34" s="199"/>
      <c r="S34" s="199"/>
      <c r="T34" s="199"/>
      <c r="U34" s="199"/>
      <c r="V34" s="199"/>
      <c r="W34" s="199"/>
      <c r="X34" s="199"/>
      <c r="Y34" s="199"/>
      <c r="Z34" s="199"/>
      <c r="AA34" s="199"/>
      <c r="AB34" s="199"/>
      <c r="AC34" s="199"/>
      <c r="AD34" s="199"/>
      <c r="AE34" s="67"/>
    </row>
    <row r="35" spans="2:31" ht="14.1" customHeight="1" x14ac:dyDescent="0.2">
      <c r="B35" s="224" t="s">
        <v>166</v>
      </c>
      <c r="C35" s="224"/>
      <c r="D35" s="224"/>
      <c r="E35" s="224"/>
      <c r="F35" s="224"/>
      <c r="G35" s="224"/>
      <c r="H35" s="224"/>
      <c r="I35" s="224"/>
      <c r="J35" s="224"/>
      <c r="K35" s="224"/>
      <c r="L35" s="224"/>
      <c r="M35" s="224"/>
      <c r="N35" s="224"/>
      <c r="O35" s="224"/>
      <c r="P35" s="224"/>
      <c r="Q35" s="224"/>
      <c r="R35" s="224"/>
      <c r="S35" s="224"/>
      <c r="T35" s="224"/>
      <c r="U35" s="224"/>
      <c r="V35" s="224"/>
      <c r="W35" s="224"/>
      <c r="X35" s="224"/>
      <c r="Y35" s="224"/>
      <c r="Z35" s="224"/>
      <c r="AA35" s="224"/>
      <c r="AB35" s="224"/>
      <c r="AC35" s="224"/>
      <c r="AD35" s="224"/>
    </row>
    <row r="36" spans="2:31" ht="18.75" customHeight="1" x14ac:dyDescent="0.2">
      <c r="B36" s="86" t="s">
        <v>48</v>
      </c>
      <c r="M36" s="226"/>
      <c r="N36" s="226"/>
      <c r="O36" s="226"/>
      <c r="P36" s="226"/>
      <c r="Q36" s="226"/>
      <c r="R36" s="226"/>
      <c r="S36" s="226"/>
      <c r="T36" s="226"/>
      <c r="U36" s="226"/>
      <c r="V36" s="226"/>
      <c r="W36" s="226"/>
      <c r="X36" s="226"/>
    </row>
    <row r="37" spans="2:31" ht="17.25" customHeight="1" x14ac:dyDescent="0.25">
      <c r="B37" s="69" t="s">
        <v>49</v>
      </c>
      <c r="D37" s="220">
        <f ca="1">NOW()</f>
        <v>45349.498785532407</v>
      </c>
      <c r="E37" s="221"/>
      <c r="F37" s="221"/>
      <c r="G37" s="221"/>
      <c r="H37" s="221"/>
      <c r="I37" s="221"/>
      <c r="J37" s="221"/>
    </row>
  </sheetData>
  <mergeCells count="30">
    <mergeCell ref="B2:AD2"/>
    <mergeCell ref="B3:AD3"/>
    <mergeCell ref="B5:AD5"/>
    <mergeCell ref="B7:AD7"/>
    <mergeCell ref="R11:T11"/>
    <mergeCell ref="E10:L10"/>
    <mergeCell ref="M10:N10"/>
    <mergeCell ref="O10:T10"/>
    <mergeCell ref="U10:W10"/>
    <mergeCell ref="X10:AD10"/>
    <mergeCell ref="E9:AD9"/>
    <mergeCell ref="H8:T8"/>
    <mergeCell ref="U8:W8"/>
    <mergeCell ref="X8:AD8"/>
    <mergeCell ref="D31:AD32"/>
    <mergeCell ref="D37:J37"/>
    <mergeCell ref="B11:G11"/>
    <mergeCell ref="B19:AD19"/>
    <mergeCell ref="B35:AD35"/>
    <mergeCell ref="B13:AD13"/>
    <mergeCell ref="M36:X36"/>
    <mergeCell ref="H11:Q11"/>
    <mergeCell ref="U11:AD11"/>
    <mergeCell ref="I17:L17"/>
    <mergeCell ref="M17:V17"/>
    <mergeCell ref="G16:M16"/>
    <mergeCell ref="W17:AD17"/>
    <mergeCell ref="G15:O15"/>
    <mergeCell ref="V15:AD15"/>
    <mergeCell ref="V16:AD16"/>
  </mergeCells>
  <pageMargins left="0" right="0" top="0.55118110236220474" bottom="0.55118110236220474" header="0.31496062992125984" footer="0.31496062992125984"/>
  <pageSetup scale="90" orientation="portrait" r:id="rId1"/>
  <headerFooter>
    <oddHeader>&amp;L&amp;F  &amp;P</oddHeader>
  </headerFooter>
  <drawing r:id="rId2"/>
  <legacyDrawing r:id="rId3"/>
  <extLst>
    <ext xmlns:x14="http://schemas.microsoft.com/office/spreadsheetml/2009/9/main" uri="{CCE6A557-97BC-4b89-ADB6-D9C93CAAB3DF}">
      <x14:dataValidations xmlns:xm="http://schemas.microsoft.com/office/excel/2006/main" count="7">
        <x14:dataValidation type="list" allowBlank="1" showInputMessage="1" showErrorMessage="1" xr:uid="{088645D2-DC62-4D02-9CD1-04677534A8C1}">
          <x14:formula1>
            <xm:f>PARAMETROS!$C$43:$C$45</xm:f>
          </x14:formula1>
          <xm:sqref>B21:B22 B29:B31 B24:B26 B33</xm:sqref>
        </x14:dataValidation>
        <x14:dataValidation type="list" allowBlank="1" showInputMessage="1" showErrorMessage="1" xr:uid="{64EE6FFD-4EAC-4B02-8763-A73D2519AE36}">
          <x14:formula1>
            <xm:f>PARAMETROS!$B$17:$B$34</xm:f>
          </x14:formula1>
          <xm:sqref>M36:X36</xm:sqref>
        </x14:dataValidation>
        <x14:dataValidation type="list" allowBlank="1" showInputMessage="1" showErrorMessage="1" xr:uid="{5D11B200-6CBE-41BD-9F4A-15EE4802B8A1}">
          <x14:formula1>
            <xm:f>PARAMETROS!$G$5:$G$7</xm:f>
          </x14:formula1>
          <xm:sqref>W17</xm:sqref>
        </x14:dataValidation>
        <x14:dataValidation type="list" allowBlank="1" showInputMessage="1" showErrorMessage="1" xr:uid="{8FFDF170-75C7-4EEE-BF02-A7C1FAF23D62}">
          <x14:formula1>
            <xm:f>PARAMETROS!$G$9:$G$11</xm:f>
          </x14:formula1>
          <xm:sqref>G16</xm:sqref>
        </x14:dataValidation>
        <x14:dataValidation type="list" allowBlank="1" showInputMessage="1" showErrorMessage="1" xr:uid="{F7385DC9-E37F-49E0-BC06-769C228A94A4}">
          <x14:formula1>
            <xm:f>PARAMETROS!$G$14:$G$82</xm:f>
          </x14:formula1>
          <xm:sqref>I17:L17</xm:sqref>
        </x14:dataValidation>
        <x14:dataValidation type="list" allowBlank="1" showInputMessage="1" showErrorMessage="1" xr:uid="{DE830FAB-01FC-4CDD-8109-5AC787BDFA6A}">
          <x14:formula1>
            <xm:f>PARAMETROS!#REF!</xm:f>
          </x14:formula1>
          <xm:sqref>H11</xm:sqref>
        </x14:dataValidation>
        <x14:dataValidation type="list" allowBlank="1" showInputMessage="1" showErrorMessage="1" xr:uid="{3967F1E7-7BC4-49FD-8CA6-4C36148C9F65}">
          <x14:formula1>
            <xm:f>PARAMETROS!$B$47:$B$48</xm:f>
          </x14:formula1>
          <xm:sqref>G15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E1199-CD9A-4E00-983E-25D4E4EB217C}">
  <sheetPr>
    <tabColor theme="7" tint="0.59999389629810485"/>
  </sheetPr>
  <dimension ref="A1:O114"/>
  <sheetViews>
    <sheetView workbookViewId="0">
      <selection activeCell="R88" sqref="R88"/>
    </sheetView>
  </sheetViews>
  <sheetFormatPr baseColWidth="10" defaultColWidth="5.7109375" defaultRowHeight="15" x14ac:dyDescent="0.25"/>
  <cols>
    <col min="1" max="16384" width="5.7109375" style="128"/>
  </cols>
  <sheetData>
    <row r="1" spans="1:15" x14ac:dyDescent="0.25">
      <c r="A1" s="126"/>
      <c r="B1" s="127"/>
      <c r="C1" s="126"/>
      <c r="D1" s="126"/>
      <c r="E1" s="126"/>
      <c r="F1" s="126"/>
      <c r="G1" s="126"/>
      <c r="H1" s="126"/>
      <c r="I1" s="126"/>
      <c r="J1" s="126"/>
      <c r="K1" s="126"/>
      <c r="L1" s="126"/>
      <c r="M1" s="126"/>
      <c r="N1" s="126"/>
      <c r="O1" s="126"/>
    </row>
    <row r="2" spans="1:15" x14ac:dyDescent="0.25">
      <c r="A2" s="126"/>
      <c r="B2" s="127"/>
      <c r="C2" s="126"/>
      <c r="D2" s="126"/>
      <c r="E2" s="126"/>
      <c r="F2" s="126"/>
      <c r="G2" s="126" t="s">
        <v>167</v>
      </c>
      <c r="H2" s="126"/>
      <c r="I2" s="126"/>
      <c r="J2" s="126"/>
      <c r="K2" s="126"/>
      <c r="L2" s="126"/>
      <c r="M2" s="126"/>
      <c r="N2" s="126"/>
      <c r="O2" s="126"/>
    </row>
    <row r="3" spans="1:15" x14ac:dyDescent="0.25">
      <c r="A3" s="126"/>
      <c r="B3" s="127"/>
      <c r="C3" s="126"/>
      <c r="D3" s="126"/>
      <c r="E3" s="126"/>
      <c r="F3" s="126"/>
      <c r="G3" s="126" t="s">
        <v>168</v>
      </c>
      <c r="H3" s="126"/>
      <c r="I3" s="126"/>
      <c r="J3" s="126"/>
      <c r="K3" s="126"/>
      <c r="L3" s="126"/>
      <c r="M3" s="126"/>
      <c r="N3" s="126"/>
      <c r="O3" s="126"/>
    </row>
    <row r="4" spans="1:15" x14ac:dyDescent="0.25">
      <c r="A4" s="126"/>
      <c r="B4" s="127"/>
      <c r="C4" s="126"/>
      <c r="D4" s="126"/>
      <c r="E4" s="126"/>
      <c r="F4" s="126"/>
      <c r="G4" s="129" t="s">
        <v>169</v>
      </c>
      <c r="H4" s="126"/>
      <c r="I4" s="126"/>
      <c r="J4" s="126"/>
      <c r="K4" s="126"/>
      <c r="L4" s="126"/>
      <c r="M4" s="126"/>
      <c r="N4" s="126"/>
      <c r="O4" s="126"/>
    </row>
    <row r="5" spans="1:15" ht="15.75" thickBot="1" x14ac:dyDescent="0.3">
      <c r="A5" s="126"/>
      <c r="B5" s="127"/>
      <c r="C5" s="126"/>
      <c r="D5" s="126"/>
      <c r="E5" s="126"/>
      <c r="F5" s="126"/>
      <c r="G5" s="126"/>
      <c r="H5" s="126"/>
      <c r="I5" s="126"/>
      <c r="J5" s="126"/>
      <c r="K5" s="126"/>
      <c r="L5" s="126"/>
      <c r="M5" s="126"/>
      <c r="N5" s="126"/>
      <c r="O5" s="126"/>
    </row>
    <row r="6" spans="1:15" ht="14.45" customHeight="1" x14ac:dyDescent="0.25">
      <c r="A6" s="126"/>
      <c r="B6" s="271" t="s">
        <v>170</v>
      </c>
      <c r="C6" s="314" t="s">
        <v>171</v>
      </c>
      <c r="D6" s="315"/>
      <c r="E6" s="315"/>
      <c r="F6" s="315"/>
      <c r="G6" s="315"/>
      <c r="H6" s="315"/>
      <c r="I6" s="315"/>
      <c r="J6" s="315"/>
      <c r="K6" s="315"/>
      <c r="L6" s="315"/>
      <c r="M6" s="315"/>
      <c r="N6" s="315"/>
      <c r="O6" s="316"/>
    </row>
    <row r="7" spans="1:15" ht="14.45" customHeight="1" x14ac:dyDescent="0.25">
      <c r="A7" s="126"/>
      <c r="B7" s="272"/>
      <c r="C7" s="317"/>
      <c r="D7" s="318"/>
      <c r="E7" s="318"/>
      <c r="F7" s="318"/>
      <c r="G7" s="318"/>
      <c r="H7" s="318"/>
      <c r="I7" s="318"/>
      <c r="J7" s="318"/>
      <c r="K7" s="318"/>
      <c r="L7" s="318"/>
      <c r="M7" s="318"/>
      <c r="N7" s="318"/>
      <c r="O7" s="319"/>
    </row>
    <row r="8" spans="1:15" ht="14.45" customHeight="1" x14ac:dyDescent="0.25">
      <c r="A8" s="126"/>
      <c r="B8" s="272"/>
      <c r="C8" s="317"/>
      <c r="D8" s="318"/>
      <c r="E8" s="318"/>
      <c r="F8" s="318"/>
      <c r="G8" s="318"/>
      <c r="H8" s="318"/>
      <c r="I8" s="318"/>
      <c r="J8" s="318"/>
      <c r="K8" s="318"/>
      <c r="L8" s="318"/>
      <c r="M8" s="318"/>
      <c r="N8" s="318"/>
      <c r="O8" s="319"/>
    </row>
    <row r="9" spans="1:15" ht="14.45" customHeight="1" x14ac:dyDescent="0.25">
      <c r="A9" s="126"/>
      <c r="B9" s="272"/>
      <c r="C9" s="317"/>
      <c r="D9" s="318"/>
      <c r="E9" s="318"/>
      <c r="F9" s="318"/>
      <c r="G9" s="318"/>
      <c r="H9" s="318"/>
      <c r="I9" s="318"/>
      <c r="J9" s="318"/>
      <c r="K9" s="318"/>
      <c r="L9" s="318"/>
      <c r="M9" s="318"/>
      <c r="N9" s="318"/>
      <c r="O9" s="319"/>
    </row>
    <row r="10" spans="1:15" ht="14.45" customHeight="1" x14ac:dyDescent="0.25">
      <c r="A10" s="126"/>
      <c r="B10" s="272"/>
      <c r="C10" s="317"/>
      <c r="D10" s="318"/>
      <c r="E10" s="318"/>
      <c r="F10" s="318"/>
      <c r="G10" s="318"/>
      <c r="H10" s="318"/>
      <c r="I10" s="318"/>
      <c r="J10" s="318"/>
      <c r="K10" s="318"/>
      <c r="L10" s="318"/>
      <c r="M10" s="318"/>
      <c r="N10" s="318"/>
      <c r="O10" s="319"/>
    </row>
    <row r="11" spans="1:15" ht="14.45" customHeight="1" x14ac:dyDescent="0.25">
      <c r="A11" s="126"/>
      <c r="B11" s="272"/>
      <c r="C11" s="317"/>
      <c r="D11" s="318"/>
      <c r="E11" s="318"/>
      <c r="F11" s="318"/>
      <c r="G11" s="318"/>
      <c r="H11" s="318"/>
      <c r="I11" s="318"/>
      <c r="J11" s="318"/>
      <c r="K11" s="318"/>
      <c r="L11" s="318"/>
      <c r="M11" s="318"/>
      <c r="N11" s="318"/>
      <c r="O11" s="319"/>
    </row>
    <row r="12" spans="1:15" ht="14.45" customHeight="1" x14ac:dyDescent="0.25">
      <c r="A12" s="126"/>
      <c r="B12" s="272"/>
      <c r="C12" s="317"/>
      <c r="D12" s="318"/>
      <c r="E12" s="318"/>
      <c r="F12" s="318"/>
      <c r="G12" s="318"/>
      <c r="H12" s="318"/>
      <c r="I12" s="318"/>
      <c r="J12" s="318"/>
      <c r="K12" s="318"/>
      <c r="L12" s="318"/>
      <c r="M12" s="318"/>
      <c r="N12" s="318"/>
      <c r="O12" s="319"/>
    </row>
    <row r="13" spans="1:15" ht="14.45" customHeight="1" x14ac:dyDescent="0.25">
      <c r="A13" s="126"/>
      <c r="B13" s="272"/>
      <c r="C13" s="317"/>
      <c r="D13" s="318"/>
      <c r="E13" s="318"/>
      <c r="F13" s="318"/>
      <c r="G13" s="318"/>
      <c r="H13" s="318"/>
      <c r="I13" s="318"/>
      <c r="J13" s="318"/>
      <c r="K13" s="318"/>
      <c r="L13" s="318"/>
      <c r="M13" s="318"/>
      <c r="N13" s="318"/>
      <c r="O13" s="319"/>
    </row>
    <row r="14" spans="1:15" ht="14.45" customHeight="1" x14ac:dyDescent="0.25">
      <c r="A14" s="126"/>
      <c r="B14" s="272"/>
      <c r="C14" s="317"/>
      <c r="D14" s="318"/>
      <c r="E14" s="318"/>
      <c r="F14" s="318"/>
      <c r="G14" s="318"/>
      <c r="H14" s="318"/>
      <c r="I14" s="318"/>
      <c r="J14" s="318"/>
      <c r="K14" s="318"/>
      <c r="L14" s="318"/>
      <c r="M14" s="318"/>
      <c r="N14" s="318"/>
      <c r="O14" s="319"/>
    </row>
    <row r="15" spans="1:15" ht="14.45" customHeight="1" x14ac:dyDescent="0.25">
      <c r="A15" s="126"/>
      <c r="B15" s="272"/>
      <c r="C15" s="317"/>
      <c r="D15" s="318"/>
      <c r="E15" s="318"/>
      <c r="F15" s="318"/>
      <c r="G15" s="318"/>
      <c r="H15" s="318"/>
      <c r="I15" s="318"/>
      <c r="J15" s="318"/>
      <c r="K15" s="318"/>
      <c r="L15" s="318"/>
      <c r="M15" s="318"/>
      <c r="N15" s="318"/>
      <c r="O15" s="319"/>
    </row>
    <row r="16" spans="1:15" ht="14.45" customHeight="1" x14ac:dyDescent="0.25">
      <c r="A16" s="126"/>
      <c r="B16" s="272"/>
      <c r="C16" s="317"/>
      <c r="D16" s="318"/>
      <c r="E16" s="318"/>
      <c r="F16" s="318"/>
      <c r="G16" s="318"/>
      <c r="H16" s="318"/>
      <c r="I16" s="318"/>
      <c r="J16" s="318"/>
      <c r="K16" s="318"/>
      <c r="L16" s="318"/>
      <c r="M16" s="318"/>
      <c r="N16" s="318"/>
      <c r="O16" s="319"/>
    </row>
    <row r="17" spans="1:15" ht="14.45" customHeight="1" x14ac:dyDescent="0.25">
      <c r="A17" s="126"/>
      <c r="B17" s="272"/>
      <c r="C17" s="317"/>
      <c r="D17" s="318"/>
      <c r="E17" s="318"/>
      <c r="F17" s="318"/>
      <c r="G17" s="318"/>
      <c r="H17" s="318"/>
      <c r="I17" s="318"/>
      <c r="J17" s="318"/>
      <c r="K17" s="318"/>
      <c r="L17" s="318"/>
      <c r="M17" s="318"/>
      <c r="N17" s="318"/>
      <c r="O17" s="319"/>
    </row>
    <row r="18" spans="1:15" ht="14.45" customHeight="1" x14ac:dyDescent="0.25">
      <c r="A18" s="126"/>
      <c r="B18" s="272"/>
      <c r="C18" s="317"/>
      <c r="D18" s="318"/>
      <c r="E18" s="318"/>
      <c r="F18" s="318"/>
      <c r="G18" s="318"/>
      <c r="H18" s="318"/>
      <c r="I18" s="318"/>
      <c r="J18" s="318"/>
      <c r="K18" s="318"/>
      <c r="L18" s="318"/>
      <c r="M18" s="318"/>
      <c r="N18" s="318"/>
      <c r="O18" s="319"/>
    </row>
    <row r="19" spans="1:15" ht="14.45" customHeight="1" x14ac:dyDescent="0.25">
      <c r="A19" s="126"/>
      <c r="B19" s="272"/>
      <c r="C19" s="317"/>
      <c r="D19" s="318"/>
      <c r="E19" s="318"/>
      <c r="F19" s="318"/>
      <c r="G19" s="318"/>
      <c r="H19" s="318"/>
      <c r="I19" s="318"/>
      <c r="J19" s="318"/>
      <c r="K19" s="318"/>
      <c r="L19" s="318"/>
      <c r="M19" s="318"/>
      <c r="N19" s="318"/>
      <c r="O19" s="319"/>
    </row>
    <row r="20" spans="1:15" ht="14.45" customHeight="1" x14ac:dyDescent="0.25">
      <c r="A20" s="126"/>
      <c r="B20" s="272"/>
      <c r="C20" s="317"/>
      <c r="D20" s="318"/>
      <c r="E20" s="318"/>
      <c r="F20" s="318"/>
      <c r="G20" s="318"/>
      <c r="H20" s="318"/>
      <c r="I20" s="318"/>
      <c r="J20" s="318"/>
      <c r="K20" s="318"/>
      <c r="L20" s="318"/>
      <c r="M20" s="318"/>
      <c r="N20" s="318"/>
      <c r="O20" s="319"/>
    </row>
    <row r="21" spans="1:15" ht="14.45" customHeight="1" x14ac:dyDescent="0.25">
      <c r="A21" s="126"/>
      <c r="B21" s="272"/>
      <c r="C21" s="317"/>
      <c r="D21" s="318"/>
      <c r="E21" s="318"/>
      <c r="F21" s="318"/>
      <c r="G21" s="318"/>
      <c r="H21" s="318"/>
      <c r="I21" s="318"/>
      <c r="J21" s="318"/>
      <c r="K21" s="318"/>
      <c r="L21" s="318"/>
      <c r="M21" s="318"/>
      <c r="N21" s="318"/>
      <c r="O21" s="319"/>
    </row>
    <row r="22" spans="1:15" ht="14.45" customHeight="1" x14ac:dyDescent="0.25">
      <c r="A22" s="126"/>
      <c r="B22" s="272"/>
      <c r="C22" s="317"/>
      <c r="D22" s="318"/>
      <c r="E22" s="318"/>
      <c r="F22" s="318"/>
      <c r="G22" s="318"/>
      <c r="H22" s="318"/>
      <c r="I22" s="318"/>
      <c r="J22" s="318"/>
      <c r="K22" s="318"/>
      <c r="L22" s="318"/>
      <c r="M22" s="318"/>
      <c r="N22" s="318"/>
      <c r="O22" s="319"/>
    </row>
    <row r="23" spans="1:15" ht="14.45" customHeight="1" x14ac:dyDescent="0.25">
      <c r="A23" s="126"/>
      <c r="B23" s="272"/>
      <c r="C23" s="317"/>
      <c r="D23" s="318"/>
      <c r="E23" s="318"/>
      <c r="F23" s="318"/>
      <c r="G23" s="318"/>
      <c r="H23" s="318"/>
      <c r="I23" s="318"/>
      <c r="J23" s="318"/>
      <c r="K23" s="318"/>
      <c r="L23" s="318"/>
      <c r="M23" s="318"/>
      <c r="N23" s="318"/>
      <c r="O23" s="319"/>
    </row>
    <row r="24" spans="1:15" x14ac:dyDescent="0.25">
      <c r="A24" s="126"/>
      <c r="B24" s="272"/>
      <c r="C24" s="317"/>
      <c r="D24" s="318"/>
      <c r="E24" s="318"/>
      <c r="F24" s="318"/>
      <c r="G24" s="318"/>
      <c r="H24" s="318"/>
      <c r="I24" s="318"/>
      <c r="J24" s="318"/>
      <c r="K24" s="318"/>
      <c r="L24" s="318"/>
      <c r="M24" s="318"/>
      <c r="N24" s="318"/>
      <c r="O24" s="319"/>
    </row>
    <row r="25" spans="1:15" ht="15" customHeight="1" thickBot="1" x14ac:dyDescent="0.3">
      <c r="A25" s="126"/>
      <c r="B25" s="273"/>
      <c r="C25" s="320"/>
      <c r="D25" s="321"/>
      <c r="E25" s="321"/>
      <c r="F25" s="321"/>
      <c r="G25" s="321"/>
      <c r="H25" s="321"/>
      <c r="I25" s="321"/>
      <c r="J25" s="321"/>
      <c r="K25" s="321"/>
      <c r="L25" s="321"/>
      <c r="M25" s="321"/>
      <c r="N25" s="321"/>
      <c r="O25" s="322"/>
    </row>
    <row r="26" spans="1:15" ht="15.75" thickBot="1" x14ac:dyDescent="0.3">
      <c r="A26" s="126"/>
      <c r="B26" s="130"/>
      <c r="C26" s="131"/>
      <c r="D26" s="132"/>
      <c r="E26" s="132"/>
      <c r="F26" s="132"/>
      <c r="G26" s="132"/>
      <c r="H26" s="132"/>
      <c r="I26" s="132"/>
      <c r="J26" s="132"/>
      <c r="K26" s="132"/>
      <c r="L26" s="126"/>
      <c r="M26" s="126"/>
      <c r="N26" s="126"/>
      <c r="O26" s="126"/>
    </row>
    <row r="27" spans="1:15" x14ac:dyDescent="0.25">
      <c r="A27" s="126"/>
      <c r="B27" s="271" t="s">
        <v>172</v>
      </c>
      <c r="C27" s="133" t="s">
        <v>173</v>
      </c>
      <c r="D27" s="323">
        <f>+FORMULARIO!H8</f>
        <v>0</v>
      </c>
      <c r="E27" s="323"/>
      <c r="F27" s="323"/>
      <c r="G27" s="323"/>
      <c r="H27" s="323"/>
      <c r="I27" s="323"/>
      <c r="J27" s="323"/>
      <c r="K27" s="134" t="s">
        <v>174</v>
      </c>
      <c r="L27" s="135"/>
      <c r="M27" s="136"/>
      <c r="N27" s="324">
        <f>+FORMULARIO!X8</f>
        <v>0</v>
      </c>
      <c r="O27" s="325"/>
    </row>
    <row r="28" spans="1:15" x14ac:dyDescent="0.25">
      <c r="A28" s="126"/>
      <c r="B28" s="272"/>
      <c r="C28" s="326" t="s">
        <v>175</v>
      </c>
      <c r="D28" s="327"/>
      <c r="E28" s="327"/>
      <c r="F28" s="327"/>
      <c r="G28" s="327"/>
      <c r="H28" s="327"/>
      <c r="I28" s="327"/>
      <c r="J28" s="327"/>
      <c r="K28" s="327"/>
      <c r="L28" s="327"/>
      <c r="M28" s="327"/>
      <c r="N28" s="327"/>
      <c r="O28" s="328"/>
    </row>
    <row r="29" spans="1:15" x14ac:dyDescent="0.25">
      <c r="A29" s="126"/>
      <c r="B29" s="272"/>
      <c r="C29" s="326"/>
      <c r="D29" s="327"/>
      <c r="E29" s="327"/>
      <c r="F29" s="327"/>
      <c r="G29" s="327"/>
      <c r="H29" s="327"/>
      <c r="I29" s="327"/>
      <c r="J29" s="327"/>
      <c r="K29" s="327"/>
      <c r="L29" s="327"/>
      <c r="M29" s="327"/>
      <c r="N29" s="327"/>
      <c r="O29" s="328"/>
    </row>
    <row r="30" spans="1:15" x14ac:dyDescent="0.25">
      <c r="A30" s="126"/>
      <c r="B30" s="272"/>
      <c r="C30" s="326"/>
      <c r="D30" s="327"/>
      <c r="E30" s="327"/>
      <c r="F30" s="327"/>
      <c r="G30" s="327"/>
      <c r="H30" s="327"/>
      <c r="I30" s="327"/>
      <c r="J30" s="327"/>
      <c r="K30" s="327"/>
      <c r="L30" s="327"/>
      <c r="M30" s="327"/>
      <c r="N30" s="327"/>
      <c r="O30" s="328"/>
    </row>
    <row r="31" spans="1:15" x14ac:dyDescent="0.25">
      <c r="A31" s="126"/>
      <c r="B31" s="272"/>
      <c r="C31" s="326"/>
      <c r="D31" s="327"/>
      <c r="E31" s="327"/>
      <c r="F31" s="327"/>
      <c r="G31" s="327"/>
      <c r="H31" s="327"/>
      <c r="I31" s="327"/>
      <c r="J31" s="327"/>
      <c r="K31" s="327"/>
      <c r="L31" s="327"/>
      <c r="M31" s="327"/>
      <c r="N31" s="327"/>
      <c r="O31" s="328"/>
    </row>
    <row r="32" spans="1:15" x14ac:dyDescent="0.25">
      <c r="A32" s="126"/>
      <c r="B32" s="272"/>
      <c r="C32" s="326"/>
      <c r="D32" s="327"/>
      <c r="E32" s="327"/>
      <c r="F32" s="327"/>
      <c r="G32" s="327"/>
      <c r="H32" s="327"/>
      <c r="I32" s="327"/>
      <c r="J32" s="327"/>
      <c r="K32" s="327"/>
      <c r="L32" s="327"/>
      <c r="M32" s="327"/>
      <c r="N32" s="327"/>
      <c r="O32" s="328"/>
    </row>
    <row r="33" spans="1:15" x14ac:dyDescent="0.25">
      <c r="A33" s="126"/>
      <c r="B33" s="272"/>
      <c r="C33" s="326"/>
      <c r="D33" s="327"/>
      <c r="E33" s="327"/>
      <c r="F33" s="327"/>
      <c r="G33" s="327"/>
      <c r="H33" s="327"/>
      <c r="I33" s="327"/>
      <c r="J33" s="327"/>
      <c r="K33" s="327"/>
      <c r="L33" s="327"/>
      <c r="M33" s="327"/>
      <c r="N33" s="327"/>
      <c r="O33" s="328"/>
    </row>
    <row r="34" spans="1:15" x14ac:dyDescent="0.25">
      <c r="A34" s="126"/>
      <c r="B34" s="272"/>
      <c r="C34" s="326"/>
      <c r="D34" s="327"/>
      <c r="E34" s="327"/>
      <c r="F34" s="327"/>
      <c r="G34" s="327"/>
      <c r="H34" s="327"/>
      <c r="I34" s="327"/>
      <c r="J34" s="327"/>
      <c r="K34" s="327"/>
      <c r="L34" s="327"/>
      <c r="M34" s="327"/>
      <c r="N34" s="327"/>
      <c r="O34" s="328"/>
    </row>
    <row r="35" spans="1:15" x14ac:dyDescent="0.25">
      <c r="A35" s="126"/>
      <c r="B35" s="272"/>
      <c r="C35" s="326"/>
      <c r="D35" s="327"/>
      <c r="E35" s="327"/>
      <c r="F35" s="327"/>
      <c r="G35" s="327"/>
      <c r="H35" s="327"/>
      <c r="I35" s="327"/>
      <c r="J35" s="327"/>
      <c r="K35" s="327"/>
      <c r="L35" s="327"/>
      <c r="M35" s="327"/>
      <c r="N35" s="327"/>
      <c r="O35" s="328"/>
    </row>
    <row r="36" spans="1:15" x14ac:dyDescent="0.25">
      <c r="A36" s="126"/>
      <c r="B36" s="272"/>
      <c r="C36" s="326"/>
      <c r="D36" s="327"/>
      <c r="E36" s="327"/>
      <c r="F36" s="327"/>
      <c r="G36" s="327"/>
      <c r="H36" s="327"/>
      <c r="I36" s="327"/>
      <c r="J36" s="327"/>
      <c r="K36" s="327"/>
      <c r="L36" s="327"/>
      <c r="M36" s="327"/>
      <c r="N36" s="327"/>
      <c r="O36" s="328"/>
    </row>
    <row r="37" spans="1:15" x14ac:dyDescent="0.25">
      <c r="A37" s="126"/>
      <c r="B37" s="272"/>
      <c r="C37" s="326"/>
      <c r="D37" s="327"/>
      <c r="E37" s="327"/>
      <c r="F37" s="327"/>
      <c r="G37" s="327"/>
      <c r="H37" s="327"/>
      <c r="I37" s="327"/>
      <c r="J37" s="327"/>
      <c r="K37" s="327"/>
      <c r="L37" s="327"/>
      <c r="M37" s="327"/>
      <c r="N37" s="327"/>
      <c r="O37" s="328"/>
    </row>
    <row r="38" spans="1:15" x14ac:dyDescent="0.25">
      <c r="A38" s="126"/>
      <c r="B38" s="272"/>
      <c r="C38" s="326"/>
      <c r="D38" s="327"/>
      <c r="E38" s="327"/>
      <c r="F38" s="327"/>
      <c r="G38" s="327"/>
      <c r="H38" s="327"/>
      <c r="I38" s="327"/>
      <c r="J38" s="327"/>
      <c r="K38" s="327"/>
      <c r="L38" s="327"/>
      <c r="M38" s="327"/>
      <c r="N38" s="327"/>
      <c r="O38" s="328"/>
    </row>
    <row r="39" spans="1:15" x14ac:dyDescent="0.25">
      <c r="A39" s="126"/>
      <c r="B39" s="272"/>
      <c r="C39" s="326"/>
      <c r="D39" s="327"/>
      <c r="E39" s="327"/>
      <c r="F39" s="327"/>
      <c r="G39" s="327"/>
      <c r="H39" s="327"/>
      <c r="I39" s="327"/>
      <c r="J39" s="327"/>
      <c r="K39" s="327"/>
      <c r="L39" s="327"/>
      <c r="M39" s="327"/>
      <c r="N39" s="327"/>
      <c r="O39" s="328"/>
    </row>
    <row r="40" spans="1:15" x14ac:dyDescent="0.25">
      <c r="A40" s="126"/>
      <c r="B40" s="272"/>
      <c r="C40" s="326"/>
      <c r="D40" s="327"/>
      <c r="E40" s="327"/>
      <c r="F40" s="327"/>
      <c r="G40" s="327"/>
      <c r="H40" s="327"/>
      <c r="I40" s="327"/>
      <c r="J40" s="327"/>
      <c r="K40" s="327"/>
      <c r="L40" s="327"/>
      <c r="M40" s="327"/>
      <c r="N40" s="327"/>
      <c r="O40" s="328"/>
    </row>
    <row r="41" spans="1:15" ht="15.75" thickBot="1" x14ac:dyDescent="0.3">
      <c r="A41" s="126"/>
      <c r="B41" s="273"/>
      <c r="C41" s="329"/>
      <c r="D41" s="330"/>
      <c r="E41" s="330"/>
      <c r="F41" s="330"/>
      <c r="G41" s="330"/>
      <c r="H41" s="330"/>
      <c r="I41" s="330"/>
      <c r="J41" s="330"/>
      <c r="K41" s="330"/>
      <c r="L41" s="330"/>
      <c r="M41" s="330"/>
      <c r="N41" s="330"/>
      <c r="O41" s="331"/>
    </row>
    <row r="42" spans="1:15" x14ac:dyDescent="0.25">
      <c r="A42" s="126"/>
      <c r="B42" s="137"/>
      <c r="C42" s="138"/>
      <c r="D42" s="138"/>
      <c r="E42" s="138"/>
      <c r="F42" s="138"/>
      <c r="G42" s="138"/>
      <c r="H42" s="138"/>
      <c r="I42" s="138"/>
      <c r="J42" s="138"/>
      <c r="K42" s="138"/>
      <c r="L42" s="138"/>
      <c r="M42" s="138"/>
      <c r="N42" s="138"/>
      <c r="O42" s="138"/>
    </row>
    <row r="43" spans="1:15" x14ac:dyDescent="0.25">
      <c r="A43" s="126"/>
      <c r="B43" s="137"/>
      <c r="C43" s="138"/>
      <c r="D43" s="138"/>
      <c r="E43" s="138"/>
      <c r="F43" s="138"/>
      <c r="G43" s="138"/>
      <c r="H43" s="138"/>
      <c r="I43" s="138"/>
      <c r="J43" s="138"/>
      <c r="K43" s="138"/>
      <c r="L43" s="138"/>
      <c r="M43" s="138"/>
      <c r="N43" s="138"/>
      <c r="O43" s="138"/>
    </row>
    <row r="44" spans="1:15" x14ac:dyDescent="0.25">
      <c r="A44" s="126"/>
      <c r="B44" s="137"/>
      <c r="C44" s="138"/>
      <c r="D44" s="138"/>
      <c r="E44" s="138"/>
      <c r="F44" s="138"/>
      <c r="G44" s="138"/>
      <c r="H44" s="138"/>
      <c r="I44" s="138"/>
      <c r="J44" s="138"/>
      <c r="K44" s="138"/>
      <c r="L44" s="138"/>
      <c r="M44" s="138"/>
      <c r="N44" s="138"/>
      <c r="O44" s="138"/>
    </row>
    <row r="45" spans="1:15" x14ac:dyDescent="0.25">
      <c r="A45" s="126"/>
      <c r="B45" s="137"/>
      <c r="C45" s="138"/>
      <c r="D45" s="138"/>
      <c r="E45" s="138"/>
      <c r="F45" s="138"/>
      <c r="G45" s="138"/>
      <c r="H45" s="138"/>
      <c r="I45" s="138"/>
      <c r="J45" s="138"/>
      <c r="K45" s="138"/>
      <c r="L45" s="138"/>
      <c r="M45" s="138"/>
      <c r="N45" s="138"/>
      <c r="O45" s="138"/>
    </row>
    <row r="46" spans="1:15" x14ac:dyDescent="0.25">
      <c r="A46" s="126"/>
      <c r="B46" s="137"/>
      <c r="C46" s="138"/>
      <c r="D46" s="138"/>
      <c r="E46" s="138"/>
      <c r="F46" s="138"/>
      <c r="G46" s="138"/>
      <c r="H46" s="138"/>
      <c r="I46" s="138"/>
      <c r="J46" s="138"/>
      <c r="K46" s="138"/>
      <c r="L46" s="138"/>
      <c r="M46" s="138"/>
      <c r="N46" s="138"/>
      <c r="O46" s="138"/>
    </row>
    <row r="47" spans="1:15" x14ac:dyDescent="0.25">
      <c r="A47" s="126"/>
      <c r="B47" s="137"/>
      <c r="C47" s="138"/>
      <c r="D47" s="138"/>
      <c r="E47" s="138"/>
      <c r="F47" s="138"/>
      <c r="G47" s="138"/>
      <c r="H47" s="138"/>
      <c r="I47" s="138"/>
      <c r="J47" s="138"/>
      <c r="K47" s="138"/>
      <c r="L47" s="138"/>
      <c r="M47" s="138"/>
      <c r="N47" s="138"/>
      <c r="O47" s="138"/>
    </row>
    <row r="48" spans="1:15" x14ac:dyDescent="0.25">
      <c r="A48" s="126"/>
      <c r="B48" s="137"/>
      <c r="C48" s="138"/>
      <c r="D48" s="138"/>
      <c r="E48" s="138"/>
      <c r="F48" s="138"/>
      <c r="G48" s="138"/>
      <c r="H48" s="138"/>
      <c r="I48" s="138"/>
      <c r="J48" s="138"/>
      <c r="K48" s="138"/>
      <c r="L48" s="138"/>
      <c r="M48" s="138"/>
      <c r="N48" s="138"/>
      <c r="O48" s="138"/>
    </row>
    <row r="49" spans="1:15" ht="15.75" thickBot="1" x14ac:dyDescent="0.3">
      <c r="A49" s="126"/>
      <c r="B49" s="137"/>
      <c r="C49" s="138"/>
      <c r="D49" s="138"/>
      <c r="E49" s="138"/>
      <c r="F49" s="138"/>
      <c r="G49" s="138"/>
      <c r="H49" s="138"/>
      <c r="I49" s="138"/>
      <c r="J49" s="138"/>
      <c r="K49" s="138"/>
      <c r="L49" s="138"/>
      <c r="M49" s="138"/>
      <c r="N49" s="138"/>
      <c r="O49" s="138"/>
    </row>
    <row r="50" spans="1:15" x14ac:dyDescent="0.25">
      <c r="A50" s="126"/>
      <c r="B50" s="301" t="s">
        <v>176</v>
      </c>
      <c r="C50" s="139" t="s">
        <v>177</v>
      </c>
      <c r="D50" s="140"/>
      <c r="E50" s="140"/>
      <c r="F50" s="140"/>
      <c r="G50" s="140"/>
      <c r="H50" s="140"/>
      <c r="I50" s="304" t="e">
        <f>+FORMULARIO!#REF!</f>
        <v>#REF!</v>
      </c>
      <c r="J50" s="304"/>
      <c r="K50" s="304"/>
      <c r="L50" s="304"/>
      <c r="M50" s="304"/>
      <c r="N50" s="304"/>
      <c r="O50" s="305"/>
    </row>
    <row r="51" spans="1:15" x14ac:dyDescent="0.25">
      <c r="A51" s="126"/>
      <c r="B51" s="302"/>
      <c r="C51" s="141" t="s">
        <v>178</v>
      </c>
      <c r="D51" s="138"/>
      <c r="E51" s="138"/>
      <c r="F51" s="138"/>
      <c r="G51" s="138"/>
      <c r="H51" s="138"/>
      <c r="I51" s="306">
        <f>+FORMULARIO!G16</f>
        <v>0</v>
      </c>
      <c r="J51" s="306"/>
      <c r="K51" s="306"/>
      <c r="L51" s="306"/>
      <c r="M51" s="306"/>
      <c r="N51" s="306"/>
      <c r="O51" s="307"/>
    </row>
    <row r="52" spans="1:15" x14ac:dyDescent="0.25">
      <c r="A52" s="126"/>
      <c r="B52" s="302"/>
      <c r="C52" s="141" t="s">
        <v>179</v>
      </c>
      <c r="D52" s="138"/>
      <c r="E52" s="308" t="str">
        <f>+'[1] FMT 104 TOMA DATOS'!I34</f>
        <v>GUANACASTE</v>
      </c>
      <c r="F52" s="308"/>
      <c r="G52" s="308"/>
      <c r="H52" s="308"/>
      <c r="I52" s="308"/>
      <c r="J52" s="309" t="s">
        <v>180</v>
      </c>
      <c r="K52" s="309"/>
      <c r="L52" s="308" t="str">
        <f>+'[1] FMT 104 TOMA DATOS'!U34</f>
        <v>TILARAN</v>
      </c>
      <c r="M52" s="308"/>
      <c r="N52" s="308"/>
      <c r="O52" s="310"/>
    </row>
    <row r="53" spans="1:15" x14ac:dyDescent="0.25">
      <c r="A53" s="126"/>
      <c r="B53" s="302"/>
      <c r="C53" s="311" t="s">
        <v>181</v>
      </c>
      <c r="D53" s="309"/>
      <c r="E53" s="308">
        <f>+FORMULARIO!G16</f>
        <v>0</v>
      </c>
      <c r="F53" s="308"/>
      <c r="G53" s="308"/>
      <c r="H53" s="308"/>
      <c r="I53" s="308"/>
      <c r="J53" s="138"/>
      <c r="K53" s="138"/>
      <c r="L53" s="138"/>
      <c r="M53" s="138"/>
      <c r="N53" s="138"/>
      <c r="O53" s="142"/>
    </row>
    <row r="54" spans="1:15" x14ac:dyDescent="0.25">
      <c r="A54" s="126"/>
      <c r="B54" s="302"/>
      <c r="C54" s="143" t="s">
        <v>182</v>
      </c>
      <c r="D54" s="144"/>
      <c r="E54" s="138"/>
      <c r="F54" s="138"/>
      <c r="G54" s="138"/>
      <c r="H54" s="312">
        <f>+FORMULARIO!X10</f>
        <v>0</v>
      </c>
      <c r="I54" s="312"/>
      <c r="J54" s="312"/>
      <c r="K54" s="312"/>
      <c r="L54" s="312"/>
      <c r="M54" s="312"/>
      <c r="N54" s="138"/>
      <c r="O54" s="142"/>
    </row>
    <row r="55" spans="1:15" x14ac:dyDescent="0.25">
      <c r="A55" s="126"/>
      <c r="B55" s="302"/>
      <c r="C55" s="143" t="s">
        <v>183</v>
      </c>
      <c r="D55" s="138"/>
      <c r="E55" s="138"/>
      <c r="F55" s="138"/>
      <c r="G55" s="313">
        <f>+FORMULARIO!E10</f>
        <v>0</v>
      </c>
      <c r="H55" s="313"/>
      <c r="I55" s="313"/>
      <c r="J55" s="144" t="s">
        <v>184</v>
      </c>
      <c r="K55" s="138"/>
      <c r="L55" s="126"/>
      <c r="M55" s="308">
        <f>+FORMULARIO!O10</f>
        <v>0</v>
      </c>
      <c r="N55" s="308"/>
      <c r="O55" s="310"/>
    </row>
    <row r="56" spans="1:15" x14ac:dyDescent="0.25">
      <c r="A56" s="126"/>
      <c r="B56" s="302"/>
      <c r="C56" s="143" t="s">
        <v>185</v>
      </c>
      <c r="D56" s="138"/>
      <c r="E56" s="138"/>
      <c r="F56" s="138"/>
      <c r="G56" s="138"/>
      <c r="H56" s="138"/>
      <c r="I56" s="138"/>
      <c r="J56" s="308" t="e">
        <f>+FORMULARIO!#REF!</f>
        <v>#REF!</v>
      </c>
      <c r="K56" s="308"/>
      <c r="L56" s="308"/>
      <c r="M56" s="308"/>
      <c r="N56" s="308"/>
      <c r="O56" s="310"/>
    </row>
    <row r="57" spans="1:15" ht="19.149999999999999" customHeight="1" x14ac:dyDescent="0.25">
      <c r="A57" s="126"/>
      <c r="B57" s="302"/>
      <c r="C57" s="143" t="s">
        <v>186</v>
      </c>
      <c r="D57" s="138"/>
      <c r="E57" s="138"/>
      <c r="F57" s="138"/>
      <c r="G57" s="138"/>
      <c r="H57" s="138"/>
      <c r="I57" s="138"/>
      <c r="J57" s="138"/>
      <c r="K57" s="138"/>
      <c r="L57" s="138"/>
      <c r="M57" s="138"/>
      <c r="N57" s="138"/>
      <c r="O57" s="142"/>
    </row>
    <row r="58" spans="1:15" x14ac:dyDescent="0.25">
      <c r="A58" s="126"/>
      <c r="B58" s="302"/>
      <c r="C58" s="145"/>
      <c r="D58" s="190" t="s">
        <v>187</v>
      </c>
      <c r="E58" s="144" t="s">
        <v>188</v>
      </c>
      <c r="F58" s="144"/>
      <c r="G58" s="144"/>
      <c r="H58" s="138"/>
      <c r="I58" s="138"/>
      <c r="J58" s="138"/>
      <c r="K58" s="138"/>
      <c r="L58" s="138"/>
      <c r="M58" s="138"/>
      <c r="N58" s="138"/>
      <c r="O58" s="142"/>
    </row>
    <row r="59" spans="1:15" x14ac:dyDescent="0.25">
      <c r="A59" s="126"/>
      <c r="B59" s="302"/>
      <c r="C59" s="145"/>
      <c r="D59" s="146"/>
      <c r="E59" s="144"/>
      <c r="F59" s="144"/>
      <c r="G59" s="144"/>
      <c r="H59" s="138"/>
      <c r="I59" s="138"/>
      <c r="J59" s="138"/>
      <c r="K59" s="138"/>
      <c r="L59" s="138"/>
      <c r="M59" s="138"/>
      <c r="N59" s="138"/>
      <c r="O59" s="142"/>
    </row>
    <row r="60" spans="1:15" x14ac:dyDescent="0.25">
      <c r="A60" s="126"/>
      <c r="B60" s="302"/>
      <c r="C60" s="145"/>
      <c r="D60" s="190" t="s">
        <v>187</v>
      </c>
      <c r="E60" s="144" t="s">
        <v>189</v>
      </c>
      <c r="F60" s="144"/>
      <c r="G60" s="144"/>
      <c r="H60" s="138"/>
      <c r="I60" s="138"/>
      <c r="J60" s="138"/>
      <c r="K60" s="138"/>
      <c r="L60" s="138"/>
      <c r="M60" s="138"/>
      <c r="N60" s="138"/>
      <c r="O60" s="142"/>
    </row>
    <row r="61" spans="1:15" x14ac:dyDescent="0.25">
      <c r="A61" s="126"/>
      <c r="B61" s="302"/>
      <c r="C61" s="147"/>
      <c r="D61" s="148" t="s">
        <v>190</v>
      </c>
      <c r="E61" s="149"/>
      <c r="F61" s="149"/>
      <c r="G61" s="149"/>
      <c r="H61" s="149"/>
      <c r="I61" s="149"/>
      <c r="J61" s="149"/>
      <c r="K61" s="150"/>
      <c r="L61" s="149"/>
      <c r="M61" s="148" t="s">
        <v>191</v>
      </c>
      <c r="N61" s="149"/>
      <c r="O61" s="142"/>
    </row>
    <row r="62" spans="1:15" x14ac:dyDescent="0.25">
      <c r="A62" s="126"/>
      <c r="B62" s="302"/>
      <c r="C62" s="147"/>
      <c r="D62" s="295"/>
      <c r="E62" s="295"/>
      <c r="F62" s="295"/>
      <c r="G62" s="295"/>
      <c r="H62" s="295"/>
      <c r="I62" s="295"/>
      <c r="J62" s="295"/>
      <c r="K62" s="295"/>
      <c r="L62" s="295"/>
      <c r="M62" s="296"/>
      <c r="N62" s="295"/>
      <c r="O62" s="297"/>
    </row>
    <row r="63" spans="1:15" x14ac:dyDescent="0.25">
      <c r="A63" s="126"/>
      <c r="B63" s="302"/>
      <c r="C63" s="145"/>
      <c r="D63" s="295"/>
      <c r="E63" s="295"/>
      <c r="F63" s="295"/>
      <c r="G63" s="295"/>
      <c r="H63" s="295"/>
      <c r="I63" s="295"/>
      <c r="J63" s="295"/>
      <c r="K63" s="295"/>
      <c r="L63" s="295"/>
      <c r="M63" s="296"/>
      <c r="N63" s="295"/>
      <c r="O63" s="297"/>
    </row>
    <row r="64" spans="1:15" x14ac:dyDescent="0.25">
      <c r="A64" s="126"/>
      <c r="B64" s="302"/>
      <c r="C64" s="145"/>
      <c r="D64" s="295"/>
      <c r="E64" s="295"/>
      <c r="F64" s="295"/>
      <c r="G64" s="295"/>
      <c r="H64" s="295"/>
      <c r="I64" s="295"/>
      <c r="J64" s="295"/>
      <c r="K64" s="295"/>
      <c r="L64" s="295"/>
      <c r="M64" s="296"/>
      <c r="N64" s="295"/>
      <c r="O64" s="297"/>
    </row>
    <row r="65" spans="1:15" x14ac:dyDescent="0.25">
      <c r="A65" s="126"/>
      <c r="B65" s="302"/>
      <c r="C65" s="145"/>
      <c r="D65" s="295"/>
      <c r="E65" s="295"/>
      <c r="F65" s="295"/>
      <c r="G65" s="295"/>
      <c r="H65" s="295"/>
      <c r="I65" s="295"/>
      <c r="J65" s="295"/>
      <c r="K65" s="295"/>
      <c r="L65" s="295"/>
      <c r="M65" s="296"/>
      <c r="N65" s="295"/>
      <c r="O65" s="297"/>
    </row>
    <row r="66" spans="1:15" ht="15.75" thickBot="1" x14ac:dyDescent="0.3">
      <c r="A66" s="126"/>
      <c r="B66" s="303"/>
      <c r="C66" s="151"/>
      <c r="D66" s="298"/>
      <c r="E66" s="298"/>
      <c r="F66" s="298"/>
      <c r="G66" s="298"/>
      <c r="H66" s="298"/>
      <c r="I66" s="298"/>
      <c r="J66" s="298"/>
      <c r="K66" s="298"/>
      <c r="L66" s="298"/>
      <c r="M66" s="299"/>
      <c r="N66" s="298"/>
      <c r="O66" s="300"/>
    </row>
    <row r="67" spans="1:15" x14ac:dyDescent="0.25">
      <c r="A67" s="126"/>
      <c r="B67" s="127"/>
      <c r="C67" s="126"/>
      <c r="D67" s="126"/>
      <c r="E67" s="126"/>
      <c r="F67" s="126"/>
      <c r="G67" s="126"/>
      <c r="H67" s="126"/>
      <c r="I67" s="126"/>
      <c r="J67" s="126"/>
      <c r="K67" s="126"/>
      <c r="L67" s="126"/>
      <c r="M67" s="126"/>
      <c r="N67" s="126"/>
      <c r="O67" s="126"/>
    </row>
    <row r="68" spans="1:15" ht="15.75" thickBot="1" x14ac:dyDescent="0.3">
      <c r="A68" s="126"/>
      <c r="B68" s="127"/>
      <c r="C68" s="126"/>
      <c r="D68" s="126"/>
      <c r="E68" s="126"/>
      <c r="F68" s="126"/>
      <c r="G68" s="126"/>
      <c r="H68" s="126"/>
      <c r="I68" s="126"/>
      <c r="J68" s="126"/>
      <c r="K68" s="126"/>
      <c r="L68" s="126"/>
      <c r="M68" s="126"/>
      <c r="N68" s="126"/>
      <c r="O68" s="126"/>
    </row>
    <row r="69" spans="1:15" x14ac:dyDescent="0.25">
      <c r="A69" s="126"/>
      <c r="B69" s="271" t="s">
        <v>176</v>
      </c>
      <c r="C69" s="126"/>
      <c r="D69" s="190" t="s">
        <v>187</v>
      </c>
      <c r="E69" s="126" t="s">
        <v>192</v>
      </c>
      <c r="F69" s="126"/>
      <c r="G69" s="126"/>
      <c r="H69" s="126"/>
      <c r="I69" s="126"/>
      <c r="J69" s="126"/>
      <c r="K69" s="126"/>
      <c r="L69" s="126"/>
      <c r="M69" s="126"/>
      <c r="N69" s="126"/>
      <c r="O69" s="126"/>
    </row>
    <row r="70" spans="1:15" ht="22.9" customHeight="1" x14ac:dyDescent="0.25">
      <c r="A70" s="126"/>
      <c r="B70" s="272"/>
      <c r="C70" s="126"/>
      <c r="D70" s="144" t="s">
        <v>193</v>
      </c>
      <c r="E70" s="126"/>
      <c r="F70" s="126"/>
      <c r="G70" s="126"/>
      <c r="H70" s="126"/>
      <c r="I70" s="126"/>
      <c r="J70" s="126"/>
      <c r="K70" s="126"/>
      <c r="L70" s="126"/>
      <c r="M70" s="126"/>
      <c r="N70" s="126"/>
      <c r="O70" s="126"/>
    </row>
    <row r="71" spans="1:15" ht="22.9" customHeight="1" x14ac:dyDescent="0.25">
      <c r="A71" s="126"/>
      <c r="B71" s="272"/>
      <c r="C71" s="126"/>
      <c r="D71" s="280" t="s">
        <v>194</v>
      </c>
      <c r="E71" s="280"/>
      <c r="F71" s="280"/>
      <c r="G71" s="280"/>
      <c r="H71" s="280"/>
      <c r="I71" s="280"/>
      <c r="J71" s="280"/>
      <c r="K71" s="280"/>
      <c r="L71" s="280"/>
      <c r="M71" s="280"/>
      <c r="N71" s="280"/>
      <c r="O71" s="280"/>
    </row>
    <row r="72" spans="1:15" x14ac:dyDescent="0.25">
      <c r="A72" s="126"/>
      <c r="B72" s="272"/>
      <c r="C72" s="126"/>
      <c r="D72" s="131"/>
      <c r="E72" s="131"/>
      <c r="F72" s="131"/>
      <c r="G72" s="131"/>
      <c r="H72" s="131"/>
      <c r="I72" s="131"/>
      <c r="J72" s="131"/>
      <c r="K72" s="131"/>
      <c r="L72" s="131"/>
      <c r="M72" s="131"/>
      <c r="N72" s="131"/>
      <c r="O72" s="126"/>
    </row>
    <row r="73" spans="1:15" x14ac:dyDescent="0.25">
      <c r="A73" s="126"/>
      <c r="B73" s="272"/>
      <c r="C73" s="126"/>
      <c r="D73" s="285" t="s">
        <v>195</v>
      </c>
      <c r="E73" s="285"/>
      <c r="F73" s="285"/>
      <c r="G73" s="285"/>
      <c r="H73" s="285"/>
      <c r="I73" s="270" t="s">
        <v>190</v>
      </c>
      <c r="J73" s="270"/>
      <c r="K73" s="270"/>
      <c r="L73" s="270"/>
      <c r="M73" s="293" t="s">
        <v>191</v>
      </c>
      <c r="N73" s="293"/>
      <c r="O73" s="293"/>
    </row>
    <row r="74" spans="1:15" x14ac:dyDescent="0.25">
      <c r="A74" s="126"/>
      <c r="B74" s="272"/>
      <c r="C74" s="126"/>
      <c r="D74" s="126"/>
      <c r="E74" s="126"/>
      <c r="F74" s="126"/>
      <c r="G74" s="152" t="s">
        <v>196</v>
      </c>
      <c r="H74" s="152" t="s">
        <v>187</v>
      </c>
      <c r="I74" s="152"/>
      <c r="J74" s="152"/>
      <c r="K74" s="152"/>
      <c r="L74" s="152"/>
      <c r="M74" s="153"/>
      <c r="N74" s="153"/>
      <c r="O74" s="153"/>
    </row>
    <row r="75" spans="1:15" x14ac:dyDescent="0.25">
      <c r="A75" s="126"/>
      <c r="B75" s="272"/>
      <c r="C75" s="292" t="s">
        <v>197</v>
      </c>
      <c r="D75" s="287"/>
      <c r="E75" s="287"/>
      <c r="F75" s="287"/>
      <c r="G75" s="126"/>
      <c r="H75" s="126"/>
      <c r="I75" s="294"/>
      <c r="J75" s="268"/>
      <c r="K75" s="268"/>
      <c r="L75" s="268"/>
      <c r="M75" s="268"/>
      <c r="N75" s="268"/>
      <c r="O75" s="268"/>
    </row>
    <row r="76" spans="1:15" ht="16.5" x14ac:dyDescent="0.3">
      <c r="A76" s="126"/>
      <c r="B76" s="272"/>
      <c r="C76" s="292" t="s">
        <v>198</v>
      </c>
      <c r="D76" s="287"/>
      <c r="E76" s="287"/>
      <c r="F76" s="287"/>
      <c r="G76" s="191"/>
      <c r="H76" s="191" t="s">
        <v>36</v>
      </c>
      <c r="I76" s="288"/>
      <c r="J76" s="289"/>
      <c r="K76" s="289"/>
      <c r="L76" s="289"/>
      <c r="M76" s="289"/>
      <c r="N76" s="289"/>
      <c r="O76" s="289"/>
    </row>
    <row r="77" spans="1:15" ht="16.5" x14ac:dyDescent="0.3">
      <c r="A77" s="126"/>
      <c r="B77" s="272"/>
      <c r="C77" s="286" t="s">
        <v>199</v>
      </c>
      <c r="D77" s="287"/>
      <c r="E77" s="287"/>
      <c r="F77" s="287"/>
      <c r="G77" s="191"/>
      <c r="H77" s="191" t="s">
        <v>36</v>
      </c>
      <c r="I77" s="290"/>
      <c r="J77" s="291"/>
      <c r="K77" s="291"/>
      <c r="L77" s="291"/>
      <c r="M77" s="291"/>
      <c r="N77" s="291"/>
      <c r="O77" s="291"/>
    </row>
    <row r="78" spans="1:15" ht="16.5" x14ac:dyDescent="0.3">
      <c r="A78" s="126"/>
      <c r="B78" s="272"/>
      <c r="C78" s="286" t="s">
        <v>200</v>
      </c>
      <c r="D78" s="287"/>
      <c r="E78" s="287"/>
      <c r="F78" s="287"/>
      <c r="G78" s="191"/>
      <c r="H78" s="191" t="s">
        <v>36</v>
      </c>
      <c r="I78" s="288"/>
      <c r="J78" s="289"/>
      <c r="K78" s="289"/>
      <c r="L78" s="289"/>
      <c r="M78" s="289"/>
      <c r="N78" s="289"/>
      <c r="O78" s="289"/>
    </row>
    <row r="79" spans="1:15" ht="16.5" x14ac:dyDescent="0.3">
      <c r="A79" s="126"/>
      <c r="B79" s="272"/>
      <c r="C79" s="286" t="s">
        <v>201</v>
      </c>
      <c r="D79" s="287"/>
      <c r="E79" s="287"/>
      <c r="F79" s="287"/>
      <c r="G79" s="191"/>
      <c r="H79" s="191" t="s">
        <v>36</v>
      </c>
      <c r="I79" s="288"/>
      <c r="J79" s="289"/>
      <c r="K79" s="289"/>
      <c r="L79" s="289"/>
      <c r="M79" s="289"/>
      <c r="N79" s="289"/>
      <c r="O79" s="289"/>
    </row>
    <row r="80" spans="1:15" ht="16.5" x14ac:dyDescent="0.3">
      <c r="A80" s="126"/>
      <c r="B80" s="272"/>
      <c r="C80" s="286" t="s">
        <v>202</v>
      </c>
      <c r="D80" s="287"/>
      <c r="E80" s="287"/>
      <c r="F80" s="287"/>
      <c r="G80" s="191"/>
      <c r="H80" s="191" t="s">
        <v>36</v>
      </c>
      <c r="I80" s="288"/>
      <c r="J80" s="289"/>
      <c r="K80" s="289"/>
      <c r="L80" s="289"/>
      <c r="M80" s="289"/>
      <c r="N80" s="289"/>
      <c r="O80" s="289"/>
    </row>
    <row r="81" spans="1:15" ht="16.5" x14ac:dyDescent="0.3">
      <c r="A81" s="126"/>
      <c r="B81" s="272"/>
      <c r="C81" s="286" t="s">
        <v>203</v>
      </c>
      <c r="D81" s="287"/>
      <c r="E81" s="287"/>
      <c r="F81" s="287"/>
      <c r="G81" s="191"/>
      <c r="H81" s="191" t="s">
        <v>36</v>
      </c>
      <c r="I81" s="288"/>
      <c r="J81" s="289"/>
      <c r="K81" s="289"/>
      <c r="L81" s="289"/>
      <c r="M81" s="289"/>
      <c r="N81" s="289"/>
      <c r="O81" s="289"/>
    </row>
    <row r="82" spans="1:15" ht="16.5" x14ac:dyDescent="0.3">
      <c r="A82" s="126"/>
      <c r="B82" s="272"/>
      <c r="C82" s="286" t="s">
        <v>204</v>
      </c>
      <c r="D82" s="287"/>
      <c r="E82" s="287"/>
      <c r="F82" s="287"/>
      <c r="G82" s="191"/>
      <c r="H82" s="191" t="s">
        <v>36</v>
      </c>
      <c r="I82" s="288"/>
      <c r="J82" s="289"/>
      <c r="K82" s="289"/>
      <c r="L82" s="289"/>
      <c r="M82" s="289"/>
      <c r="N82" s="289"/>
      <c r="O82" s="289"/>
    </row>
    <row r="83" spans="1:15" ht="16.5" x14ac:dyDescent="0.3">
      <c r="A83" s="126"/>
      <c r="B83" s="272"/>
      <c r="C83" s="286" t="s">
        <v>205</v>
      </c>
      <c r="D83" s="287"/>
      <c r="E83" s="287"/>
      <c r="F83" s="287"/>
      <c r="G83" s="191"/>
      <c r="H83" s="191" t="s">
        <v>36</v>
      </c>
      <c r="I83" s="288"/>
      <c r="J83" s="289"/>
      <c r="K83" s="289"/>
      <c r="L83" s="289"/>
      <c r="M83" s="289"/>
      <c r="N83" s="289"/>
      <c r="O83" s="289"/>
    </row>
    <row r="84" spans="1:15" ht="16.5" x14ac:dyDescent="0.3">
      <c r="A84" s="126"/>
      <c r="B84" s="272"/>
      <c r="C84" s="286" t="s">
        <v>206</v>
      </c>
      <c r="D84" s="287"/>
      <c r="E84" s="287"/>
      <c r="F84" s="287"/>
      <c r="G84" s="191"/>
      <c r="H84" s="191" t="s">
        <v>36</v>
      </c>
      <c r="I84" s="288"/>
      <c r="J84" s="289"/>
      <c r="K84" s="289"/>
      <c r="L84" s="289"/>
      <c r="M84" s="289"/>
      <c r="N84" s="289"/>
      <c r="O84" s="289"/>
    </row>
    <row r="85" spans="1:15" x14ac:dyDescent="0.25">
      <c r="A85" s="126"/>
      <c r="B85" s="272"/>
      <c r="C85" s="126"/>
      <c r="D85" s="126"/>
      <c r="E85" s="126"/>
      <c r="F85" s="126"/>
      <c r="G85" s="126"/>
      <c r="H85" s="126"/>
      <c r="I85" s="126"/>
      <c r="J85" s="126"/>
      <c r="K85" s="126"/>
      <c r="L85" s="126"/>
      <c r="M85" s="126"/>
      <c r="N85" s="126"/>
      <c r="O85" s="126"/>
    </row>
    <row r="86" spans="1:15" ht="16.5" x14ac:dyDescent="0.25">
      <c r="A86" s="126"/>
      <c r="B86" s="272"/>
      <c r="C86" s="126"/>
      <c r="D86" s="192" t="s">
        <v>196</v>
      </c>
      <c r="E86" s="129" t="s">
        <v>207</v>
      </c>
      <c r="F86" s="126"/>
      <c r="G86" s="126"/>
      <c r="H86" s="126"/>
      <c r="I86" s="126"/>
      <c r="J86" s="126"/>
      <c r="K86" s="126"/>
      <c r="L86" s="126"/>
      <c r="M86" s="126"/>
      <c r="N86" s="126"/>
      <c r="O86" s="126"/>
    </row>
    <row r="87" spans="1:15" x14ac:dyDescent="0.25">
      <c r="A87" s="126"/>
      <c r="B87" s="272"/>
      <c r="C87" s="154" t="s">
        <v>208</v>
      </c>
      <c r="D87" s="154"/>
      <c r="E87" s="154"/>
      <c r="F87" s="154"/>
      <c r="G87" s="154"/>
      <c r="H87" s="155"/>
      <c r="I87" s="156" t="s">
        <v>209</v>
      </c>
      <c r="J87" s="154"/>
      <c r="K87" s="154"/>
      <c r="L87" s="154"/>
      <c r="M87" s="154"/>
      <c r="N87" s="154"/>
      <c r="O87" s="155"/>
    </row>
    <row r="88" spans="1:15" ht="15.75" thickBot="1" x14ac:dyDescent="0.3">
      <c r="A88" s="126"/>
      <c r="B88" s="273"/>
      <c r="C88" s="265">
        <f ca="1">TODAY()</f>
        <v>45349</v>
      </c>
      <c r="D88" s="265"/>
      <c r="E88" s="265"/>
      <c r="F88" s="265"/>
      <c r="G88" s="265"/>
      <c r="H88" s="266"/>
      <c r="I88" s="267"/>
      <c r="J88" s="268"/>
      <c r="K88" s="268"/>
      <c r="L88" s="268"/>
      <c r="M88" s="268"/>
      <c r="N88" s="268"/>
      <c r="O88" s="269"/>
    </row>
    <row r="89" spans="1:15" x14ac:dyDescent="0.25">
      <c r="A89" s="126"/>
      <c r="B89" s="127"/>
      <c r="C89" s="126"/>
      <c r="D89" s="126"/>
      <c r="E89" s="126"/>
      <c r="F89" s="126"/>
      <c r="G89" s="126"/>
      <c r="H89" s="126"/>
      <c r="I89" s="126"/>
      <c r="J89" s="126"/>
      <c r="K89" s="126"/>
      <c r="L89" s="126"/>
      <c r="M89" s="126"/>
      <c r="N89" s="126"/>
      <c r="O89" s="126"/>
    </row>
    <row r="90" spans="1:15" x14ac:dyDescent="0.25">
      <c r="A90" s="126"/>
      <c r="B90" s="127"/>
      <c r="C90" s="126"/>
      <c r="D90" s="126"/>
      <c r="E90" s="126"/>
      <c r="F90" s="126"/>
      <c r="G90" s="126"/>
      <c r="H90" s="126"/>
      <c r="I90" s="126"/>
      <c r="J90" s="126"/>
      <c r="K90" s="126"/>
      <c r="L90" s="126"/>
      <c r="M90" s="126"/>
      <c r="N90" s="126"/>
      <c r="O90" s="126"/>
    </row>
    <row r="91" spans="1:15" x14ac:dyDescent="0.25">
      <c r="A91" s="126"/>
      <c r="B91" s="127"/>
      <c r="C91" s="126"/>
      <c r="D91" s="126"/>
      <c r="E91" s="126"/>
      <c r="F91" s="126"/>
      <c r="G91" s="126"/>
      <c r="H91" s="126"/>
      <c r="I91" s="126"/>
      <c r="J91" s="126"/>
      <c r="K91" s="126"/>
      <c r="L91" s="126"/>
      <c r="M91" s="126"/>
      <c r="N91" s="126"/>
      <c r="O91" s="126"/>
    </row>
    <row r="92" spans="1:15" x14ac:dyDescent="0.25">
      <c r="A92" s="126"/>
      <c r="B92" s="127"/>
      <c r="C92" s="126"/>
      <c r="D92" s="126"/>
      <c r="E92" s="126"/>
      <c r="F92" s="126"/>
      <c r="G92" s="126"/>
      <c r="H92" s="126"/>
      <c r="I92" s="126"/>
      <c r="J92" s="126"/>
      <c r="K92" s="126"/>
      <c r="L92" s="126"/>
      <c r="M92" s="126"/>
      <c r="N92" s="126"/>
      <c r="O92" s="126"/>
    </row>
    <row r="93" spans="1:15" x14ac:dyDescent="0.25">
      <c r="A93" s="126"/>
      <c r="B93" s="127"/>
      <c r="C93" s="126"/>
      <c r="D93" s="126"/>
      <c r="E93" s="126"/>
      <c r="F93" s="126"/>
      <c r="G93" s="126"/>
      <c r="H93" s="126"/>
      <c r="I93" s="126"/>
      <c r="J93" s="126"/>
      <c r="K93" s="126"/>
      <c r="L93" s="126"/>
      <c r="M93" s="126"/>
      <c r="N93" s="126"/>
      <c r="O93" s="126"/>
    </row>
    <row r="94" spans="1:15" ht="15.75" thickBot="1" x14ac:dyDescent="0.3">
      <c r="A94" s="126"/>
      <c r="B94" s="127"/>
      <c r="C94" s="270" t="s">
        <v>210</v>
      </c>
      <c r="D94" s="270"/>
      <c r="E94" s="270"/>
      <c r="F94" s="270"/>
      <c r="G94" s="270"/>
      <c r="H94" s="270"/>
      <c r="I94" s="270"/>
      <c r="J94" s="270"/>
      <c r="K94" s="270"/>
      <c r="L94" s="270"/>
      <c r="M94" s="270"/>
      <c r="N94" s="270"/>
      <c r="O94" s="270"/>
    </row>
    <row r="95" spans="1:15" x14ac:dyDescent="0.25">
      <c r="A95" s="126"/>
      <c r="B95" s="271" t="s">
        <v>211</v>
      </c>
      <c r="C95" s="274" t="s">
        <v>212</v>
      </c>
      <c r="D95" s="275"/>
      <c r="E95" s="275"/>
      <c r="F95" s="275"/>
      <c r="G95" s="275"/>
      <c r="H95" s="275"/>
      <c r="I95" s="275"/>
      <c r="J95" s="275"/>
      <c r="K95" s="275"/>
      <c r="L95" s="275"/>
      <c r="M95" s="275"/>
      <c r="N95" s="275"/>
      <c r="O95" s="276"/>
    </row>
    <row r="96" spans="1:15" x14ac:dyDescent="0.25">
      <c r="A96" s="126"/>
      <c r="B96" s="272"/>
      <c r="C96" s="277"/>
      <c r="D96" s="278"/>
      <c r="E96" s="278"/>
      <c r="F96" s="278"/>
      <c r="G96" s="278"/>
      <c r="H96" s="278"/>
      <c r="I96" s="278"/>
      <c r="J96" s="278"/>
      <c r="K96" s="278"/>
      <c r="L96" s="278"/>
      <c r="M96" s="278"/>
      <c r="N96" s="278"/>
      <c r="O96" s="279"/>
    </row>
    <row r="97" spans="1:15" x14ac:dyDescent="0.25">
      <c r="A97" s="126"/>
      <c r="B97" s="272"/>
      <c r="C97" s="277"/>
      <c r="D97" s="278"/>
      <c r="E97" s="278"/>
      <c r="F97" s="278"/>
      <c r="G97" s="278"/>
      <c r="H97" s="278"/>
      <c r="I97" s="278"/>
      <c r="J97" s="278"/>
      <c r="K97" s="278"/>
      <c r="L97" s="278"/>
      <c r="M97" s="278"/>
      <c r="N97" s="278"/>
      <c r="O97" s="279"/>
    </row>
    <row r="98" spans="1:15" x14ac:dyDescent="0.25">
      <c r="A98" s="126"/>
      <c r="B98" s="272"/>
      <c r="C98" s="157"/>
      <c r="D98" s="132"/>
      <c r="E98" s="132"/>
      <c r="F98" s="132"/>
      <c r="G98" s="132"/>
      <c r="H98" s="132"/>
      <c r="I98" s="132"/>
      <c r="J98" s="132"/>
      <c r="K98" s="132"/>
      <c r="L98" s="132"/>
      <c r="M98" s="132"/>
      <c r="N98" s="132"/>
      <c r="O98" s="158"/>
    </row>
    <row r="99" spans="1:15" x14ac:dyDescent="0.25">
      <c r="A99" s="126"/>
      <c r="B99" s="272"/>
      <c r="C99" s="159"/>
      <c r="D99" s="280" t="s">
        <v>213</v>
      </c>
      <c r="E99" s="280"/>
      <c r="F99" s="280"/>
      <c r="G99" s="280"/>
      <c r="H99" s="280"/>
      <c r="I99" s="280"/>
      <c r="J99" s="280"/>
      <c r="K99" s="280"/>
      <c r="L99" s="280"/>
      <c r="M99" s="280"/>
      <c r="N99" s="280"/>
      <c r="O99" s="281"/>
    </row>
    <row r="100" spans="1:15" x14ac:dyDescent="0.25">
      <c r="A100" s="126"/>
      <c r="B100" s="272"/>
      <c r="C100" s="160"/>
      <c r="D100" s="280"/>
      <c r="E100" s="280"/>
      <c r="F100" s="280"/>
      <c r="G100" s="280"/>
      <c r="H100" s="280"/>
      <c r="I100" s="280"/>
      <c r="J100" s="280"/>
      <c r="K100" s="280"/>
      <c r="L100" s="280"/>
      <c r="M100" s="280"/>
      <c r="N100" s="280"/>
      <c r="O100" s="281"/>
    </row>
    <row r="101" spans="1:15" x14ac:dyDescent="0.25">
      <c r="A101" s="126"/>
      <c r="B101" s="272"/>
      <c r="C101" s="147"/>
      <c r="D101" s="280" t="s">
        <v>214</v>
      </c>
      <c r="E101" s="280"/>
      <c r="F101" s="280"/>
      <c r="G101" s="280"/>
      <c r="H101" s="280"/>
      <c r="I101" s="280"/>
      <c r="J101" s="280"/>
      <c r="K101" s="280"/>
      <c r="L101" s="280"/>
      <c r="M101" s="280"/>
      <c r="N101" s="280"/>
      <c r="O101" s="281"/>
    </row>
    <row r="102" spans="1:15" x14ac:dyDescent="0.25">
      <c r="A102" s="126"/>
      <c r="B102" s="272"/>
      <c r="C102" s="147"/>
      <c r="D102" s="280"/>
      <c r="E102" s="280"/>
      <c r="F102" s="280"/>
      <c r="G102" s="280"/>
      <c r="H102" s="280"/>
      <c r="I102" s="280"/>
      <c r="J102" s="280"/>
      <c r="K102" s="280"/>
      <c r="L102" s="280"/>
      <c r="M102" s="280"/>
      <c r="N102" s="280"/>
      <c r="O102" s="281"/>
    </row>
    <row r="103" spans="1:15" x14ac:dyDescent="0.25">
      <c r="A103" s="126"/>
      <c r="B103" s="272"/>
      <c r="C103" s="147"/>
      <c r="D103" s="280" t="s">
        <v>215</v>
      </c>
      <c r="E103" s="280"/>
      <c r="F103" s="280"/>
      <c r="G103" s="280"/>
      <c r="H103" s="280"/>
      <c r="I103" s="280"/>
      <c r="J103" s="280"/>
      <c r="K103" s="280"/>
      <c r="L103" s="280"/>
      <c r="M103" s="280"/>
      <c r="N103" s="280"/>
      <c r="O103" s="281"/>
    </row>
    <row r="104" spans="1:15" x14ac:dyDescent="0.25">
      <c r="A104" s="126"/>
      <c r="B104" s="272"/>
      <c r="C104" s="147"/>
      <c r="D104" s="280"/>
      <c r="E104" s="280"/>
      <c r="F104" s="280"/>
      <c r="G104" s="280"/>
      <c r="H104" s="280"/>
      <c r="I104" s="280"/>
      <c r="J104" s="280"/>
      <c r="K104" s="280"/>
      <c r="L104" s="280"/>
      <c r="M104" s="280"/>
      <c r="N104" s="280"/>
      <c r="O104" s="281"/>
    </row>
    <row r="105" spans="1:15" x14ac:dyDescent="0.25">
      <c r="A105" s="126"/>
      <c r="B105" s="272"/>
      <c r="C105" s="161"/>
      <c r="D105" s="132"/>
      <c r="E105" s="132"/>
      <c r="F105" s="132"/>
      <c r="G105" s="132"/>
      <c r="H105" s="132"/>
      <c r="I105" s="132"/>
      <c r="J105" s="132"/>
      <c r="K105" s="132"/>
      <c r="L105" s="132"/>
      <c r="M105" s="132"/>
      <c r="N105" s="132"/>
      <c r="O105" s="158"/>
    </row>
    <row r="106" spans="1:15" x14ac:dyDescent="0.25">
      <c r="A106" s="126"/>
      <c r="B106" s="272"/>
      <c r="C106" s="159"/>
      <c r="D106" s="280" t="s">
        <v>216</v>
      </c>
      <c r="E106" s="280"/>
      <c r="F106" s="280"/>
      <c r="G106" s="280"/>
      <c r="H106" s="280"/>
      <c r="I106" s="280"/>
      <c r="J106" s="280"/>
      <c r="K106" s="280"/>
      <c r="L106" s="280"/>
      <c r="M106" s="280"/>
      <c r="N106" s="280"/>
      <c r="O106" s="281"/>
    </row>
    <row r="107" spans="1:15" x14ac:dyDescent="0.25">
      <c r="A107" s="126"/>
      <c r="B107" s="272"/>
      <c r="C107" s="162"/>
      <c r="D107" s="282"/>
      <c r="E107" s="282"/>
      <c r="F107" s="282"/>
      <c r="G107" s="282"/>
      <c r="H107" s="282"/>
      <c r="I107" s="282"/>
      <c r="J107" s="282"/>
      <c r="K107" s="282"/>
      <c r="L107" s="282"/>
      <c r="M107" s="282"/>
      <c r="N107" s="282"/>
      <c r="O107" s="283"/>
    </row>
    <row r="108" spans="1:15" x14ac:dyDescent="0.25">
      <c r="A108" s="126"/>
      <c r="B108" s="272"/>
      <c r="C108" s="284" t="s">
        <v>217</v>
      </c>
      <c r="D108" s="254"/>
      <c r="E108" s="255"/>
      <c r="F108" s="253" t="s">
        <v>218</v>
      </c>
      <c r="G108" s="254"/>
      <c r="H108" s="255"/>
      <c r="I108" s="253" t="s">
        <v>219</v>
      </c>
      <c r="J108" s="254"/>
      <c r="K108" s="255"/>
      <c r="L108" s="163" t="s">
        <v>220</v>
      </c>
      <c r="M108" s="164"/>
      <c r="N108" s="164"/>
      <c r="O108" s="165"/>
    </row>
    <row r="109" spans="1:15" x14ac:dyDescent="0.25">
      <c r="A109" s="126"/>
      <c r="B109" s="272"/>
      <c r="C109" s="157"/>
      <c r="D109" s="132"/>
      <c r="E109" s="166"/>
      <c r="F109" s="167"/>
      <c r="G109" s="132"/>
      <c r="H109" s="166"/>
      <c r="I109" s="167"/>
      <c r="J109" s="132"/>
      <c r="K109" s="166"/>
      <c r="L109" s="167"/>
      <c r="M109" s="132"/>
      <c r="N109" s="132"/>
      <c r="O109" s="158"/>
    </row>
    <row r="110" spans="1:15" ht="15.75" thickBot="1" x14ac:dyDescent="0.3">
      <c r="A110" s="126"/>
      <c r="B110" s="273"/>
      <c r="C110" s="168"/>
      <c r="D110" s="169"/>
      <c r="E110" s="170"/>
      <c r="F110" s="171"/>
      <c r="G110" s="169"/>
      <c r="H110" s="170"/>
      <c r="I110" s="171"/>
      <c r="J110" s="169"/>
      <c r="K110" s="170"/>
      <c r="L110" s="171"/>
      <c r="M110" s="169"/>
      <c r="N110" s="169"/>
      <c r="O110" s="172"/>
    </row>
    <row r="111" spans="1:15" ht="15.75" thickBot="1" x14ac:dyDescent="0.3">
      <c r="A111" s="126"/>
      <c r="B111" s="127"/>
      <c r="C111" s="132"/>
      <c r="D111" s="132"/>
      <c r="E111" s="132"/>
      <c r="F111" s="132"/>
      <c r="G111" s="132"/>
      <c r="H111" s="132"/>
      <c r="I111" s="132"/>
      <c r="J111" s="132"/>
      <c r="K111" s="132"/>
      <c r="L111" s="132"/>
      <c r="M111" s="132"/>
      <c r="N111" s="132"/>
      <c r="O111" s="132"/>
    </row>
    <row r="112" spans="1:15" ht="15" customHeight="1" x14ac:dyDescent="0.25">
      <c r="A112" s="126"/>
      <c r="B112" s="256" t="s">
        <v>221</v>
      </c>
      <c r="C112" s="257"/>
      <c r="D112" s="257"/>
      <c r="E112" s="257"/>
      <c r="F112" s="257"/>
      <c r="G112" s="257"/>
      <c r="H112" s="257"/>
      <c r="I112" s="257"/>
      <c r="J112" s="257"/>
      <c r="K112" s="257"/>
      <c r="L112" s="257"/>
      <c r="M112" s="257"/>
      <c r="N112" s="257"/>
      <c r="O112" s="258"/>
    </row>
    <row r="113" spans="2:15" x14ac:dyDescent="0.25">
      <c r="B113" s="259"/>
      <c r="C113" s="260"/>
      <c r="D113" s="260"/>
      <c r="E113" s="260"/>
      <c r="F113" s="260"/>
      <c r="G113" s="260"/>
      <c r="H113" s="260"/>
      <c r="I113" s="260"/>
      <c r="J113" s="260"/>
      <c r="K113" s="260"/>
      <c r="L113" s="260"/>
      <c r="M113" s="260"/>
      <c r="N113" s="260"/>
      <c r="O113" s="261"/>
    </row>
    <row r="114" spans="2:15" ht="15.75" thickBot="1" x14ac:dyDescent="0.3">
      <c r="B114" s="262"/>
      <c r="C114" s="263"/>
      <c r="D114" s="263"/>
      <c r="E114" s="263"/>
      <c r="F114" s="263"/>
      <c r="G114" s="263"/>
      <c r="H114" s="263"/>
      <c r="I114" s="263"/>
      <c r="J114" s="263"/>
      <c r="K114" s="263"/>
      <c r="L114" s="263"/>
      <c r="M114" s="263"/>
      <c r="N114" s="263"/>
      <c r="O114" s="264"/>
    </row>
  </sheetData>
  <mergeCells count="76">
    <mergeCell ref="B6:B25"/>
    <mergeCell ref="C6:O25"/>
    <mergeCell ref="B27:B41"/>
    <mergeCell ref="D27:J27"/>
    <mergeCell ref="N27:O27"/>
    <mergeCell ref="C28:O41"/>
    <mergeCell ref="B50:B66"/>
    <mergeCell ref="I50:O50"/>
    <mergeCell ref="I51:O51"/>
    <mergeCell ref="E52:I52"/>
    <mergeCell ref="J52:K52"/>
    <mergeCell ref="L52:O52"/>
    <mergeCell ref="C53:D53"/>
    <mergeCell ref="E53:I53"/>
    <mergeCell ref="H54:M54"/>
    <mergeCell ref="G55:I55"/>
    <mergeCell ref="M55:O55"/>
    <mergeCell ref="J56:O56"/>
    <mergeCell ref="D62:L62"/>
    <mergeCell ref="M62:O62"/>
    <mergeCell ref="D63:L63"/>
    <mergeCell ref="M63:O63"/>
    <mergeCell ref="D64:L64"/>
    <mergeCell ref="M64:O64"/>
    <mergeCell ref="D65:L65"/>
    <mergeCell ref="M65:O65"/>
    <mergeCell ref="D66:L66"/>
    <mergeCell ref="M66:O66"/>
    <mergeCell ref="I73:L73"/>
    <mergeCell ref="M73:O73"/>
    <mergeCell ref="C75:F75"/>
    <mergeCell ref="I75:L75"/>
    <mergeCell ref="M75:O75"/>
    <mergeCell ref="M76:O76"/>
    <mergeCell ref="C77:F77"/>
    <mergeCell ref="I77:L77"/>
    <mergeCell ref="M77:O77"/>
    <mergeCell ref="C78:F78"/>
    <mergeCell ref="I78:L78"/>
    <mergeCell ref="M78:O78"/>
    <mergeCell ref="C76:F76"/>
    <mergeCell ref="I76:L76"/>
    <mergeCell ref="C79:F79"/>
    <mergeCell ref="I79:L79"/>
    <mergeCell ref="M79:O79"/>
    <mergeCell ref="C80:F80"/>
    <mergeCell ref="I80:L80"/>
    <mergeCell ref="M80:O80"/>
    <mergeCell ref="C81:F81"/>
    <mergeCell ref="I81:L81"/>
    <mergeCell ref="M81:O81"/>
    <mergeCell ref="C82:F82"/>
    <mergeCell ref="I82:L82"/>
    <mergeCell ref="M82:O82"/>
    <mergeCell ref="C83:F83"/>
    <mergeCell ref="I83:L83"/>
    <mergeCell ref="M83:O83"/>
    <mergeCell ref="C84:F84"/>
    <mergeCell ref="I84:L84"/>
    <mergeCell ref="M84:O84"/>
    <mergeCell ref="F108:H108"/>
    <mergeCell ref="I108:K108"/>
    <mergeCell ref="B112:O114"/>
    <mergeCell ref="C88:H88"/>
    <mergeCell ref="I88:O88"/>
    <mergeCell ref="C94:O94"/>
    <mergeCell ref="B95:B110"/>
    <mergeCell ref="C95:O97"/>
    <mergeCell ref="D99:O100"/>
    <mergeCell ref="D101:O102"/>
    <mergeCell ref="D103:O104"/>
    <mergeCell ref="D106:O107"/>
    <mergeCell ref="C108:E108"/>
    <mergeCell ref="B69:B88"/>
    <mergeCell ref="D71:O71"/>
    <mergeCell ref="D73:H73"/>
  </mergeCells>
  <printOptions horizontalCentered="1"/>
  <pageMargins left="0.7" right="0.7" top="0.75" bottom="0.75" header="0.3" footer="0.3"/>
  <pageSetup orientation="portrait" r:id="rId1"/>
  <headerFooter>
    <oddHeader>&amp;L&amp;F  &amp;P</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X45"/>
  <sheetViews>
    <sheetView topLeftCell="A14" zoomScaleNormal="100" workbookViewId="0">
      <selection activeCell="Y41" sqref="Y41"/>
    </sheetView>
  </sheetViews>
  <sheetFormatPr baseColWidth="10" defaultColWidth="3.7109375" defaultRowHeight="15" customHeight="1" x14ac:dyDescent="0.2"/>
  <cols>
    <col min="1" max="1" width="1.5703125" style="68" customWidth="1"/>
    <col min="2" max="2" width="7.7109375" style="87" customWidth="1"/>
    <col min="3" max="3" width="4" style="68" customWidth="1"/>
    <col min="4" max="4" width="5.85546875" style="68" customWidth="1"/>
    <col min="5" max="5" width="5.42578125" style="68" customWidth="1"/>
    <col min="6" max="7" width="5.140625" style="68" customWidth="1"/>
    <col min="8" max="11" width="3.7109375" style="68"/>
    <col min="12" max="12" width="5.42578125" style="68" customWidth="1"/>
    <col min="13" max="16384" width="3.7109375" style="68"/>
  </cols>
  <sheetData>
    <row r="2" spans="2:24" ht="15" customHeight="1" x14ac:dyDescent="0.2">
      <c r="B2" s="364" t="s">
        <v>0</v>
      </c>
      <c r="C2" s="364"/>
      <c r="D2" s="364"/>
      <c r="E2" s="364"/>
      <c r="F2" s="364"/>
      <c r="G2" s="364"/>
      <c r="H2" s="364"/>
      <c r="I2" s="364"/>
      <c r="J2" s="364"/>
      <c r="K2" s="364"/>
      <c r="L2" s="364"/>
      <c r="M2" s="364"/>
      <c r="N2" s="364"/>
      <c r="O2" s="364"/>
      <c r="P2" s="364"/>
      <c r="Q2" s="364"/>
      <c r="R2" s="364"/>
      <c r="S2" s="364"/>
      <c r="T2" s="364"/>
      <c r="U2" s="364"/>
      <c r="V2" s="364"/>
      <c r="W2" s="364"/>
    </row>
    <row r="3" spans="2:24" ht="15" customHeight="1" x14ac:dyDescent="0.2">
      <c r="B3" s="365" t="s">
        <v>88</v>
      </c>
      <c r="C3" s="365"/>
      <c r="D3" s="365"/>
      <c r="E3" s="365"/>
      <c r="F3" s="365"/>
      <c r="G3" s="365"/>
      <c r="H3" s="365"/>
      <c r="I3" s="365"/>
      <c r="J3" s="365"/>
      <c r="K3" s="365"/>
      <c r="L3" s="365"/>
      <c r="M3" s="365"/>
      <c r="N3" s="365"/>
      <c r="O3" s="365"/>
      <c r="P3" s="365"/>
      <c r="Q3" s="365"/>
      <c r="R3" s="365"/>
      <c r="S3" s="365"/>
      <c r="T3" s="365"/>
      <c r="U3" s="365"/>
      <c r="V3" s="365"/>
      <c r="W3" s="365"/>
    </row>
    <row r="4" spans="2:24" ht="15" customHeight="1" x14ac:dyDescent="0.25">
      <c r="B4" s="354" t="s">
        <v>50</v>
      </c>
      <c r="C4" s="354"/>
      <c r="D4" s="354"/>
      <c r="E4" s="354"/>
      <c r="F4" s="354"/>
      <c r="G4" s="354"/>
      <c r="H4" s="354"/>
      <c r="I4" s="354"/>
      <c r="J4" s="354"/>
      <c r="K4" s="354"/>
      <c r="L4" s="354"/>
      <c r="M4" s="354"/>
      <c r="N4" s="354"/>
      <c r="O4" s="354"/>
      <c r="P4" s="354"/>
      <c r="Q4" s="354"/>
      <c r="R4" s="354"/>
      <c r="S4" s="354"/>
      <c r="T4" s="354"/>
      <c r="U4" s="354"/>
      <c r="V4" s="354"/>
      <c r="W4" s="354"/>
    </row>
    <row r="5" spans="2:24" ht="15" customHeight="1" x14ac:dyDescent="0.25">
      <c r="B5" s="366" t="s">
        <v>51</v>
      </c>
      <c r="C5" s="366"/>
      <c r="D5" s="366"/>
      <c r="E5" s="366"/>
      <c r="F5" s="366"/>
      <c r="G5" s="366"/>
      <c r="H5" s="366"/>
      <c r="I5" s="366"/>
      <c r="J5" s="366"/>
      <c r="K5" s="366"/>
      <c r="L5" s="366"/>
      <c r="M5" s="366"/>
      <c r="N5" s="366"/>
      <c r="O5" s="366"/>
      <c r="P5" s="366"/>
      <c r="Q5" s="366"/>
      <c r="R5" s="366"/>
      <c r="S5" s="366"/>
      <c r="T5" s="366"/>
      <c r="U5" s="366"/>
      <c r="V5" s="366"/>
      <c r="W5" s="366"/>
    </row>
    <row r="6" spans="2:24" ht="15" customHeight="1" x14ac:dyDescent="0.2">
      <c r="B6" s="367" t="s">
        <v>52</v>
      </c>
      <c r="C6" s="367"/>
      <c r="D6" s="367"/>
      <c r="E6" s="367"/>
      <c r="F6" s="367"/>
      <c r="G6" s="367"/>
      <c r="H6" s="367"/>
      <c r="I6" s="367"/>
      <c r="J6" s="367"/>
      <c r="K6" s="367"/>
      <c r="L6" s="367"/>
      <c r="M6" s="367"/>
      <c r="N6" s="367"/>
      <c r="O6" s="367"/>
      <c r="P6" s="367"/>
      <c r="Q6" s="367"/>
      <c r="R6" s="367"/>
      <c r="S6" s="367"/>
      <c r="T6" s="367"/>
      <c r="U6" s="367"/>
      <c r="V6" s="367"/>
      <c r="W6" s="367"/>
      <c r="X6" s="367"/>
    </row>
    <row r="7" spans="2:24" ht="15" customHeight="1" x14ac:dyDescent="0.2">
      <c r="B7" s="88" t="s">
        <v>53</v>
      </c>
      <c r="G7" s="375">
        <f>+FORMULARIO!H8</f>
        <v>0</v>
      </c>
      <c r="H7" s="375"/>
      <c r="I7" s="375"/>
      <c r="J7" s="375"/>
      <c r="K7" s="375"/>
      <c r="L7" s="375"/>
      <c r="M7" s="375"/>
      <c r="N7" s="375"/>
      <c r="O7" s="375"/>
      <c r="P7" s="375"/>
      <c r="Q7" s="375"/>
      <c r="R7" s="344" t="s">
        <v>238</v>
      </c>
      <c r="S7" s="344"/>
      <c r="T7" s="344"/>
      <c r="U7" s="374">
        <f>+FORMULARIO!X8</f>
        <v>0</v>
      </c>
      <c r="V7" s="374"/>
      <c r="W7" s="374"/>
      <c r="X7" s="374"/>
    </row>
    <row r="8" spans="2:24" ht="15" customHeight="1" x14ac:dyDescent="0.2">
      <c r="B8" s="88" t="s">
        <v>54</v>
      </c>
      <c r="C8" s="67"/>
      <c r="D8" s="249">
        <f>+FORMULARIO!H11</f>
        <v>0</v>
      </c>
      <c r="E8" s="249"/>
      <c r="F8" s="249"/>
      <c r="G8" s="249"/>
      <c r="H8" s="249"/>
      <c r="I8" s="249"/>
      <c r="J8" s="249"/>
      <c r="K8" s="249"/>
      <c r="L8" s="249"/>
      <c r="M8" s="249"/>
      <c r="N8" s="249"/>
      <c r="O8" s="249"/>
      <c r="P8" s="249"/>
      <c r="Q8" s="249"/>
      <c r="R8" s="249"/>
      <c r="S8" s="249"/>
      <c r="T8" s="249"/>
      <c r="U8" s="249"/>
      <c r="V8" s="249"/>
      <c r="W8" s="249"/>
      <c r="X8" s="249"/>
    </row>
    <row r="9" spans="2:24" ht="29.25" customHeight="1" x14ac:dyDescent="0.2">
      <c r="B9" s="88" t="s">
        <v>55</v>
      </c>
      <c r="G9" s="372">
        <f>+FORMULARIO!G15</f>
        <v>0</v>
      </c>
      <c r="H9" s="373"/>
      <c r="I9" s="373"/>
      <c r="J9" s="373"/>
      <c r="K9" s="373"/>
      <c r="L9" s="373"/>
      <c r="M9" s="373"/>
      <c r="N9" s="373"/>
      <c r="O9" s="88" t="s">
        <v>254</v>
      </c>
      <c r="P9" s="195"/>
      <c r="Q9" s="371" t="e">
        <f>VLOOKUP(G9,PARAMETROS!B47:C48,2,FALSE)</f>
        <v>#N/A</v>
      </c>
      <c r="R9" s="371"/>
      <c r="S9" s="371"/>
      <c r="T9" s="371"/>
      <c r="U9" s="371"/>
      <c r="V9" s="371"/>
      <c r="W9" s="371"/>
      <c r="X9" s="371"/>
    </row>
    <row r="10" spans="2:24" ht="15" customHeight="1" x14ac:dyDescent="0.2">
      <c r="B10" s="68"/>
      <c r="G10" s="196"/>
      <c r="H10" s="196"/>
      <c r="I10" s="196"/>
      <c r="J10" s="196"/>
      <c r="K10" s="196"/>
      <c r="L10" s="196"/>
      <c r="M10" s="196"/>
      <c r="N10" s="196"/>
      <c r="O10" s="196"/>
      <c r="P10" s="196"/>
      <c r="Q10" s="196"/>
      <c r="R10" s="196"/>
      <c r="S10" s="196"/>
      <c r="T10" s="196"/>
      <c r="U10" s="196"/>
      <c r="V10" s="196"/>
      <c r="W10" s="196"/>
      <c r="X10" s="196"/>
    </row>
    <row r="11" spans="2:24" ht="15" customHeight="1" thickBot="1" x14ac:dyDescent="0.25">
      <c r="B11" s="369" t="s">
        <v>58</v>
      </c>
      <c r="C11" s="369"/>
      <c r="D11" s="369"/>
      <c r="E11" s="369"/>
      <c r="F11" s="369"/>
      <c r="G11" s="369"/>
      <c r="H11" s="369"/>
      <c r="I11" s="369"/>
      <c r="J11" s="369"/>
      <c r="K11" s="369"/>
      <c r="L11" s="369"/>
      <c r="M11" s="369"/>
      <c r="N11" s="369"/>
      <c r="O11" s="369"/>
      <c r="P11" s="369"/>
      <c r="Q11" s="369"/>
      <c r="R11" s="369"/>
      <c r="S11" s="369"/>
      <c r="T11" s="369"/>
      <c r="U11" s="369"/>
      <c r="V11" s="369"/>
      <c r="W11" s="369"/>
      <c r="X11" s="369"/>
    </row>
    <row r="12" spans="2:24" s="93" customFormat="1" ht="30" customHeight="1" thickBot="1" x14ac:dyDescent="0.25">
      <c r="B12" s="92" t="s">
        <v>59</v>
      </c>
      <c r="C12" s="383" t="s">
        <v>60</v>
      </c>
      <c r="D12" s="383"/>
      <c r="E12" s="383"/>
      <c r="F12" s="383"/>
      <c r="G12" s="383"/>
      <c r="H12" s="383"/>
      <c r="I12" s="383"/>
      <c r="J12" s="383"/>
      <c r="K12" s="383" t="s">
        <v>61</v>
      </c>
      <c r="L12" s="383"/>
      <c r="M12" s="383"/>
      <c r="N12" s="382" t="s">
        <v>62</v>
      </c>
      <c r="O12" s="382"/>
      <c r="P12" s="382"/>
      <c r="Q12" s="382" t="s">
        <v>63</v>
      </c>
      <c r="R12" s="382"/>
      <c r="S12" s="382"/>
      <c r="T12" s="383" t="s">
        <v>64</v>
      </c>
      <c r="U12" s="383"/>
      <c r="V12" s="383"/>
      <c r="W12" s="383"/>
      <c r="X12" s="384"/>
    </row>
    <row r="13" spans="2:24" ht="15" customHeight="1" thickBot="1" x14ac:dyDescent="0.25">
      <c r="B13" s="193" t="s">
        <v>65</v>
      </c>
      <c r="C13" s="386" t="s">
        <v>122</v>
      </c>
      <c r="D13" s="386"/>
      <c r="E13" s="386"/>
      <c r="F13" s="386"/>
      <c r="G13" s="386"/>
      <c r="H13" s="386"/>
      <c r="I13" s="386"/>
      <c r="J13" s="386"/>
      <c r="K13" s="370">
        <f>VLOOKUP(C13,PARAMETROS!B6:D14,2,0)</f>
        <v>421970.02</v>
      </c>
      <c r="L13" s="370"/>
      <c r="M13" s="370"/>
      <c r="N13" s="370">
        <f>+K13*B13</f>
        <v>421970.02</v>
      </c>
      <c r="O13" s="370"/>
      <c r="P13" s="370"/>
      <c r="Q13" s="370">
        <f>+N13*31.36%</f>
        <v>132329.79827200001</v>
      </c>
      <c r="R13" s="370"/>
      <c r="S13" s="370"/>
      <c r="T13" s="370">
        <f>+ROUND(Q13+N13,0)</f>
        <v>554300</v>
      </c>
      <c r="U13" s="385"/>
      <c r="V13" s="385"/>
      <c r="W13" s="385"/>
      <c r="X13" s="385"/>
    </row>
    <row r="14" spans="2:24" ht="15" customHeight="1" thickBot="1" x14ac:dyDescent="0.25">
      <c r="B14" s="368" t="s">
        <v>67</v>
      </c>
      <c r="C14" s="368"/>
      <c r="D14" s="368"/>
      <c r="E14" s="368"/>
      <c r="F14" s="368"/>
      <c r="G14" s="368"/>
      <c r="H14" s="368"/>
      <c r="I14" s="368"/>
      <c r="J14" s="368"/>
      <c r="K14" s="368"/>
      <c r="L14" s="368"/>
      <c r="M14" s="368"/>
      <c r="N14" s="368"/>
      <c r="O14" s="368"/>
      <c r="P14" s="368"/>
      <c r="Q14" s="368"/>
      <c r="R14" s="368"/>
      <c r="S14" s="368"/>
      <c r="T14" s="387">
        <f>SUM(T13:X13)*12</f>
        <v>6651600</v>
      </c>
      <c r="U14" s="388"/>
      <c r="V14" s="388"/>
      <c r="W14" s="388"/>
      <c r="X14" s="389"/>
    </row>
    <row r="15" spans="2:24" s="94" customFormat="1" ht="15" customHeight="1" x14ac:dyDescent="0.25">
      <c r="B15" s="369" t="s">
        <v>68</v>
      </c>
      <c r="C15" s="369"/>
      <c r="D15" s="369"/>
      <c r="E15" s="369"/>
      <c r="F15" s="369"/>
      <c r="G15" s="369"/>
      <c r="H15" s="369"/>
      <c r="I15" s="369"/>
      <c r="J15" s="369"/>
      <c r="K15" s="369"/>
      <c r="L15" s="369"/>
      <c r="M15" s="369"/>
      <c r="N15" s="369"/>
      <c r="O15" s="369"/>
      <c r="P15" s="369"/>
      <c r="Q15" s="369"/>
      <c r="R15" s="369"/>
      <c r="S15" s="369"/>
      <c r="T15" s="369"/>
      <c r="U15" s="369"/>
      <c r="V15" s="369"/>
      <c r="W15" s="369"/>
      <c r="X15" s="369"/>
    </row>
    <row r="16" spans="2:24" s="94" customFormat="1" ht="15" customHeight="1" x14ac:dyDescent="0.25">
      <c r="B16" s="337" t="s">
        <v>8</v>
      </c>
      <c r="C16" s="338"/>
      <c r="D16" s="338"/>
      <c r="E16" s="338"/>
      <c r="F16" s="338"/>
      <c r="G16" s="339"/>
      <c r="H16" s="332" t="s">
        <v>237</v>
      </c>
      <c r="I16" s="332"/>
      <c r="J16" s="332"/>
      <c r="K16" s="332"/>
      <c r="L16" s="332"/>
      <c r="M16" s="332"/>
      <c r="N16" s="332"/>
      <c r="O16" s="332"/>
      <c r="P16" s="332"/>
      <c r="Q16" s="332" t="s">
        <v>235</v>
      </c>
      <c r="R16" s="332"/>
      <c r="S16" s="332"/>
      <c r="T16" s="118"/>
      <c r="U16" s="118"/>
      <c r="V16" s="118"/>
      <c r="W16" s="118"/>
      <c r="X16" s="118"/>
    </row>
    <row r="17" spans="2:24" s="94" customFormat="1" ht="15" customHeight="1" x14ac:dyDescent="0.25">
      <c r="B17" s="334" t="s">
        <v>236</v>
      </c>
      <c r="C17" s="335"/>
      <c r="D17" s="335"/>
      <c r="E17" s="335"/>
      <c r="F17" s="335"/>
      <c r="G17" s="336"/>
      <c r="H17" s="333">
        <f>+FORMULARIO!W17</f>
        <v>0</v>
      </c>
      <c r="I17" s="333"/>
      <c r="J17" s="333"/>
      <c r="K17" s="333"/>
      <c r="L17" s="333"/>
      <c r="M17" s="333"/>
      <c r="N17" s="333"/>
      <c r="O17" s="333"/>
      <c r="P17" s="333"/>
      <c r="Q17" s="333" t="e">
        <f>VLOOKUP(H17,PARAMETROS!G5:I7,2,0)</f>
        <v>#N/A</v>
      </c>
      <c r="R17" s="333"/>
      <c r="S17" s="333"/>
      <c r="T17" s="118"/>
      <c r="U17" s="118"/>
      <c r="V17" s="118"/>
      <c r="W17" s="118"/>
      <c r="X17" s="118"/>
    </row>
    <row r="18" spans="2:24" s="94" customFormat="1" ht="15" customHeight="1" x14ac:dyDescent="0.25">
      <c r="B18" s="334" t="s">
        <v>69</v>
      </c>
      <c r="C18" s="335"/>
      <c r="D18" s="335"/>
      <c r="E18" s="335"/>
      <c r="F18" s="335"/>
      <c r="G18" s="336"/>
      <c r="H18" s="333">
        <f>+FORMULARIO!G16</f>
        <v>0</v>
      </c>
      <c r="I18" s="333"/>
      <c r="J18" s="333"/>
      <c r="K18" s="333"/>
      <c r="L18" s="333"/>
      <c r="M18" s="333"/>
      <c r="N18" s="333"/>
      <c r="O18" s="333"/>
      <c r="P18" s="333"/>
      <c r="Q18" s="333" t="e">
        <f>VLOOKUP(H18,PARAMETROS!G9:I11,2,0)</f>
        <v>#N/A</v>
      </c>
      <c r="R18" s="333"/>
      <c r="S18" s="333"/>
      <c r="T18" s="118"/>
      <c r="U18" s="118"/>
      <c r="V18" s="118"/>
      <c r="W18" s="118"/>
      <c r="X18" s="118"/>
    </row>
    <row r="19" spans="2:24" s="94" customFormat="1" ht="15" customHeight="1" x14ac:dyDescent="0.25">
      <c r="B19" s="334" t="s">
        <v>70</v>
      </c>
      <c r="C19" s="335"/>
      <c r="D19" s="335"/>
      <c r="E19" s="335"/>
      <c r="F19" s="335"/>
      <c r="G19" s="336"/>
      <c r="H19" s="333">
        <f>+FORMULARIO!I17</f>
        <v>0</v>
      </c>
      <c r="I19" s="333"/>
      <c r="J19" s="333"/>
      <c r="K19" s="333"/>
      <c r="L19" s="333"/>
      <c r="M19" s="333"/>
      <c r="N19" s="333"/>
      <c r="O19" s="333"/>
      <c r="P19" s="333"/>
      <c r="Q19" s="333" t="e">
        <f>VLOOKUP(H19,PARAMETROS!G14:I82,2,0)</f>
        <v>#N/A</v>
      </c>
      <c r="R19" s="333"/>
      <c r="S19" s="333"/>
      <c r="T19" s="118"/>
      <c r="U19" s="118"/>
      <c r="V19" s="118"/>
      <c r="W19" s="118"/>
      <c r="X19" s="118"/>
    </row>
    <row r="20" spans="2:24" ht="15" customHeight="1" x14ac:dyDescent="0.25">
      <c r="B20" s="95" t="s">
        <v>71</v>
      </c>
      <c r="C20" s="111"/>
      <c r="D20" s="94"/>
      <c r="E20" s="347" t="e">
        <f>SUM(Q17:S19)</f>
        <v>#N/A</v>
      </c>
      <c r="F20" s="347"/>
      <c r="G20" s="347"/>
      <c r="H20" s="347"/>
    </row>
    <row r="21" spans="2:24" ht="15" customHeight="1" x14ac:dyDescent="0.25">
      <c r="B21" s="95" t="s">
        <v>72</v>
      </c>
      <c r="C21" s="96"/>
      <c r="D21" s="94"/>
    </row>
    <row r="22" spans="2:24" ht="15" customHeight="1" thickBot="1" x14ac:dyDescent="0.25">
      <c r="B22" s="87" t="s">
        <v>73</v>
      </c>
      <c r="C22" s="96"/>
      <c r="D22" s="347" t="e">
        <f>+T14*(1+(E20/90))</f>
        <v>#N/A</v>
      </c>
      <c r="E22" s="347"/>
      <c r="F22" s="347"/>
      <c r="G22" s="347"/>
      <c r="H22" s="347"/>
    </row>
    <row r="23" spans="2:24" ht="15" customHeight="1" thickBot="1" x14ac:dyDescent="0.3">
      <c r="B23" s="95" t="s">
        <v>74</v>
      </c>
      <c r="F23" s="194">
        <v>3</v>
      </c>
      <c r="G23" s="112"/>
      <c r="H23" s="355">
        <f>(100%/(F23-1))</f>
        <v>0.5</v>
      </c>
      <c r="I23" s="355"/>
      <c r="J23" s="355"/>
      <c r="K23" s="97"/>
    </row>
    <row r="24" spans="2:24" ht="15" customHeight="1" x14ac:dyDescent="0.25">
      <c r="B24" s="95" t="s">
        <v>75</v>
      </c>
      <c r="E24" s="98"/>
      <c r="F24" s="98"/>
      <c r="G24" s="347" t="e">
        <f>+(D22/(F23-1))*F23</f>
        <v>#N/A</v>
      </c>
      <c r="H24" s="347"/>
      <c r="I24" s="347"/>
      <c r="J24" s="347"/>
      <c r="K24" s="345" t="e">
        <f>+G24/12</f>
        <v>#N/A</v>
      </c>
      <c r="L24" s="345"/>
      <c r="M24" s="345"/>
      <c r="N24" s="345"/>
      <c r="O24" s="346" t="s">
        <v>76</v>
      </c>
      <c r="P24" s="346"/>
    </row>
    <row r="25" spans="2:24" ht="15" customHeight="1" x14ac:dyDescent="0.25">
      <c r="B25" s="99" t="s">
        <v>77</v>
      </c>
      <c r="C25" s="96"/>
      <c r="G25" s="96"/>
      <c r="H25" s="100"/>
    </row>
    <row r="26" spans="2:24" ht="15" customHeight="1" x14ac:dyDescent="0.25">
      <c r="B26" s="95" t="s">
        <v>78</v>
      </c>
      <c r="G26" s="347" t="e">
        <f>+G24-D22</f>
        <v>#N/A</v>
      </c>
      <c r="H26" s="347"/>
      <c r="I26" s="347"/>
      <c r="J26" s="347"/>
      <c r="K26" s="350" t="e">
        <f>+G26/D22</f>
        <v>#N/A</v>
      </c>
      <c r="L26" s="350"/>
    </row>
    <row r="27" spans="2:24" ht="15" customHeight="1" x14ac:dyDescent="0.25">
      <c r="B27" s="95" t="s">
        <v>79</v>
      </c>
      <c r="F27" s="347" t="e">
        <f>+ROUND(+G24*(1.75/1000),0)</f>
        <v>#N/A</v>
      </c>
      <c r="G27" s="347"/>
      <c r="H27" s="347"/>
      <c r="I27" s="347"/>
      <c r="J27" s="347"/>
    </row>
    <row r="28" spans="2:24" ht="15" customHeight="1" x14ac:dyDescent="0.3">
      <c r="B28" s="95" t="s">
        <v>80</v>
      </c>
      <c r="C28" s="96"/>
      <c r="F28" s="356" t="e">
        <f>+ROUND(SUM(F27:F27)/4,0)</f>
        <v>#N/A</v>
      </c>
      <c r="G28" s="356"/>
      <c r="H28" s="356"/>
      <c r="I28" s="356"/>
      <c r="J28" s="356"/>
    </row>
    <row r="29" spans="2:24" ht="15" customHeight="1" x14ac:dyDescent="0.3">
      <c r="B29" s="95" t="s">
        <v>81</v>
      </c>
      <c r="G29" s="357" t="s">
        <v>240</v>
      </c>
      <c r="H29" s="357"/>
      <c r="I29" s="357"/>
    </row>
    <row r="30" spans="2:24" ht="15" customHeight="1" x14ac:dyDescent="0.2">
      <c r="F30" s="101"/>
      <c r="G30" s="101"/>
    </row>
    <row r="31" spans="2:24" ht="15" customHeight="1" thickBot="1" x14ac:dyDescent="0.25">
      <c r="B31" s="344" t="s">
        <v>56</v>
      </c>
      <c r="C31" s="344"/>
      <c r="D31" s="344"/>
      <c r="E31" s="344"/>
      <c r="F31" s="344" t="s">
        <v>57</v>
      </c>
      <c r="G31" s="344"/>
      <c r="H31" s="344"/>
      <c r="I31" s="344"/>
      <c r="J31" s="344"/>
      <c r="K31" s="344"/>
      <c r="L31" s="344"/>
      <c r="M31" s="344"/>
      <c r="N31" s="344"/>
      <c r="O31" s="344"/>
      <c r="P31" s="344"/>
      <c r="Q31" s="344"/>
      <c r="R31" s="344"/>
      <c r="S31" s="344"/>
      <c r="T31" s="344"/>
      <c r="U31" s="344"/>
      <c r="V31" s="344"/>
      <c r="W31" s="344"/>
      <c r="X31" s="344"/>
    </row>
    <row r="32" spans="2:24" ht="15" customHeight="1" thickBot="1" x14ac:dyDescent="0.35">
      <c r="B32" s="358" t="e">
        <f>+Q9</f>
        <v>#N/A</v>
      </c>
      <c r="C32" s="359"/>
      <c r="D32" s="359"/>
      <c r="E32" s="360"/>
      <c r="F32" s="341">
        <f>+G9</f>
        <v>0</v>
      </c>
      <c r="G32" s="341"/>
      <c r="H32" s="341"/>
      <c r="I32" s="341"/>
      <c r="J32" s="341"/>
      <c r="K32" s="341"/>
      <c r="L32" s="341"/>
      <c r="M32" s="341"/>
      <c r="N32" s="341"/>
      <c r="O32" s="341"/>
      <c r="P32" s="341"/>
      <c r="Q32" s="341"/>
      <c r="R32" s="341"/>
      <c r="S32" s="342" t="e">
        <f>+F28/H36</f>
        <v>#N/A</v>
      </c>
      <c r="T32" s="342"/>
      <c r="U32" s="342"/>
      <c r="V32" s="342"/>
      <c r="W32" s="342"/>
      <c r="X32" s="343"/>
    </row>
    <row r="33" spans="2:24" ht="15" customHeight="1" thickBot="1" x14ac:dyDescent="0.35">
      <c r="B33" s="89"/>
      <c r="C33" s="89"/>
      <c r="D33" s="89"/>
      <c r="E33" s="90"/>
      <c r="F33" s="91"/>
      <c r="G33" s="91"/>
      <c r="H33" s="91"/>
      <c r="I33" s="91"/>
      <c r="J33" s="91"/>
      <c r="K33" s="91"/>
      <c r="L33" s="91"/>
      <c r="M33" s="91"/>
      <c r="N33" s="91"/>
      <c r="O33" s="91"/>
      <c r="P33" s="91"/>
      <c r="Q33" s="91"/>
      <c r="R33" s="91"/>
      <c r="S33" s="110"/>
      <c r="T33" s="110"/>
      <c r="U33" s="110"/>
      <c r="V33" s="110"/>
      <c r="W33" s="110"/>
      <c r="X33" s="110"/>
    </row>
    <row r="34" spans="2:24" ht="15" customHeight="1" thickBot="1" x14ac:dyDescent="0.35">
      <c r="B34" s="361" t="s">
        <v>239</v>
      </c>
      <c r="C34" s="362"/>
      <c r="D34" s="362"/>
      <c r="E34" s="363"/>
      <c r="F34" s="341" t="s">
        <v>82</v>
      </c>
      <c r="G34" s="341"/>
      <c r="H34" s="341"/>
      <c r="I34" s="341"/>
      <c r="J34" s="341"/>
      <c r="K34" s="341"/>
      <c r="L34" s="341"/>
      <c r="M34" s="341"/>
      <c r="N34" s="341"/>
      <c r="O34" s="341"/>
      <c r="P34" s="341"/>
      <c r="Q34" s="341"/>
      <c r="R34" s="341"/>
      <c r="S34" s="342" t="e">
        <f>+ROUND(F28*2%,0)</f>
        <v>#N/A</v>
      </c>
      <c r="T34" s="342"/>
      <c r="U34" s="342"/>
      <c r="V34" s="342"/>
      <c r="W34" s="342"/>
      <c r="X34" s="343"/>
    </row>
    <row r="35" spans="2:24" ht="15" customHeight="1" thickBot="1" x14ac:dyDescent="0.35">
      <c r="B35" s="89"/>
      <c r="C35" s="89"/>
      <c r="D35" s="89"/>
      <c r="E35" s="90"/>
      <c r="F35" s="91"/>
      <c r="G35" s="91"/>
      <c r="H35" s="91"/>
      <c r="I35" s="91"/>
      <c r="J35" s="91"/>
      <c r="K35" s="91"/>
      <c r="L35" s="91"/>
      <c r="M35" s="91"/>
      <c r="N35" s="91"/>
      <c r="O35" s="91"/>
      <c r="P35" s="91"/>
      <c r="Q35" s="91"/>
      <c r="R35" s="91"/>
      <c r="S35" s="110"/>
      <c r="T35" s="110"/>
      <c r="U35" s="110"/>
      <c r="V35" s="110"/>
      <c r="W35" s="110"/>
      <c r="X35" s="110"/>
    </row>
    <row r="36" spans="2:24" ht="20.100000000000001" customHeight="1" thickBot="1" x14ac:dyDescent="0.3">
      <c r="B36" s="95" t="s">
        <v>83</v>
      </c>
      <c r="G36" s="96"/>
      <c r="H36" s="102">
        <v>1</v>
      </c>
      <c r="J36" s="103"/>
      <c r="K36" s="103"/>
      <c r="L36" s="103"/>
      <c r="M36" s="103"/>
      <c r="N36" s="103"/>
      <c r="O36" s="104"/>
      <c r="P36" s="104"/>
      <c r="Q36" s="104"/>
      <c r="R36" s="104"/>
      <c r="S36" s="104"/>
      <c r="T36" s="104"/>
      <c r="U36" s="104"/>
      <c r="V36" s="104"/>
      <c r="W36" s="104"/>
      <c r="X36" s="104"/>
    </row>
    <row r="37" spans="2:24" ht="15" customHeight="1" thickBot="1" x14ac:dyDescent="0.3">
      <c r="B37" s="354" t="s">
        <v>84</v>
      </c>
      <c r="C37" s="354"/>
      <c r="D37" s="354"/>
      <c r="E37" s="349">
        <f>+FORMULARIO!M36</f>
        <v>0</v>
      </c>
      <c r="F37" s="349"/>
      <c r="G37" s="349"/>
      <c r="H37" s="349"/>
      <c r="I37" s="349"/>
      <c r="J37" s="349"/>
      <c r="K37" s="349"/>
    </row>
    <row r="38" spans="2:24" ht="15" customHeight="1" thickBot="1" x14ac:dyDescent="0.3">
      <c r="B38" s="95" t="s">
        <v>49</v>
      </c>
      <c r="C38" s="351">
        <f ca="1">+FORMULARIO!D37</f>
        <v>45349.498785532407</v>
      </c>
      <c r="D38" s="352"/>
      <c r="E38" s="352"/>
      <c r="F38" s="352"/>
      <c r="G38" s="352"/>
      <c r="H38" s="352"/>
      <c r="I38" s="352"/>
      <c r="J38" s="353"/>
    </row>
    <row r="39" spans="2:24" ht="15" customHeight="1" thickBot="1" x14ac:dyDescent="0.3">
      <c r="B39" s="348" t="s">
        <v>85</v>
      </c>
      <c r="C39" s="348"/>
      <c r="D39" s="348"/>
      <c r="E39" s="349" t="s">
        <v>108</v>
      </c>
      <c r="F39" s="349"/>
      <c r="G39" s="349"/>
      <c r="H39" s="349"/>
      <c r="I39" s="349"/>
      <c r="J39" s="349"/>
      <c r="K39" s="349"/>
    </row>
    <row r="40" spans="2:24" ht="15" customHeight="1" thickBot="1" x14ac:dyDescent="0.3">
      <c r="B40" s="95" t="s">
        <v>49</v>
      </c>
      <c r="C40" s="351">
        <f ca="1">NOW()</f>
        <v>45349.498785532407</v>
      </c>
      <c r="D40" s="352"/>
      <c r="E40" s="352"/>
      <c r="F40" s="352"/>
      <c r="G40" s="352"/>
      <c r="H40" s="352"/>
      <c r="I40" s="352"/>
      <c r="J40" s="353"/>
    </row>
    <row r="41" spans="2:24" ht="15" customHeight="1" thickBot="1" x14ac:dyDescent="0.3">
      <c r="B41" s="348" t="s">
        <v>86</v>
      </c>
      <c r="C41" s="348"/>
      <c r="D41" s="348"/>
      <c r="E41" s="349" t="s">
        <v>87</v>
      </c>
      <c r="F41" s="349"/>
      <c r="G41" s="349"/>
      <c r="H41" s="349"/>
      <c r="I41" s="349"/>
      <c r="J41" s="349"/>
      <c r="K41" s="349"/>
    </row>
    <row r="42" spans="2:24" ht="15" customHeight="1" thickBot="1" x14ac:dyDescent="0.3">
      <c r="B42" s="95" t="s">
        <v>49</v>
      </c>
      <c r="C42" s="351">
        <f ca="1">+C40</f>
        <v>45349.498785532407</v>
      </c>
      <c r="D42" s="352"/>
      <c r="E42" s="352"/>
      <c r="F42" s="352"/>
      <c r="G42" s="352"/>
      <c r="H42" s="352"/>
      <c r="I42" s="352"/>
      <c r="J42" s="353"/>
    </row>
    <row r="43" spans="2:24" ht="15" customHeight="1" thickBot="1" x14ac:dyDescent="0.3">
      <c r="B43" s="95"/>
    </row>
    <row r="44" spans="2:24" ht="20.25" customHeight="1" thickBot="1" x14ac:dyDescent="0.35">
      <c r="C44" s="105"/>
      <c r="D44" s="376">
        <f>+FORMULARIO!H8</f>
        <v>0</v>
      </c>
      <c r="E44" s="377"/>
      <c r="F44" s="377"/>
      <c r="G44" s="377"/>
      <c r="H44" s="377"/>
      <c r="I44" s="377"/>
      <c r="J44" s="377"/>
      <c r="K44" s="377"/>
      <c r="L44" s="377"/>
      <c r="M44" s="377"/>
      <c r="N44" s="378"/>
      <c r="O44" s="379">
        <f>+G9</f>
        <v>0</v>
      </c>
      <c r="P44" s="380"/>
      <c r="Q44" s="380"/>
      <c r="R44" s="380"/>
      <c r="S44" s="380"/>
      <c r="T44" s="380"/>
      <c r="U44" s="381"/>
    </row>
    <row r="45" spans="2:24" ht="15" customHeight="1" x14ac:dyDescent="0.25">
      <c r="B45" s="340"/>
      <c r="C45" s="340"/>
      <c r="D45" s="340"/>
      <c r="E45" s="340"/>
      <c r="F45" s="340"/>
      <c r="G45" s="340"/>
      <c r="H45" s="340"/>
      <c r="I45" s="106"/>
    </row>
  </sheetData>
  <protectedRanges>
    <protectedRange sqref="G7 U7 H36 B13:C13 F23 G29" name="Rango1"/>
  </protectedRanges>
  <mergeCells count="68">
    <mergeCell ref="D44:N44"/>
    <mergeCell ref="O44:U44"/>
    <mergeCell ref="Q12:S12"/>
    <mergeCell ref="T12:X12"/>
    <mergeCell ref="B11:X11"/>
    <mergeCell ref="K12:M12"/>
    <mergeCell ref="N12:P12"/>
    <mergeCell ref="C12:J12"/>
    <mergeCell ref="B41:D41"/>
    <mergeCell ref="E41:K41"/>
    <mergeCell ref="C42:J42"/>
    <mergeCell ref="Q13:S13"/>
    <mergeCell ref="T13:X13"/>
    <mergeCell ref="C13:J13"/>
    <mergeCell ref="K13:M13"/>
    <mergeCell ref="T14:X14"/>
    <mergeCell ref="B14:S14"/>
    <mergeCell ref="B15:X15"/>
    <mergeCell ref="R7:T7"/>
    <mergeCell ref="N13:P13"/>
    <mergeCell ref="Q9:X9"/>
    <mergeCell ref="G9:N9"/>
    <mergeCell ref="U7:X7"/>
    <mergeCell ref="G7:Q7"/>
    <mergeCell ref="B2:W2"/>
    <mergeCell ref="B3:W3"/>
    <mergeCell ref="B4:W4"/>
    <mergeCell ref="B5:W5"/>
    <mergeCell ref="B6:X6"/>
    <mergeCell ref="C40:J40"/>
    <mergeCell ref="B37:D37"/>
    <mergeCell ref="D22:H22"/>
    <mergeCell ref="G24:J24"/>
    <mergeCell ref="H23:J23"/>
    <mergeCell ref="B31:E31"/>
    <mergeCell ref="C38:J38"/>
    <mergeCell ref="F28:J28"/>
    <mergeCell ref="G29:I29"/>
    <mergeCell ref="B32:E32"/>
    <mergeCell ref="B34:E34"/>
    <mergeCell ref="B45:H45"/>
    <mergeCell ref="D8:X8"/>
    <mergeCell ref="F34:R34"/>
    <mergeCell ref="S34:X34"/>
    <mergeCell ref="F32:R32"/>
    <mergeCell ref="S32:X32"/>
    <mergeCell ref="F31:X31"/>
    <mergeCell ref="K24:N24"/>
    <mergeCell ref="O24:P24"/>
    <mergeCell ref="G26:J26"/>
    <mergeCell ref="B39:D39"/>
    <mergeCell ref="E37:K37"/>
    <mergeCell ref="E39:K39"/>
    <mergeCell ref="F27:J27"/>
    <mergeCell ref="K26:L26"/>
    <mergeCell ref="E20:H20"/>
    <mergeCell ref="Q16:S16"/>
    <mergeCell ref="Q17:S17"/>
    <mergeCell ref="Q18:S18"/>
    <mergeCell ref="Q19:S19"/>
    <mergeCell ref="B17:G17"/>
    <mergeCell ref="B18:G18"/>
    <mergeCell ref="B19:G19"/>
    <mergeCell ref="H17:P17"/>
    <mergeCell ref="H18:P18"/>
    <mergeCell ref="H19:P19"/>
    <mergeCell ref="B16:G16"/>
    <mergeCell ref="H16:P16"/>
  </mergeCells>
  <phoneticPr fontId="0" type="noConversion"/>
  <printOptions horizontalCentered="1"/>
  <pageMargins left="0" right="0" top="0.55118110236220474" bottom="0" header="0.23622047244094491" footer="0"/>
  <pageSetup orientation="portrait" verticalDpi="144" r:id="rId1"/>
  <headerFooter alignWithMargins="0">
    <oddHeader>&amp;L&amp;F  &amp;D  &amp;P</oddHeader>
  </headerFooter>
  <drawing r:id="rId2"/>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00000000-0002-0000-0200-000000000000}">
          <x14:formula1>
            <xm:f>PARAMETROS!$B$17:$B$28</xm:f>
          </x14:formula1>
          <xm:sqref>E39:K39 E41:K41</xm:sqref>
        </x14:dataValidation>
        <x14:dataValidation type="list" allowBlank="1" showInputMessage="1" showErrorMessage="1" xr:uid="{C8007FE8-CF28-42C2-83EE-7A9FF8BC0BA2}">
          <x14:formula1>
            <xm:f>PARAMETROS!$B$5:$B$13</xm:f>
          </x14:formula1>
          <xm:sqref>C13:J13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AB46"/>
  <sheetViews>
    <sheetView zoomScale="125" workbookViewId="0">
      <selection activeCell="AG39" sqref="AG39"/>
    </sheetView>
  </sheetViews>
  <sheetFormatPr baseColWidth="10" defaultColWidth="3.7109375" defaultRowHeight="15" customHeight="1" x14ac:dyDescent="0.2"/>
  <cols>
    <col min="2" max="2" width="1.7109375" customWidth="1"/>
    <col min="3" max="3" width="3.7109375" style="23" customWidth="1"/>
    <col min="4" max="10" width="3.7109375" customWidth="1"/>
    <col min="28" max="28" width="1.7109375" customWidth="1"/>
  </cols>
  <sheetData>
    <row r="1" spans="2:28" ht="15" customHeight="1" thickBot="1" x14ac:dyDescent="0.25"/>
    <row r="2" spans="2:28" ht="15" customHeight="1" x14ac:dyDescent="0.2">
      <c r="B2" s="77"/>
      <c r="C2" s="403" t="s">
        <v>241</v>
      </c>
      <c r="D2" s="403"/>
      <c r="E2" s="403"/>
      <c r="F2" s="403"/>
      <c r="G2" s="403"/>
      <c r="H2" s="403"/>
      <c r="I2" s="403"/>
      <c r="J2" s="403"/>
      <c r="K2" s="403"/>
      <c r="L2" s="403"/>
      <c r="M2" s="403"/>
      <c r="N2" s="403"/>
      <c r="O2" s="403"/>
      <c r="P2" s="403"/>
      <c r="Q2" s="403"/>
      <c r="R2" s="403"/>
      <c r="S2" s="403"/>
      <c r="T2" s="403"/>
      <c r="U2" s="403"/>
      <c r="V2" s="403"/>
      <c r="W2" s="403"/>
      <c r="X2" s="403"/>
      <c r="Y2" s="403"/>
      <c r="Z2" s="403"/>
      <c r="AA2" s="78"/>
      <c r="AB2" s="79"/>
    </row>
    <row r="3" spans="2:28" ht="15" customHeight="1" x14ac:dyDescent="0.2">
      <c r="B3" s="59"/>
      <c r="C3" s="206" t="s">
        <v>88</v>
      </c>
      <c r="D3" s="206"/>
      <c r="E3" s="206"/>
      <c r="F3" s="206"/>
      <c r="G3" s="206"/>
      <c r="H3" s="206"/>
      <c r="I3" s="206"/>
      <c r="J3" s="206"/>
      <c r="K3" s="206"/>
      <c r="L3" s="206"/>
      <c r="M3" s="206"/>
      <c r="N3" s="206"/>
      <c r="O3" s="206"/>
      <c r="P3" s="206"/>
      <c r="Q3" s="206"/>
      <c r="R3" s="206"/>
      <c r="S3" s="206"/>
      <c r="T3" s="206"/>
      <c r="U3" s="206"/>
      <c r="V3" s="206"/>
      <c r="W3" s="206"/>
      <c r="X3" s="206"/>
      <c r="Y3" s="206"/>
      <c r="Z3" s="206"/>
      <c r="AB3" s="58"/>
    </row>
    <row r="4" spans="2:28" ht="15" customHeight="1" x14ac:dyDescent="0.2">
      <c r="B4" s="59"/>
      <c r="C4" s="178"/>
      <c r="D4" s="178"/>
      <c r="E4" s="178"/>
      <c r="F4" s="178"/>
      <c r="G4" s="178"/>
      <c r="H4" s="178"/>
      <c r="I4" s="178"/>
      <c r="J4" s="178"/>
      <c r="K4" s="178"/>
      <c r="L4" s="178"/>
      <c r="M4" s="178"/>
      <c r="N4" s="178"/>
      <c r="O4" s="178"/>
      <c r="P4" s="178"/>
      <c r="Q4" s="178"/>
      <c r="R4" s="178"/>
      <c r="S4" s="178"/>
      <c r="T4" s="178"/>
      <c r="U4" s="178"/>
      <c r="V4" s="178"/>
      <c r="W4" s="178"/>
      <c r="X4" s="178"/>
      <c r="Y4" s="178"/>
      <c r="Z4" s="178"/>
      <c r="AB4" s="58"/>
    </row>
    <row r="5" spans="2:28" ht="15" customHeight="1" x14ac:dyDescent="0.2">
      <c r="B5" s="59"/>
      <c r="C5" s="405"/>
      <c r="D5" s="405"/>
      <c r="E5" s="405"/>
      <c r="F5" s="405"/>
      <c r="G5" s="405"/>
      <c r="H5" s="405"/>
      <c r="I5" s="405"/>
      <c r="J5" s="405"/>
      <c r="K5" s="404"/>
      <c r="L5" s="404"/>
      <c r="M5" s="180"/>
      <c r="N5" s="180"/>
      <c r="O5" s="180"/>
      <c r="P5" s="180"/>
      <c r="Q5" s="406">
        <f ca="1">+'CALCULO AMBULANTES'!C40</f>
        <v>45349.498785532407</v>
      </c>
      <c r="R5" s="406"/>
      <c r="S5" s="406"/>
      <c r="T5" s="406"/>
      <c r="U5" s="406"/>
      <c r="V5" s="406"/>
      <c r="W5" s="406"/>
      <c r="X5" s="406"/>
      <c r="Y5" s="406"/>
      <c r="Z5" s="406"/>
      <c r="AA5" s="406"/>
      <c r="AB5" s="58"/>
    </row>
    <row r="6" spans="2:28" ht="15" customHeight="1" x14ac:dyDescent="0.2">
      <c r="B6" s="59"/>
      <c r="C6" s="394" t="s">
        <v>89</v>
      </c>
      <c r="D6" s="394"/>
      <c r="E6" s="394"/>
      <c r="F6" s="394"/>
      <c r="G6" s="394"/>
      <c r="H6" s="394"/>
      <c r="I6" s="394"/>
      <c r="J6" s="394"/>
      <c r="K6" s="394"/>
      <c r="L6" s="394"/>
      <c r="M6" s="394"/>
      <c r="N6" s="394"/>
      <c r="O6" s="394"/>
      <c r="P6" s="394"/>
      <c r="Q6" s="394"/>
      <c r="R6" s="394"/>
      <c r="S6" s="394"/>
      <c r="T6" s="394"/>
      <c r="U6" s="394"/>
      <c r="V6" s="394"/>
      <c r="W6" s="394"/>
      <c r="X6" s="394"/>
      <c r="Y6" s="394"/>
      <c r="Z6" s="394"/>
      <c r="AA6" s="394"/>
      <c r="AB6" s="58"/>
    </row>
    <row r="7" spans="2:28" ht="15" customHeight="1" x14ac:dyDescent="0.25">
      <c r="B7" s="59"/>
      <c r="C7" s="396">
        <f>+'CALCULO AMBULANTES'!G7</f>
        <v>0</v>
      </c>
      <c r="D7" s="396"/>
      <c r="E7" s="396"/>
      <c r="F7" s="396"/>
      <c r="G7" s="396"/>
      <c r="H7" s="396"/>
      <c r="I7" s="396"/>
      <c r="J7" s="396"/>
      <c r="K7" s="396"/>
      <c r="L7" s="396"/>
      <c r="M7" s="396"/>
      <c r="N7" s="396"/>
      <c r="O7" s="396"/>
      <c r="P7" s="396"/>
      <c r="Q7" s="25" t="s">
        <v>90</v>
      </c>
      <c r="T7" s="402">
        <f>+'CALCULO AMBULANTES'!U7</f>
        <v>0</v>
      </c>
      <c r="U7" s="402"/>
      <c r="V7" s="402"/>
      <c r="W7" s="402"/>
      <c r="X7" s="402"/>
      <c r="Y7" s="402"/>
      <c r="Z7" s="402"/>
      <c r="AA7" s="402"/>
      <c r="AB7" s="58"/>
    </row>
    <row r="8" spans="2:28" ht="15" customHeight="1" x14ac:dyDescent="0.2">
      <c r="B8" s="59"/>
      <c r="C8" s="25" t="s">
        <v>91</v>
      </c>
      <c r="D8" s="23"/>
      <c r="E8" s="23"/>
      <c r="F8" s="23"/>
      <c r="G8" s="23"/>
      <c r="H8" s="23"/>
      <c r="I8" s="23"/>
      <c r="J8" s="23"/>
      <c r="K8" s="23"/>
      <c r="L8" s="23"/>
      <c r="M8" s="23"/>
      <c r="N8" s="23"/>
      <c r="O8" s="23"/>
      <c r="P8" s="23"/>
      <c r="Q8" s="23"/>
      <c r="R8" s="23"/>
      <c r="S8" s="23"/>
      <c r="T8" s="23"/>
      <c r="U8" s="23"/>
      <c r="V8" s="23"/>
      <c r="W8" s="23"/>
      <c r="X8" s="23"/>
      <c r="Y8" s="23"/>
      <c r="Z8" s="23"/>
      <c r="AA8" s="23"/>
      <c r="AB8" s="58"/>
    </row>
    <row r="9" spans="2:28" ht="15" customHeight="1" x14ac:dyDescent="0.2">
      <c r="B9" s="59"/>
      <c r="C9" s="25" t="s">
        <v>92</v>
      </c>
      <c r="AB9" s="58"/>
    </row>
    <row r="10" spans="2:28" ht="6.95" customHeight="1" thickBot="1" x14ac:dyDescent="0.25">
      <c r="B10" s="59"/>
      <c r="AB10" s="58"/>
    </row>
    <row r="11" spans="2:28" ht="15" customHeight="1" thickBot="1" x14ac:dyDescent="0.3">
      <c r="B11" s="59"/>
      <c r="C11" s="399" t="e">
        <f>+'CALCULO AMBULANTES'!B32</f>
        <v>#N/A</v>
      </c>
      <c r="D11" s="400"/>
      <c r="E11" s="400"/>
      <c r="F11" s="400"/>
      <c r="G11" s="400"/>
      <c r="H11" s="401"/>
      <c r="I11" s="397" t="e">
        <f>+'CALCULO AMBULANTES'!#REF!</f>
        <v>#REF!</v>
      </c>
      <c r="J11" s="397"/>
      <c r="K11" s="397"/>
      <c r="L11" s="397"/>
      <c r="M11" s="397"/>
      <c r="N11" s="397"/>
      <c r="O11" s="397"/>
      <c r="P11" s="397"/>
      <c r="Q11" s="397"/>
      <c r="R11" s="397"/>
      <c r="S11" s="397"/>
      <c r="T11" s="397"/>
      <c r="U11" s="397"/>
      <c r="V11" s="397"/>
      <c r="W11" s="397"/>
      <c r="X11" s="397"/>
      <c r="Y11" s="397"/>
      <c r="Z11" s="397"/>
      <c r="AA11" s="398"/>
      <c r="AB11" s="58"/>
    </row>
    <row r="12" spans="2:28" ht="6.95" customHeight="1" x14ac:dyDescent="0.2">
      <c r="B12" s="59"/>
      <c r="AB12" s="58"/>
    </row>
    <row r="13" spans="2:28" ht="15" customHeight="1" thickBot="1" x14ac:dyDescent="0.3">
      <c r="B13" s="59"/>
      <c r="C13" s="25" t="s">
        <v>93</v>
      </c>
      <c r="Q13" s="395">
        <f>+FORMULARIO!G16</f>
        <v>0</v>
      </c>
      <c r="R13" s="395"/>
      <c r="S13" s="395"/>
      <c r="T13" s="395"/>
      <c r="U13" s="395"/>
      <c r="V13" s="395"/>
      <c r="W13" s="395"/>
      <c r="X13" s="395"/>
      <c r="Y13" s="395"/>
      <c r="Z13" s="395"/>
      <c r="AA13" s="395"/>
      <c r="AB13" s="58"/>
    </row>
    <row r="14" spans="2:28" ht="15" customHeight="1" thickBot="1" x14ac:dyDescent="0.25">
      <c r="B14" s="59"/>
      <c r="C14" s="25" t="s">
        <v>94</v>
      </c>
      <c r="W14" s="76" t="s">
        <v>95</v>
      </c>
      <c r="AB14" s="58"/>
    </row>
    <row r="15" spans="2:28" ht="6.95" customHeight="1" thickBot="1" x14ac:dyDescent="0.25">
      <c r="B15" s="59"/>
      <c r="AB15" s="58"/>
    </row>
    <row r="16" spans="2:28" ht="15" customHeight="1" thickBot="1" x14ac:dyDescent="0.25">
      <c r="B16" s="59"/>
      <c r="C16" s="76" t="s">
        <v>95</v>
      </c>
      <c r="D16" s="390" t="s">
        <v>245</v>
      </c>
      <c r="E16" s="390"/>
      <c r="F16" s="390"/>
      <c r="G16" s="390"/>
      <c r="H16" s="390"/>
      <c r="I16" s="390"/>
      <c r="J16" s="390"/>
      <c r="K16" s="390"/>
      <c r="L16" s="390"/>
      <c r="M16" s="390"/>
      <c r="N16" s="390"/>
      <c r="O16" s="390"/>
      <c r="P16" s="390"/>
      <c r="Q16" s="390"/>
      <c r="R16" s="390"/>
      <c r="S16" s="390"/>
      <c r="T16" s="390"/>
      <c r="U16" s="390"/>
      <c r="V16" s="390"/>
      <c r="W16" s="390"/>
      <c r="X16" s="390"/>
      <c r="Y16" s="390"/>
      <c r="Z16" s="390"/>
      <c r="AA16" s="390"/>
      <c r="AB16" s="58"/>
    </row>
    <row r="17" spans="2:28" ht="15" customHeight="1" thickBot="1" x14ac:dyDescent="0.25">
      <c r="B17" s="59"/>
      <c r="C17" s="75"/>
      <c r="D17" s="390"/>
      <c r="E17" s="390"/>
      <c r="F17" s="390"/>
      <c r="G17" s="390"/>
      <c r="H17" s="390"/>
      <c r="I17" s="390"/>
      <c r="J17" s="390"/>
      <c r="K17" s="390"/>
      <c r="L17" s="390"/>
      <c r="M17" s="390"/>
      <c r="N17" s="390"/>
      <c r="O17" s="390"/>
      <c r="P17" s="390"/>
      <c r="Q17" s="390"/>
      <c r="R17" s="390"/>
      <c r="S17" s="390"/>
      <c r="T17" s="390"/>
      <c r="U17" s="390"/>
      <c r="V17" s="390"/>
      <c r="W17" s="390"/>
      <c r="X17" s="390"/>
      <c r="Y17" s="390"/>
      <c r="Z17" s="390"/>
      <c r="AA17" s="390"/>
      <c r="AB17" s="58"/>
    </row>
    <row r="18" spans="2:28" ht="15" customHeight="1" thickBot="1" x14ac:dyDescent="0.25">
      <c r="B18" s="59"/>
      <c r="C18" s="76" t="s">
        <v>95</v>
      </c>
      <c r="D18" s="390" t="s">
        <v>231</v>
      </c>
      <c r="E18" s="390"/>
      <c r="F18" s="390"/>
      <c r="G18" s="390"/>
      <c r="H18" s="390"/>
      <c r="I18" s="390"/>
      <c r="J18" s="390"/>
      <c r="K18" s="390"/>
      <c r="L18" s="390"/>
      <c r="M18" s="390"/>
      <c r="N18" s="390"/>
      <c r="O18" s="390"/>
      <c r="P18" s="390"/>
      <c r="Q18" s="390"/>
      <c r="R18" s="390"/>
      <c r="S18" s="390"/>
      <c r="T18" s="390"/>
      <c r="U18" s="390"/>
      <c r="V18" s="390"/>
      <c r="W18" s="390"/>
      <c r="X18" s="390"/>
      <c r="Y18" s="390"/>
      <c r="Z18" s="390"/>
      <c r="AA18" s="390"/>
      <c r="AB18" s="58"/>
    </row>
    <row r="19" spans="2:28" ht="15" customHeight="1" x14ac:dyDescent="0.2">
      <c r="B19" s="59"/>
      <c r="C19" s="181"/>
      <c r="D19" s="390"/>
      <c r="E19" s="390"/>
      <c r="F19" s="390"/>
      <c r="G19" s="390"/>
      <c r="H19" s="390"/>
      <c r="I19" s="390"/>
      <c r="J19" s="390"/>
      <c r="K19" s="390"/>
      <c r="L19" s="390"/>
      <c r="M19" s="390"/>
      <c r="N19" s="390"/>
      <c r="O19" s="390"/>
      <c r="P19" s="390"/>
      <c r="Q19" s="390"/>
      <c r="R19" s="390"/>
      <c r="S19" s="390"/>
      <c r="T19" s="390"/>
      <c r="U19" s="390"/>
      <c r="V19" s="390"/>
      <c r="W19" s="390"/>
      <c r="X19" s="390"/>
      <c r="Y19" s="390"/>
      <c r="Z19" s="390"/>
      <c r="AA19" s="390"/>
      <c r="AB19" s="58"/>
    </row>
    <row r="20" spans="2:28" ht="15" customHeight="1" thickBot="1" x14ac:dyDescent="0.25">
      <c r="B20" s="59"/>
      <c r="C20" s="75"/>
      <c r="D20" s="390"/>
      <c r="E20" s="390"/>
      <c r="F20" s="390"/>
      <c r="G20" s="390"/>
      <c r="H20" s="390"/>
      <c r="I20" s="390"/>
      <c r="J20" s="390"/>
      <c r="K20" s="390"/>
      <c r="L20" s="390"/>
      <c r="M20" s="390"/>
      <c r="N20" s="390"/>
      <c r="O20" s="390"/>
      <c r="P20" s="390"/>
      <c r="Q20" s="390"/>
      <c r="R20" s="390"/>
      <c r="S20" s="390"/>
      <c r="T20" s="390"/>
      <c r="U20" s="390"/>
      <c r="V20" s="390"/>
      <c r="W20" s="390"/>
      <c r="X20" s="390"/>
      <c r="Y20" s="390"/>
      <c r="Z20" s="390"/>
      <c r="AA20" s="390"/>
      <c r="AB20" s="58"/>
    </row>
    <row r="21" spans="2:28" ht="15" customHeight="1" thickBot="1" x14ac:dyDescent="0.25">
      <c r="B21" s="59"/>
      <c r="C21" s="76" t="s">
        <v>95</v>
      </c>
      <c r="D21" s="391" t="s">
        <v>255</v>
      </c>
      <c r="E21" s="391"/>
      <c r="F21" s="391"/>
      <c r="G21" s="391"/>
      <c r="H21" s="391"/>
      <c r="I21" s="391"/>
      <c r="J21" s="391"/>
      <c r="K21" s="391"/>
      <c r="L21" s="391"/>
      <c r="M21" s="391"/>
      <c r="N21" s="391"/>
      <c r="O21" s="391"/>
      <c r="P21" s="391"/>
      <c r="Q21" s="391"/>
      <c r="R21" s="391"/>
      <c r="S21" s="391"/>
      <c r="T21" s="391"/>
      <c r="U21" s="391"/>
      <c r="V21" s="391"/>
      <c r="W21" s="391"/>
      <c r="X21" s="391"/>
      <c r="Y21" s="391"/>
      <c r="Z21" s="391"/>
      <c r="AA21" s="391"/>
      <c r="AB21" s="58"/>
    </row>
    <row r="22" spans="2:28" ht="15" customHeight="1" x14ac:dyDescent="0.2">
      <c r="B22" s="59"/>
      <c r="C22" s="75"/>
      <c r="D22" s="391"/>
      <c r="E22" s="391"/>
      <c r="F22" s="391"/>
      <c r="G22" s="391"/>
      <c r="H22" s="391"/>
      <c r="I22" s="391"/>
      <c r="J22" s="391"/>
      <c r="K22" s="391"/>
      <c r="L22" s="391"/>
      <c r="M22" s="391"/>
      <c r="N22" s="391"/>
      <c r="O22" s="391"/>
      <c r="P22" s="391"/>
      <c r="Q22" s="391"/>
      <c r="R22" s="391"/>
      <c r="S22" s="391"/>
      <c r="T22" s="391"/>
      <c r="U22" s="391"/>
      <c r="V22" s="391"/>
      <c r="W22" s="391"/>
      <c r="X22" s="391"/>
      <c r="Y22" s="391"/>
      <c r="Z22" s="391"/>
      <c r="AA22" s="391"/>
      <c r="AB22" s="58"/>
    </row>
    <row r="23" spans="2:28" ht="15" customHeight="1" x14ac:dyDescent="0.2">
      <c r="B23" s="59"/>
      <c r="C23" s="75"/>
      <c r="D23" s="391"/>
      <c r="E23" s="391"/>
      <c r="F23" s="391"/>
      <c r="G23" s="391"/>
      <c r="H23" s="391"/>
      <c r="I23" s="391"/>
      <c r="J23" s="391"/>
      <c r="K23" s="391"/>
      <c r="L23" s="391"/>
      <c r="M23" s="391"/>
      <c r="N23" s="391"/>
      <c r="O23" s="391"/>
      <c r="P23" s="391"/>
      <c r="Q23" s="391"/>
      <c r="R23" s="391"/>
      <c r="S23" s="391"/>
      <c r="T23" s="391"/>
      <c r="U23" s="391"/>
      <c r="V23" s="391"/>
      <c r="W23" s="391"/>
      <c r="X23" s="391"/>
      <c r="Y23" s="391"/>
      <c r="Z23" s="391"/>
      <c r="AA23" s="391"/>
      <c r="AB23" s="58"/>
    </row>
    <row r="24" spans="2:28" ht="15" customHeight="1" x14ac:dyDescent="0.2">
      <c r="B24" s="59"/>
      <c r="C24" s="75"/>
      <c r="D24" s="391"/>
      <c r="E24" s="391"/>
      <c r="F24" s="391"/>
      <c r="G24" s="391"/>
      <c r="H24" s="391"/>
      <c r="I24" s="391"/>
      <c r="J24" s="391"/>
      <c r="K24" s="391"/>
      <c r="L24" s="391"/>
      <c r="M24" s="391"/>
      <c r="N24" s="391"/>
      <c r="O24" s="391"/>
      <c r="P24" s="391"/>
      <c r="Q24" s="391"/>
      <c r="R24" s="391"/>
      <c r="S24" s="391"/>
      <c r="T24" s="391"/>
      <c r="U24" s="391"/>
      <c r="V24" s="391"/>
      <c r="W24" s="391"/>
      <c r="X24" s="391"/>
      <c r="Y24" s="391"/>
      <c r="Z24" s="391"/>
      <c r="AA24" s="391"/>
      <c r="AB24" s="58"/>
    </row>
    <row r="25" spans="2:28" ht="15" customHeight="1" x14ac:dyDescent="0.2">
      <c r="B25" s="59"/>
      <c r="C25" s="75"/>
      <c r="D25" s="391"/>
      <c r="E25" s="391"/>
      <c r="F25" s="391"/>
      <c r="G25" s="391"/>
      <c r="H25" s="391"/>
      <c r="I25" s="391"/>
      <c r="J25" s="391"/>
      <c r="K25" s="391"/>
      <c r="L25" s="391"/>
      <c r="M25" s="391"/>
      <c r="N25" s="391"/>
      <c r="O25" s="391"/>
      <c r="P25" s="391"/>
      <c r="Q25" s="391"/>
      <c r="R25" s="391"/>
      <c r="S25" s="391"/>
      <c r="T25" s="391"/>
      <c r="U25" s="391"/>
      <c r="V25" s="391"/>
      <c r="W25" s="391"/>
      <c r="X25" s="391"/>
      <c r="Y25" s="391"/>
      <c r="Z25" s="391"/>
      <c r="AA25" s="391"/>
      <c r="AB25" s="58"/>
    </row>
    <row r="26" spans="2:28" ht="15" customHeight="1" x14ac:dyDescent="0.2">
      <c r="B26" s="59"/>
      <c r="C26" s="75"/>
      <c r="D26" s="391"/>
      <c r="E26" s="391"/>
      <c r="F26" s="391"/>
      <c r="G26" s="391"/>
      <c r="H26" s="391"/>
      <c r="I26" s="391"/>
      <c r="J26" s="391"/>
      <c r="K26" s="391"/>
      <c r="L26" s="391"/>
      <c r="M26" s="391"/>
      <c r="N26" s="391"/>
      <c r="O26" s="391"/>
      <c r="P26" s="391"/>
      <c r="Q26" s="391"/>
      <c r="R26" s="391"/>
      <c r="S26" s="391"/>
      <c r="T26" s="391"/>
      <c r="U26" s="391"/>
      <c r="V26" s="391"/>
      <c r="W26" s="391"/>
      <c r="X26" s="391"/>
      <c r="Y26" s="391"/>
      <c r="Z26" s="391"/>
      <c r="AA26" s="391"/>
      <c r="AB26" s="58"/>
    </row>
    <row r="27" spans="2:28" ht="15" customHeight="1" thickBot="1" x14ac:dyDescent="0.25">
      <c r="B27" s="59"/>
      <c r="C27" s="75"/>
      <c r="D27" s="391"/>
      <c r="E27" s="391"/>
      <c r="F27" s="391"/>
      <c r="G27" s="391"/>
      <c r="H27" s="391"/>
      <c r="I27" s="391"/>
      <c r="J27" s="391"/>
      <c r="K27" s="391"/>
      <c r="L27" s="391"/>
      <c r="M27" s="391"/>
      <c r="N27" s="391"/>
      <c r="O27" s="391"/>
      <c r="P27" s="391"/>
      <c r="Q27" s="391"/>
      <c r="R27" s="391"/>
      <c r="S27" s="391"/>
      <c r="T27" s="391"/>
      <c r="U27" s="391"/>
      <c r="V27" s="391"/>
      <c r="W27" s="391"/>
      <c r="X27" s="391"/>
      <c r="Y27" s="391"/>
      <c r="Z27" s="391"/>
      <c r="AA27" s="391"/>
      <c r="AB27" s="58"/>
    </row>
    <row r="28" spans="2:28" ht="15" customHeight="1" thickBot="1" x14ac:dyDescent="0.25">
      <c r="B28" s="59"/>
      <c r="C28" s="76" t="s">
        <v>95</v>
      </c>
      <c r="D28" s="391" t="s">
        <v>256</v>
      </c>
      <c r="E28" s="391"/>
      <c r="F28" s="391"/>
      <c r="G28" s="391"/>
      <c r="H28" s="391"/>
      <c r="I28" s="391"/>
      <c r="J28" s="391"/>
      <c r="K28" s="391"/>
      <c r="L28" s="391"/>
      <c r="M28" s="391"/>
      <c r="N28" s="391"/>
      <c r="O28" s="391"/>
      <c r="P28" s="391"/>
      <c r="Q28" s="391"/>
      <c r="R28" s="391"/>
      <c r="S28" s="391"/>
      <c r="T28" s="391"/>
      <c r="U28" s="391"/>
      <c r="V28" s="391"/>
      <c r="W28" s="391"/>
      <c r="X28" s="391"/>
      <c r="Y28" s="391"/>
      <c r="Z28" s="391"/>
      <c r="AA28" s="391"/>
      <c r="AB28" s="58"/>
    </row>
    <row r="29" spans="2:28" ht="15" customHeight="1" x14ac:dyDescent="0.2">
      <c r="B29" s="59"/>
      <c r="C29" s="75"/>
      <c r="D29" s="391"/>
      <c r="E29" s="391"/>
      <c r="F29" s="391"/>
      <c r="G29" s="391"/>
      <c r="H29" s="391"/>
      <c r="I29" s="391"/>
      <c r="J29" s="391"/>
      <c r="K29" s="391"/>
      <c r="L29" s="391"/>
      <c r="M29" s="391"/>
      <c r="N29" s="391"/>
      <c r="O29" s="391"/>
      <c r="P29" s="391"/>
      <c r="Q29" s="391"/>
      <c r="R29" s="391"/>
      <c r="S29" s="391"/>
      <c r="T29" s="391"/>
      <c r="U29" s="391"/>
      <c r="V29" s="391"/>
      <c r="W29" s="391"/>
      <c r="X29" s="391"/>
      <c r="Y29" s="391"/>
      <c r="Z29" s="391"/>
      <c r="AA29" s="391"/>
      <c r="AB29" s="58"/>
    </row>
    <row r="30" spans="2:28" ht="15" customHeight="1" thickBot="1" x14ac:dyDescent="0.25">
      <c r="B30" s="59"/>
      <c r="C30" s="75"/>
      <c r="D30" s="391"/>
      <c r="E30" s="391"/>
      <c r="F30" s="391"/>
      <c r="G30" s="391"/>
      <c r="H30" s="391"/>
      <c r="I30" s="391"/>
      <c r="J30" s="391"/>
      <c r="K30" s="391"/>
      <c r="L30" s="391"/>
      <c r="M30" s="391"/>
      <c r="N30" s="391"/>
      <c r="O30" s="391"/>
      <c r="P30" s="391"/>
      <c r="Q30" s="391"/>
      <c r="R30" s="391"/>
      <c r="S30" s="391"/>
      <c r="T30" s="391"/>
      <c r="U30" s="391"/>
      <c r="V30" s="391"/>
      <c r="W30" s="391"/>
      <c r="X30" s="391"/>
      <c r="Y30" s="391"/>
      <c r="Z30" s="391"/>
      <c r="AA30" s="391"/>
      <c r="AB30" s="58"/>
    </row>
    <row r="31" spans="2:28" ht="15" customHeight="1" thickBot="1" x14ac:dyDescent="0.25">
      <c r="B31" s="59"/>
      <c r="C31" s="76" t="s">
        <v>95</v>
      </c>
      <c r="D31" s="391" t="s">
        <v>257</v>
      </c>
      <c r="E31" s="391"/>
      <c r="F31" s="391"/>
      <c r="G31" s="391"/>
      <c r="H31" s="391"/>
      <c r="I31" s="391"/>
      <c r="J31" s="391"/>
      <c r="K31" s="391"/>
      <c r="L31" s="391"/>
      <c r="M31" s="391"/>
      <c r="N31" s="391"/>
      <c r="O31" s="391"/>
      <c r="P31" s="391"/>
      <c r="Q31" s="391"/>
      <c r="R31" s="391"/>
      <c r="S31" s="391"/>
      <c r="T31" s="391"/>
      <c r="U31" s="391"/>
      <c r="V31" s="391"/>
      <c r="W31" s="391"/>
      <c r="X31" s="391"/>
      <c r="Y31" s="391"/>
      <c r="Z31" s="391"/>
      <c r="AA31" s="391"/>
      <c r="AB31" s="58"/>
    </row>
    <row r="32" spans="2:28" ht="15" customHeight="1" x14ac:dyDescent="0.2">
      <c r="B32" s="59"/>
      <c r="C32" s="75"/>
      <c r="D32" s="391"/>
      <c r="E32" s="391"/>
      <c r="F32" s="391"/>
      <c r="G32" s="391"/>
      <c r="H32" s="391"/>
      <c r="I32" s="391"/>
      <c r="J32" s="391"/>
      <c r="K32" s="391"/>
      <c r="L32" s="391"/>
      <c r="M32" s="391"/>
      <c r="N32" s="391"/>
      <c r="O32" s="391"/>
      <c r="P32" s="391"/>
      <c r="Q32" s="391"/>
      <c r="R32" s="391"/>
      <c r="S32" s="391"/>
      <c r="T32" s="391"/>
      <c r="U32" s="391"/>
      <c r="V32" s="391"/>
      <c r="W32" s="391"/>
      <c r="X32" s="391"/>
      <c r="Y32" s="391"/>
      <c r="Z32" s="391"/>
      <c r="AA32" s="391"/>
      <c r="AB32" s="58"/>
    </row>
    <row r="33" spans="2:28" ht="15" customHeight="1" thickBot="1" x14ac:dyDescent="0.25">
      <c r="B33" s="59"/>
      <c r="C33" s="75"/>
      <c r="D33" s="391"/>
      <c r="E33" s="391"/>
      <c r="F33" s="391"/>
      <c r="G33" s="391"/>
      <c r="H33" s="391"/>
      <c r="I33" s="391"/>
      <c r="J33" s="391"/>
      <c r="K33" s="391"/>
      <c r="L33" s="391"/>
      <c r="M33" s="391"/>
      <c r="N33" s="391"/>
      <c r="O33" s="391"/>
      <c r="P33" s="391"/>
      <c r="Q33" s="391"/>
      <c r="R33" s="391"/>
      <c r="S33" s="391"/>
      <c r="T33" s="391"/>
      <c r="U33" s="391"/>
      <c r="V33" s="391"/>
      <c r="W33" s="391"/>
      <c r="X33" s="391"/>
      <c r="Y33" s="391"/>
      <c r="Z33" s="391"/>
      <c r="AA33" s="391"/>
      <c r="AB33" s="58"/>
    </row>
    <row r="34" spans="2:28" ht="15" customHeight="1" thickBot="1" x14ac:dyDescent="0.25">
      <c r="B34" s="59"/>
      <c r="C34" s="76" t="s">
        <v>95</v>
      </c>
      <c r="D34" s="391" t="s">
        <v>258</v>
      </c>
      <c r="E34" s="391"/>
      <c r="F34" s="391"/>
      <c r="G34" s="391"/>
      <c r="H34" s="391"/>
      <c r="I34" s="391"/>
      <c r="J34" s="391"/>
      <c r="K34" s="391"/>
      <c r="L34" s="391"/>
      <c r="M34" s="391"/>
      <c r="N34" s="391"/>
      <c r="O34" s="391"/>
      <c r="P34" s="391"/>
      <c r="Q34" s="391"/>
      <c r="R34" s="391"/>
      <c r="S34" s="391"/>
      <c r="T34" s="391"/>
      <c r="U34" s="391"/>
      <c r="V34" s="391"/>
      <c r="W34" s="391"/>
      <c r="X34" s="391"/>
      <c r="Y34" s="391"/>
      <c r="Z34" s="391"/>
      <c r="AA34" s="391"/>
      <c r="AB34" s="58"/>
    </row>
    <row r="35" spans="2:28" ht="15" customHeight="1" x14ac:dyDescent="0.2">
      <c r="B35" s="59"/>
      <c r="D35" s="391"/>
      <c r="E35" s="391"/>
      <c r="F35" s="391"/>
      <c r="G35" s="391"/>
      <c r="H35" s="391"/>
      <c r="I35" s="391"/>
      <c r="J35" s="391"/>
      <c r="K35" s="391"/>
      <c r="L35" s="391"/>
      <c r="M35" s="391"/>
      <c r="N35" s="391"/>
      <c r="O35" s="391"/>
      <c r="P35" s="391"/>
      <c r="Q35" s="391"/>
      <c r="R35" s="391"/>
      <c r="S35" s="391"/>
      <c r="T35" s="391"/>
      <c r="U35" s="391"/>
      <c r="V35" s="391"/>
      <c r="W35" s="391"/>
      <c r="X35" s="391"/>
      <c r="Y35" s="391"/>
      <c r="Z35" s="391"/>
      <c r="AA35" s="391"/>
      <c r="AB35" s="58"/>
    </row>
    <row r="36" spans="2:28" ht="15" customHeight="1" x14ac:dyDescent="0.2">
      <c r="B36" s="59"/>
      <c r="D36" s="391"/>
      <c r="E36" s="391"/>
      <c r="F36" s="391"/>
      <c r="G36" s="391"/>
      <c r="H36" s="391"/>
      <c r="I36" s="391"/>
      <c r="J36" s="391"/>
      <c r="K36" s="391"/>
      <c r="L36" s="391"/>
      <c r="M36" s="391"/>
      <c r="N36" s="391"/>
      <c r="O36" s="391"/>
      <c r="P36" s="391"/>
      <c r="Q36" s="391"/>
      <c r="R36" s="391"/>
      <c r="S36" s="391"/>
      <c r="T36" s="391"/>
      <c r="U36" s="391"/>
      <c r="V36" s="391"/>
      <c r="W36" s="391"/>
      <c r="X36" s="391"/>
      <c r="Y36" s="391"/>
      <c r="Z36" s="391"/>
      <c r="AA36" s="391"/>
      <c r="AB36" s="58"/>
    </row>
    <row r="37" spans="2:28" ht="15" customHeight="1" x14ac:dyDescent="0.2">
      <c r="B37" s="59"/>
      <c r="D37" s="117"/>
      <c r="E37" s="117"/>
      <c r="F37" s="117"/>
      <c r="G37" s="117"/>
      <c r="H37" s="117"/>
      <c r="I37" s="117"/>
      <c r="J37" s="117"/>
      <c r="K37" s="117"/>
      <c r="L37" s="117"/>
      <c r="M37" s="117"/>
      <c r="N37" s="117"/>
      <c r="O37" s="117"/>
      <c r="P37" s="117"/>
      <c r="Q37" s="117"/>
      <c r="R37" s="117"/>
      <c r="S37" s="117"/>
      <c r="T37" s="117"/>
      <c r="U37" s="117"/>
      <c r="V37" s="117"/>
      <c r="W37" s="117"/>
      <c r="X37" s="117"/>
      <c r="Y37" s="117"/>
      <c r="Z37" s="117"/>
      <c r="AA37" s="117"/>
      <c r="AB37" s="58"/>
    </row>
    <row r="38" spans="2:28" ht="15" customHeight="1" x14ac:dyDescent="0.2">
      <c r="B38" s="59"/>
      <c r="C38" s="25"/>
      <c r="D38" s="117"/>
      <c r="E38" s="117"/>
      <c r="F38" s="117"/>
      <c r="G38" s="117"/>
      <c r="H38" s="117"/>
      <c r="I38" s="117"/>
      <c r="J38" s="117"/>
      <c r="K38" s="117"/>
      <c r="L38" s="117"/>
      <c r="M38" s="392" t="str">
        <f>+'CALCULO AMBULANTES'!E39</f>
        <v>Zeidy Campos Artavia</v>
      </c>
      <c r="N38" s="392"/>
      <c r="O38" s="392"/>
      <c r="P38" s="392"/>
      <c r="Q38" s="392"/>
      <c r="R38" s="392"/>
      <c r="S38" s="392"/>
      <c r="T38" s="392"/>
      <c r="U38" s="392"/>
      <c r="V38" s="392"/>
      <c r="W38" s="392"/>
      <c r="X38" s="392"/>
      <c r="Y38" s="392"/>
      <c r="Z38" s="392"/>
      <c r="AA38" s="117"/>
      <c r="AB38" s="58"/>
    </row>
    <row r="39" spans="2:28" ht="20.100000000000001" customHeight="1" x14ac:dyDescent="0.2">
      <c r="B39" s="59"/>
      <c r="D39" s="113"/>
      <c r="E39" s="113"/>
      <c r="F39" s="113"/>
      <c r="G39" s="113"/>
      <c r="H39" s="113"/>
      <c r="I39" s="113"/>
      <c r="J39" s="113"/>
      <c r="K39" s="74"/>
      <c r="L39" s="74"/>
      <c r="M39" s="393" t="str">
        <f>VLOOKUP(M38,PARAMETROS!B17:D28,3,0)</f>
        <v>ASISTENTE TÉCNICO</v>
      </c>
      <c r="N39" s="393"/>
      <c r="O39" s="393"/>
      <c r="P39" s="393"/>
      <c r="Q39" s="393"/>
      <c r="R39" s="393"/>
      <c r="S39" s="393"/>
      <c r="T39" s="393"/>
      <c r="U39" s="393"/>
      <c r="V39" s="393"/>
      <c r="W39" s="393"/>
      <c r="X39" s="393"/>
      <c r="Y39" s="393"/>
      <c r="Z39" s="393"/>
      <c r="AA39" s="113"/>
      <c r="AB39" s="58"/>
    </row>
    <row r="40" spans="2:28" ht="20.100000000000001" customHeight="1" x14ac:dyDescent="0.2">
      <c r="B40" s="59"/>
      <c r="D40" s="113"/>
      <c r="E40" s="113"/>
      <c r="F40" s="113"/>
      <c r="G40" s="113"/>
      <c r="H40" s="113"/>
      <c r="I40" s="113"/>
      <c r="J40" s="113"/>
      <c r="K40" s="74"/>
      <c r="L40" s="74"/>
      <c r="M40" s="179"/>
      <c r="N40" s="179"/>
      <c r="O40" s="179"/>
      <c r="P40" s="179"/>
      <c r="Q40" s="179"/>
      <c r="R40" s="179"/>
      <c r="S40" s="179"/>
      <c r="T40" s="179"/>
      <c r="U40" s="179"/>
      <c r="V40" s="179"/>
      <c r="W40" s="179"/>
      <c r="X40" s="179"/>
      <c r="Y40" s="179"/>
      <c r="Z40" s="179"/>
      <c r="AA40" s="113"/>
      <c r="AB40" s="58"/>
    </row>
    <row r="41" spans="2:28" ht="15" customHeight="1" x14ac:dyDescent="0.2">
      <c r="B41" s="59"/>
      <c r="D41" s="113"/>
      <c r="E41" s="113"/>
      <c r="F41" s="113"/>
      <c r="G41" s="113"/>
      <c r="H41" s="113"/>
      <c r="I41" s="113"/>
      <c r="J41" s="113"/>
      <c r="K41" s="62"/>
      <c r="L41" s="62"/>
      <c r="AA41" s="24"/>
      <c r="AB41" s="58"/>
    </row>
    <row r="42" spans="2:28" ht="15" customHeight="1" x14ac:dyDescent="0.2">
      <c r="B42" s="59"/>
      <c r="D42" s="113"/>
      <c r="E42" s="113"/>
      <c r="F42" s="113"/>
      <c r="G42" s="113"/>
      <c r="H42" s="113"/>
      <c r="I42" s="113"/>
      <c r="J42" s="113"/>
      <c r="K42" s="113"/>
      <c r="M42" s="392" t="str">
        <f>+'CALCULO AMBULANTES'!E41</f>
        <v>José Antonio Rodríguez Herrera</v>
      </c>
      <c r="N42" s="392"/>
      <c r="O42" s="392"/>
      <c r="P42" s="392"/>
      <c r="Q42" s="392"/>
      <c r="R42" s="392"/>
      <c r="S42" s="392"/>
      <c r="T42" s="392"/>
      <c r="U42" s="392"/>
      <c r="V42" s="392"/>
      <c r="W42" s="392"/>
      <c r="X42" s="392"/>
      <c r="Y42" s="392"/>
      <c r="Z42" s="392"/>
      <c r="AA42" s="113"/>
      <c r="AB42" s="58"/>
    </row>
    <row r="43" spans="2:28" ht="18" customHeight="1" x14ac:dyDescent="0.2">
      <c r="B43" s="59"/>
      <c r="D43" s="113"/>
      <c r="E43" s="113"/>
      <c r="F43" s="113"/>
      <c r="G43" s="113"/>
      <c r="H43" s="113"/>
      <c r="I43" s="113"/>
      <c r="J43" s="113"/>
      <c r="K43" s="113"/>
      <c r="L43" s="113"/>
      <c r="M43" s="393" t="str">
        <f>VLOOKUP(M42,PARAMETROS!B17:E34,3,0)</f>
        <v>COORDINADOR</v>
      </c>
      <c r="N43" s="393"/>
      <c r="O43" s="393"/>
      <c r="P43" s="393"/>
      <c r="Q43" s="393"/>
      <c r="R43" s="393"/>
      <c r="S43" s="393"/>
      <c r="T43" s="393"/>
      <c r="U43" s="393"/>
      <c r="V43" s="393"/>
      <c r="W43" s="393"/>
      <c r="X43" s="393"/>
      <c r="Y43" s="393"/>
      <c r="Z43" s="393"/>
      <c r="AA43" s="113"/>
      <c r="AB43" s="58"/>
    </row>
    <row r="44" spans="2:28" ht="15" customHeight="1" x14ac:dyDescent="0.2">
      <c r="B44" s="59"/>
      <c r="C44" s="23" t="s">
        <v>96</v>
      </c>
      <c r="D44" s="113"/>
      <c r="E44" s="390">
        <f>+C7</f>
        <v>0</v>
      </c>
      <c r="F44" s="390"/>
      <c r="G44" s="390"/>
      <c r="H44" s="390"/>
      <c r="I44" s="390"/>
      <c r="J44" s="390"/>
      <c r="K44" s="390"/>
      <c r="L44" s="390"/>
      <c r="M44" s="390"/>
      <c r="N44" s="392"/>
      <c r="O44" s="392"/>
      <c r="P44" s="392"/>
      <c r="Q44" s="392"/>
      <c r="R44" s="392"/>
      <c r="S44" s="392"/>
      <c r="T44" s="392"/>
      <c r="U44" s="392"/>
      <c r="V44" s="392"/>
      <c r="W44" s="392"/>
      <c r="X44" s="392"/>
      <c r="Y44" s="392"/>
      <c r="Z44" s="392"/>
      <c r="AA44" s="392"/>
      <c r="AB44" s="58"/>
    </row>
    <row r="45" spans="2:28" ht="15" customHeight="1" x14ac:dyDescent="0.2">
      <c r="B45" s="59"/>
      <c r="C45" s="23" t="s">
        <v>97</v>
      </c>
      <c r="E45" s="390" t="s">
        <v>98</v>
      </c>
      <c r="F45" s="390"/>
      <c r="G45" s="390"/>
      <c r="H45" s="390"/>
      <c r="I45" s="390"/>
      <c r="J45" s="390"/>
      <c r="K45" s="390"/>
      <c r="L45" s="390"/>
      <c r="M45" s="390"/>
      <c r="AB45" s="58"/>
    </row>
    <row r="46" spans="2:28" ht="15" customHeight="1" thickBot="1" x14ac:dyDescent="0.25">
      <c r="B46" s="80"/>
      <c r="C46" s="81"/>
      <c r="D46" s="60"/>
      <c r="E46" s="60"/>
      <c r="F46" s="60"/>
      <c r="G46" s="60"/>
      <c r="H46" s="60"/>
      <c r="I46" s="60"/>
      <c r="J46" s="60"/>
      <c r="K46" s="60"/>
      <c r="L46" s="60"/>
      <c r="M46" s="60"/>
      <c r="N46" s="60"/>
      <c r="O46" s="60"/>
      <c r="P46" s="60"/>
      <c r="Q46" s="60"/>
      <c r="R46" s="60"/>
      <c r="S46" s="60"/>
      <c r="T46" s="60"/>
      <c r="U46" s="60"/>
      <c r="V46" s="60"/>
      <c r="W46" s="60"/>
      <c r="X46" s="60"/>
      <c r="Y46" s="60"/>
      <c r="Z46" s="60"/>
      <c r="AA46" s="60"/>
      <c r="AB46" s="61"/>
    </row>
  </sheetData>
  <protectedRanges>
    <protectedRange sqref="M5:N5" name="Rango1"/>
  </protectedRanges>
  <mergeCells count="24">
    <mergeCell ref="C2:Z2"/>
    <mergeCell ref="C3:Z3"/>
    <mergeCell ref="K5:L5"/>
    <mergeCell ref="C5:J5"/>
    <mergeCell ref="Q5:AA5"/>
    <mergeCell ref="C6:AA6"/>
    <mergeCell ref="M38:Z38"/>
    <mergeCell ref="M39:Z39"/>
    <mergeCell ref="N44:AA44"/>
    <mergeCell ref="D21:AA27"/>
    <mergeCell ref="D16:AA17"/>
    <mergeCell ref="Q13:AA13"/>
    <mergeCell ref="C7:P7"/>
    <mergeCell ref="I11:AA11"/>
    <mergeCell ref="D18:AA20"/>
    <mergeCell ref="C11:H11"/>
    <mergeCell ref="T7:AA7"/>
    <mergeCell ref="E45:M45"/>
    <mergeCell ref="E44:M44"/>
    <mergeCell ref="D31:AA33"/>
    <mergeCell ref="D34:AA36"/>
    <mergeCell ref="D28:AA30"/>
    <mergeCell ref="M42:Z42"/>
    <mergeCell ref="M43:Z43"/>
  </mergeCells>
  <phoneticPr fontId="0" type="noConversion"/>
  <printOptions horizontalCentered="1"/>
  <pageMargins left="0" right="0" top="0.59055118110236227" bottom="0.98425196850393704" header="0.39370078740157483" footer="0"/>
  <pageSetup orientation="portrait" verticalDpi="144" r:id="rId1"/>
  <headerFooter alignWithMargins="0">
    <oddHeader>&amp;LRESOLUCIÓN: &amp;F&amp;P</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AJ34"/>
  <sheetViews>
    <sheetView zoomScale="130" zoomScaleNormal="130" workbookViewId="0">
      <selection activeCell="C30" sqref="C30:AJ30"/>
    </sheetView>
  </sheetViews>
  <sheetFormatPr baseColWidth="10" defaultColWidth="3.7109375" defaultRowHeight="15" customHeight="1" x14ac:dyDescent="0.2"/>
  <cols>
    <col min="1" max="1" width="2.28515625" style="29" customWidth="1"/>
    <col min="2" max="2" width="1.7109375" style="29" customWidth="1"/>
    <col min="3" max="3" width="3.7109375" style="43" customWidth="1"/>
    <col min="4" max="10" width="3.7109375" style="29" customWidth="1"/>
    <col min="11" max="33" width="3.7109375" style="29"/>
    <col min="34" max="35" width="3.7109375" style="29" customWidth="1"/>
    <col min="36" max="36" width="1.7109375" style="29" customWidth="1"/>
    <col min="37" max="16384" width="3.7109375" style="29"/>
  </cols>
  <sheetData>
    <row r="1" spans="2:36" ht="15" customHeight="1" thickBot="1" x14ac:dyDescent="0.25"/>
    <row r="2" spans="2:36" ht="15" customHeight="1" x14ac:dyDescent="0.2">
      <c r="B2" s="26"/>
      <c r="C2" s="27"/>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50"/>
    </row>
    <row r="3" spans="2:36" ht="15" customHeight="1" x14ac:dyDescent="0.2">
      <c r="B3" s="30"/>
      <c r="C3" s="416" t="s">
        <v>110</v>
      </c>
      <c r="D3" s="416"/>
      <c r="E3" s="416"/>
      <c r="F3" s="416"/>
      <c r="G3" s="416"/>
      <c r="H3" s="416"/>
      <c r="I3" s="416"/>
      <c r="J3" s="416"/>
      <c r="K3" s="416"/>
      <c r="L3" s="416"/>
      <c r="M3" s="416"/>
      <c r="N3" s="416"/>
      <c r="O3" s="416"/>
      <c r="P3" s="416"/>
      <c r="Q3" s="416"/>
      <c r="R3" s="416"/>
      <c r="S3" s="416"/>
      <c r="T3" s="416"/>
      <c r="U3" s="416"/>
      <c r="V3" s="416"/>
      <c r="W3" s="416"/>
      <c r="X3" s="416"/>
      <c r="Y3" s="416"/>
      <c r="Z3" s="416"/>
      <c r="AA3" s="416"/>
      <c r="AB3" s="416"/>
      <c r="AC3" s="416"/>
      <c r="AD3" s="416"/>
      <c r="AE3" s="416"/>
      <c r="AF3" s="416"/>
      <c r="AG3" s="416"/>
      <c r="AH3" s="416"/>
      <c r="AI3" s="416"/>
      <c r="AJ3" s="417"/>
    </row>
    <row r="4" spans="2:36" ht="15" customHeight="1" x14ac:dyDescent="0.2">
      <c r="B4" s="30"/>
      <c r="C4" s="418" t="s">
        <v>244</v>
      </c>
      <c r="D4" s="418"/>
      <c r="E4" s="418"/>
      <c r="F4" s="418"/>
      <c r="G4" s="418"/>
      <c r="H4" s="418"/>
      <c r="I4" s="418"/>
      <c r="J4" s="418"/>
      <c r="K4" s="418"/>
      <c r="L4" s="418"/>
      <c r="M4" s="418"/>
      <c r="N4" s="418"/>
      <c r="O4" s="418"/>
      <c r="P4" s="418"/>
      <c r="Q4" s="418"/>
      <c r="R4" s="418"/>
      <c r="S4" s="418"/>
      <c r="T4" s="418"/>
      <c r="U4" s="418"/>
      <c r="V4" s="418"/>
      <c r="W4" s="418"/>
      <c r="X4" s="418"/>
      <c r="Y4" s="418"/>
      <c r="Z4" s="418"/>
      <c r="AA4" s="418"/>
      <c r="AB4" s="418"/>
      <c r="AC4" s="418"/>
      <c r="AD4" s="418"/>
      <c r="AE4" s="418"/>
      <c r="AF4" s="418"/>
      <c r="AG4" s="418"/>
      <c r="AH4" s="418"/>
      <c r="AI4" s="418"/>
      <c r="AJ4" s="419"/>
    </row>
    <row r="5" spans="2:36" ht="15" customHeight="1" x14ac:dyDescent="0.2">
      <c r="B5" s="30"/>
      <c r="C5" s="418"/>
      <c r="D5" s="418"/>
      <c r="E5" s="418"/>
      <c r="F5" s="418"/>
      <c r="G5" s="418"/>
      <c r="H5" s="418"/>
      <c r="I5" s="418"/>
      <c r="J5" s="418"/>
      <c r="K5" s="418"/>
      <c r="L5" s="418"/>
      <c r="M5" s="418"/>
      <c r="N5" s="418"/>
      <c r="O5" s="418"/>
      <c r="P5" s="418"/>
      <c r="Q5" s="418"/>
      <c r="R5" s="418"/>
      <c r="S5" s="418"/>
      <c r="T5" s="418"/>
      <c r="U5" s="418"/>
      <c r="V5" s="418"/>
      <c r="W5" s="418"/>
      <c r="X5" s="418"/>
      <c r="Y5" s="418"/>
      <c r="Z5" s="418"/>
      <c r="AA5" s="418"/>
      <c r="AB5" s="418"/>
      <c r="AC5" s="418"/>
      <c r="AD5" s="418"/>
      <c r="AE5" s="418"/>
      <c r="AF5" s="418"/>
      <c r="AG5" s="418"/>
      <c r="AH5" s="418"/>
      <c r="AI5" s="418"/>
      <c r="AJ5" s="419"/>
    </row>
    <row r="6" spans="2:36" ht="15" customHeight="1" x14ac:dyDescent="0.2">
      <c r="B6" s="30"/>
      <c r="C6" s="116"/>
      <c r="D6" s="116"/>
      <c r="E6" s="116"/>
      <c r="F6" s="116"/>
      <c r="G6" s="116"/>
      <c r="H6" s="116"/>
      <c r="I6" s="116"/>
      <c r="AJ6" s="51"/>
    </row>
    <row r="7" spans="2:36" ht="21.75" customHeight="1" x14ac:dyDescent="0.35">
      <c r="B7" s="30"/>
      <c r="C7" s="420" t="s">
        <v>99</v>
      </c>
      <c r="D7" s="420"/>
      <c r="E7" s="420"/>
      <c r="F7" s="420"/>
      <c r="G7" s="420"/>
      <c r="H7" s="420"/>
      <c r="I7" s="420"/>
      <c r="J7" s="420"/>
      <c r="K7" s="420"/>
      <c r="L7" s="420"/>
      <c r="M7" s="420"/>
      <c r="N7" s="420"/>
      <c r="O7" s="420"/>
      <c r="P7" s="420"/>
      <c r="Q7" s="420"/>
      <c r="R7" s="420"/>
      <c r="S7" s="420"/>
      <c r="T7" s="420"/>
      <c r="U7" s="420"/>
      <c r="V7" s="420"/>
      <c r="W7" s="420"/>
      <c r="X7" s="420"/>
      <c r="Y7" s="420"/>
      <c r="Z7" s="420"/>
      <c r="AA7" s="420"/>
      <c r="AB7" s="420"/>
      <c r="AC7" s="420"/>
      <c r="AD7" s="420"/>
      <c r="AE7" s="420"/>
      <c r="AF7" s="420"/>
      <c r="AG7" s="420"/>
      <c r="AH7" s="420"/>
      <c r="AI7" s="420"/>
      <c r="AJ7" s="421"/>
    </row>
    <row r="8" spans="2:36" ht="15" customHeight="1" x14ac:dyDescent="0.2">
      <c r="B8" s="30"/>
      <c r="C8" s="31"/>
      <c r="D8" s="32"/>
      <c r="E8" s="32"/>
      <c r="F8" s="32"/>
      <c r="G8" s="32"/>
      <c r="H8" s="32"/>
      <c r="AJ8" s="51"/>
    </row>
    <row r="9" spans="2:36" ht="15" customHeight="1" x14ac:dyDescent="0.2">
      <c r="B9" s="30"/>
      <c r="C9" s="33" t="s">
        <v>100</v>
      </c>
      <c r="E9" s="34"/>
      <c r="F9" s="34"/>
      <c r="G9" s="34"/>
      <c r="H9" s="34"/>
      <c r="L9" s="85">
        <f>+'CALCULO AMBULANTES'!G9</f>
        <v>0</v>
      </c>
      <c r="AJ9" s="51"/>
    </row>
    <row r="10" spans="2:36" ht="15" customHeight="1" x14ac:dyDescent="0.25">
      <c r="B10" s="30"/>
      <c r="C10" s="33" t="s">
        <v>101</v>
      </c>
      <c r="D10" s="35"/>
      <c r="H10" s="36">
        <f>+'RESOLUCION AMBULANTES'!Q13</f>
        <v>0</v>
      </c>
      <c r="AJ10" s="51"/>
    </row>
    <row r="11" spans="2:36" ht="15" customHeight="1" x14ac:dyDescent="0.2">
      <c r="B11" s="30"/>
      <c r="C11" s="33" t="s">
        <v>102</v>
      </c>
      <c r="D11" s="37"/>
      <c r="E11" s="37"/>
      <c r="F11" s="37"/>
      <c r="G11" s="37"/>
      <c r="H11" s="37"/>
      <c r="I11" s="37"/>
      <c r="AJ11" s="51"/>
    </row>
    <row r="12" spans="2:36" ht="15" customHeight="1" x14ac:dyDescent="0.2">
      <c r="B12" s="30"/>
      <c r="C12" s="33"/>
      <c r="D12" s="37"/>
      <c r="E12" s="37"/>
      <c r="F12" s="37"/>
      <c r="G12" s="37"/>
      <c r="H12" s="37"/>
      <c r="I12" s="37"/>
      <c r="AJ12" s="51"/>
    </row>
    <row r="13" spans="2:36" ht="15" customHeight="1" x14ac:dyDescent="0.2">
      <c r="B13" s="30"/>
      <c r="C13" s="38">
        <v>1</v>
      </c>
      <c r="D13" s="422" t="e">
        <f>+'CALCULO AMBULANTES'!#REF!</f>
        <v>#REF!</v>
      </c>
      <c r="E13" s="422"/>
      <c r="F13" s="422"/>
      <c r="G13" s="422"/>
      <c r="H13" s="422"/>
      <c r="I13" s="422"/>
      <c r="J13" s="422"/>
      <c r="K13" s="422"/>
      <c r="L13" s="422"/>
      <c r="M13" s="422"/>
      <c r="N13" s="422"/>
      <c r="O13" s="422"/>
      <c r="P13" s="422"/>
      <c r="Q13" s="422"/>
      <c r="R13" s="422"/>
      <c r="S13" s="422"/>
      <c r="T13" s="422"/>
      <c r="U13" s="422"/>
      <c r="V13" s="422"/>
      <c r="W13" s="422"/>
      <c r="X13" s="422"/>
      <c r="Y13" s="422"/>
      <c r="Z13" s="422"/>
      <c r="AA13" s="422"/>
      <c r="AB13" s="422"/>
      <c r="AC13" s="422"/>
      <c r="AD13" s="422"/>
      <c r="AE13" s="422"/>
      <c r="AF13" s="422"/>
      <c r="AG13" s="422"/>
      <c r="AJ13" s="51"/>
    </row>
    <row r="14" spans="2:36" ht="15" customHeight="1" x14ac:dyDescent="0.2">
      <c r="B14" s="30"/>
      <c r="C14" s="38">
        <f>1+C13</f>
        <v>2</v>
      </c>
      <c r="D14" s="407" t="s">
        <v>103</v>
      </c>
      <c r="E14" s="407"/>
      <c r="F14" s="407"/>
      <c r="G14" s="407"/>
      <c r="H14" s="407"/>
      <c r="I14" s="407"/>
      <c r="J14" s="407"/>
      <c r="K14" s="407"/>
      <c r="L14" s="407"/>
      <c r="M14" s="407"/>
      <c r="N14" s="407"/>
      <c r="O14" s="407"/>
      <c r="P14" s="407"/>
      <c r="Q14" s="407"/>
      <c r="R14" s="407"/>
      <c r="S14" s="407"/>
      <c r="T14" s="407"/>
      <c r="U14" s="407"/>
      <c r="V14" s="407"/>
      <c r="W14" s="407"/>
      <c r="X14" s="407"/>
      <c r="Y14" s="407"/>
      <c r="Z14" s="407"/>
      <c r="AA14" s="407"/>
      <c r="AB14" s="407"/>
      <c r="AC14" s="407"/>
      <c r="AD14" s="407"/>
      <c r="AE14" s="407"/>
      <c r="AF14" s="407"/>
      <c r="AG14" s="407"/>
      <c r="AJ14" s="51"/>
    </row>
    <row r="15" spans="2:36" ht="15" customHeight="1" x14ac:dyDescent="0.2">
      <c r="B15" s="30"/>
      <c r="C15" s="38">
        <f>1+C14</f>
        <v>3</v>
      </c>
      <c r="D15" s="407" t="s">
        <v>103</v>
      </c>
      <c r="E15" s="407"/>
      <c r="F15" s="407"/>
      <c r="G15" s="407"/>
      <c r="H15" s="407"/>
      <c r="I15" s="407"/>
      <c r="J15" s="407"/>
      <c r="K15" s="407"/>
      <c r="L15" s="407"/>
      <c r="M15" s="407"/>
      <c r="N15" s="407"/>
      <c r="O15" s="407"/>
      <c r="P15" s="407"/>
      <c r="Q15" s="407"/>
      <c r="R15" s="407"/>
      <c r="S15" s="407"/>
      <c r="T15" s="407"/>
      <c r="U15" s="407"/>
      <c r="V15" s="407"/>
      <c r="W15" s="407"/>
      <c r="X15" s="407"/>
      <c r="Y15" s="407"/>
      <c r="Z15" s="407"/>
      <c r="AA15" s="407"/>
      <c r="AB15" s="407"/>
      <c r="AC15" s="407"/>
      <c r="AD15" s="407"/>
      <c r="AE15" s="407"/>
      <c r="AF15" s="407"/>
      <c r="AG15" s="407"/>
      <c r="AH15" s="83"/>
      <c r="AI15" s="114"/>
      <c r="AJ15" s="51"/>
    </row>
    <row r="16" spans="2:36" ht="15" customHeight="1" x14ac:dyDescent="0.2">
      <c r="B16" s="30"/>
      <c r="C16" s="38"/>
      <c r="D16" s="407"/>
      <c r="E16" s="407"/>
      <c r="F16" s="407"/>
      <c r="G16" s="407"/>
      <c r="H16" s="407"/>
      <c r="I16" s="407"/>
      <c r="J16" s="407"/>
      <c r="K16" s="407"/>
      <c r="L16" s="407"/>
      <c r="M16" s="407"/>
      <c r="N16" s="407"/>
      <c r="O16" s="407"/>
      <c r="P16" s="407"/>
      <c r="Q16" s="407"/>
      <c r="R16" s="407"/>
      <c r="S16" s="407"/>
      <c r="T16" s="407"/>
      <c r="U16" s="407"/>
      <c r="V16" s="407"/>
      <c r="W16" s="407"/>
      <c r="X16" s="407"/>
      <c r="Y16" s="407"/>
      <c r="Z16" s="407"/>
      <c r="AA16" s="407"/>
      <c r="AB16" s="407"/>
      <c r="AC16" s="407"/>
      <c r="AD16" s="407"/>
      <c r="AE16" s="407"/>
      <c r="AF16" s="407"/>
      <c r="AG16" s="407"/>
      <c r="AH16" s="407"/>
      <c r="AI16" s="114"/>
      <c r="AJ16" s="51"/>
    </row>
    <row r="17" spans="2:36" ht="15" customHeight="1" x14ac:dyDescent="0.3">
      <c r="B17" s="30"/>
      <c r="C17" s="39" t="s">
        <v>104</v>
      </c>
      <c r="E17" s="40"/>
      <c r="F17" s="40"/>
      <c r="G17" s="40"/>
      <c r="J17" s="414">
        <f>+'CALCULO AMBULANTES'!G7</f>
        <v>0</v>
      </c>
      <c r="K17" s="414"/>
      <c r="L17" s="414"/>
      <c r="M17" s="414"/>
      <c r="N17" s="414"/>
      <c r="O17" s="414"/>
      <c r="P17" s="414"/>
      <c r="Q17" s="414"/>
      <c r="R17" s="414"/>
      <c r="S17" s="414"/>
      <c r="T17" s="414"/>
      <c r="U17" s="414"/>
      <c r="V17" s="414"/>
      <c r="W17" s="414"/>
      <c r="X17" s="414"/>
      <c r="Y17" s="414"/>
      <c r="AA17" s="33" t="s">
        <v>105</v>
      </c>
      <c r="AD17" s="412">
        <f>+'CALCULO AMBULANTES'!U7</f>
        <v>0</v>
      </c>
      <c r="AE17" s="412"/>
      <c r="AF17" s="412"/>
      <c r="AG17" s="412"/>
      <c r="AH17" s="412"/>
      <c r="AI17" s="412"/>
      <c r="AJ17" s="51"/>
    </row>
    <row r="18" spans="2:36" ht="15" customHeight="1" x14ac:dyDescent="0.25">
      <c r="B18" s="30"/>
      <c r="C18" s="39"/>
      <c r="E18" s="40"/>
      <c r="F18" s="40"/>
      <c r="G18" s="40"/>
      <c r="J18" s="36"/>
      <c r="AA18" s="33"/>
      <c r="AD18" s="41"/>
      <c r="AE18" s="41"/>
      <c r="AF18" s="41"/>
      <c r="AG18" s="41"/>
      <c r="AH18" s="41"/>
      <c r="AI18" s="41"/>
      <c r="AJ18" s="51"/>
    </row>
    <row r="19" spans="2:36" ht="15" customHeight="1" x14ac:dyDescent="0.25">
      <c r="B19" s="30"/>
      <c r="C19" s="33" t="s">
        <v>106</v>
      </c>
      <c r="I19" s="31"/>
      <c r="M19" s="411">
        <f>+AD17</f>
        <v>0</v>
      </c>
      <c r="N19" s="411"/>
      <c r="O19" s="411"/>
      <c r="P19" s="411"/>
      <c r="Q19" s="411"/>
      <c r="R19" s="33" t="s">
        <v>242</v>
      </c>
      <c r="AJ19" s="51"/>
    </row>
    <row r="20" spans="2:36" ht="20.25" customHeight="1" x14ac:dyDescent="0.2">
      <c r="B20" s="30"/>
      <c r="C20" s="33" t="s">
        <v>243</v>
      </c>
      <c r="T20" s="415">
        <v>2023</v>
      </c>
      <c r="U20" s="415"/>
      <c r="V20" s="408" t="s">
        <v>107</v>
      </c>
      <c r="W20" s="408"/>
      <c r="X20" s="408"/>
      <c r="Y20" s="408"/>
      <c r="Z20" s="408"/>
      <c r="AA20" s="408"/>
      <c r="AB20" s="408"/>
      <c r="AC20" s="408"/>
      <c r="AD20" s="408"/>
      <c r="AE20" s="408"/>
      <c r="AF20" s="408"/>
      <c r="AG20" s="408"/>
      <c r="AH20" s="408"/>
      <c r="AI20" s="115"/>
      <c r="AJ20" s="51"/>
    </row>
    <row r="21" spans="2:36" ht="15" customHeight="1" x14ac:dyDescent="0.2">
      <c r="B21" s="30"/>
      <c r="AJ21" s="51"/>
    </row>
    <row r="22" spans="2:36" ht="15" customHeight="1" x14ac:dyDescent="0.2">
      <c r="B22" s="30"/>
      <c r="AJ22" s="51"/>
    </row>
    <row r="23" spans="2:36" ht="15" customHeight="1" x14ac:dyDescent="0.2">
      <c r="B23" s="30"/>
      <c r="AJ23" s="51"/>
    </row>
    <row r="24" spans="2:36" ht="15" customHeight="1" x14ac:dyDescent="0.2">
      <c r="B24" s="30"/>
      <c r="AJ24" s="51"/>
    </row>
    <row r="25" spans="2:36" ht="15" customHeight="1" x14ac:dyDescent="0.2">
      <c r="B25" s="30"/>
      <c r="AJ25" s="51"/>
    </row>
    <row r="26" spans="2:36" ht="15" customHeight="1" x14ac:dyDescent="0.3">
      <c r="B26" s="30"/>
      <c r="C26" s="29"/>
      <c r="F26" s="44"/>
      <c r="G26" s="42"/>
      <c r="H26" s="45"/>
      <c r="AJ26" s="51"/>
    </row>
    <row r="27" spans="2:36" ht="20.100000000000001" customHeight="1" x14ac:dyDescent="0.2">
      <c r="B27" s="30"/>
      <c r="C27" s="29"/>
      <c r="G27" s="45"/>
      <c r="H27" s="45"/>
      <c r="AJ27" s="51"/>
    </row>
    <row r="28" spans="2:36" ht="15" customHeight="1" x14ac:dyDescent="0.2">
      <c r="B28" s="30"/>
      <c r="AJ28" s="51"/>
    </row>
    <row r="29" spans="2:36" ht="22.5" customHeight="1" x14ac:dyDescent="0.2">
      <c r="B29" s="30"/>
      <c r="C29" s="413" t="str">
        <f>+'RESOLUCION AMBULANTES'!M38</f>
        <v>Zeidy Campos Artavia</v>
      </c>
      <c r="D29" s="413"/>
      <c r="E29" s="413"/>
      <c r="F29" s="413"/>
      <c r="G29" s="413"/>
      <c r="H29" s="413"/>
      <c r="I29" s="413"/>
      <c r="J29" s="413"/>
      <c r="K29" s="413"/>
      <c r="L29" s="413"/>
      <c r="M29" s="413"/>
      <c r="N29" s="413"/>
      <c r="O29" s="413"/>
      <c r="P29" s="413"/>
      <c r="Q29" s="413"/>
      <c r="R29" s="413"/>
      <c r="S29" s="413"/>
      <c r="T29" s="413"/>
      <c r="U29" s="413"/>
      <c r="V29" s="413"/>
      <c r="W29" s="413"/>
      <c r="X29" s="413"/>
      <c r="Y29" s="413"/>
      <c r="Z29" s="413"/>
      <c r="AA29" s="413"/>
      <c r="AB29" s="413"/>
      <c r="AC29" s="413"/>
      <c r="AD29" s="413"/>
      <c r="AE29" s="413"/>
      <c r="AF29" s="413"/>
      <c r="AG29" s="413"/>
      <c r="AH29" s="413"/>
      <c r="AI29" s="413"/>
      <c r="AJ29" s="82"/>
    </row>
    <row r="30" spans="2:36" ht="15.75" customHeight="1" x14ac:dyDescent="0.2">
      <c r="B30" s="30"/>
      <c r="C30" s="409" t="str">
        <f>+'RESOLUCION AMBULANTES'!M39</f>
        <v>ASISTENTE TÉCNICO</v>
      </c>
      <c r="D30" s="409"/>
      <c r="E30" s="409"/>
      <c r="F30" s="409"/>
      <c r="G30" s="409"/>
      <c r="H30" s="409"/>
      <c r="I30" s="409"/>
      <c r="J30" s="409"/>
      <c r="K30" s="409"/>
      <c r="L30" s="409"/>
      <c r="M30" s="409"/>
      <c r="N30" s="409"/>
      <c r="O30" s="409"/>
      <c r="P30" s="409"/>
      <c r="Q30" s="409"/>
      <c r="R30" s="409"/>
      <c r="S30" s="409"/>
      <c r="T30" s="409"/>
      <c r="U30" s="409"/>
      <c r="V30" s="409"/>
      <c r="W30" s="409"/>
      <c r="X30" s="409"/>
      <c r="Y30" s="409"/>
      <c r="Z30" s="409"/>
      <c r="AA30" s="409"/>
      <c r="AB30" s="409"/>
      <c r="AC30" s="409"/>
      <c r="AD30" s="409"/>
      <c r="AE30" s="409"/>
      <c r="AF30" s="409"/>
      <c r="AG30" s="409"/>
      <c r="AH30" s="409"/>
      <c r="AI30" s="409"/>
      <c r="AJ30" s="410"/>
    </row>
    <row r="31" spans="2:36" ht="15" customHeight="1" x14ac:dyDescent="0.25">
      <c r="B31" s="30"/>
      <c r="C31" s="42" t="s">
        <v>109</v>
      </c>
      <c r="E31" s="46"/>
      <c r="AJ31" s="51"/>
    </row>
    <row r="32" spans="2:36" ht="15" customHeight="1" x14ac:dyDescent="0.2">
      <c r="B32" s="30"/>
      <c r="AJ32" s="51"/>
    </row>
    <row r="33" spans="2:36" ht="15" customHeight="1" x14ac:dyDescent="0.2">
      <c r="B33" s="30"/>
      <c r="AJ33" s="51"/>
    </row>
    <row r="34" spans="2:36" ht="15" customHeight="1" thickBot="1" x14ac:dyDescent="0.25">
      <c r="B34" s="47"/>
      <c r="C34" s="48"/>
      <c r="D34" s="49"/>
      <c r="E34" s="49"/>
      <c r="F34" s="49"/>
      <c r="G34" s="49"/>
      <c r="H34" s="49"/>
      <c r="I34" s="49"/>
      <c r="J34" s="49"/>
      <c r="K34" s="49"/>
      <c r="L34" s="49"/>
      <c r="M34" s="49"/>
      <c r="N34" s="49"/>
      <c r="O34" s="49"/>
      <c r="P34" s="49"/>
      <c r="Q34" s="49"/>
      <c r="R34" s="49"/>
      <c r="S34" s="49"/>
      <c r="T34" s="49"/>
      <c r="U34" s="49"/>
      <c r="V34" s="49"/>
      <c r="W34" s="49"/>
      <c r="X34" s="49"/>
      <c r="Y34" s="49"/>
      <c r="Z34" s="49"/>
      <c r="AA34" s="49"/>
      <c r="AB34" s="49"/>
      <c r="AC34" s="49"/>
      <c r="AD34" s="49"/>
      <c r="AE34" s="49"/>
      <c r="AF34" s="49"/>
      <c r="AG34" s="49"/>
      <c r="AH34" s="49"/>
      <c r="AI34" s="49"/>
      <c r="AJ34" s="52"/>
    </row>
  </sheetData>
  <mergeCells count="15">
    <mergeCell ref="C3:AJ3"/>
    <mergeCell ref="C4:AJ4"/>
    <mergeCell ref="C5:AJ5"/>
    <mergeCell ref="C7:AJ7"/>
    <mergeCell ref="D13:AG13"/>
    <mergeCell ref="D14:AG14"/>
    <mergeCell ref="D15:AG15"/>
    <mergeCell ref="V20:AH20"/>
    <mergeCell ref="C30:AJ30"/>
    <mergeCell ref="D16:AH16"/>
    <mergeCell ref="M19:Q19"/>
    <mergeCell ref="AD17:AI17"/>
    <mergeCell ref="C29:AI29"/>
    <mergeCell ref="J17:Y17"/>
    <mergeCell ref="T20:U20"/>
  </mergeCells>
  <phoneticPr fontId="0" type="noConversion"/>
  <printOptions horizontalCentered="1" verticalCentered="1"/>
  <pageMargins left="0" right="0" top="0" bottom="0" header="0" footer="0"/>
  <pageSetup scale="106" orientation="landscape" r:id="rId1"/>
  <headerFooter alignWithMargins="0">
    <oddHeader>&amp;L&amp;F  &amp;D  &amp;P</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I238"/>
  <sheetViews>
    <sheetView topLeftCell="A27" workbookViewId="0">
      <selection activeCell="C48" sqref="C48"/>
    </sheetView>
  </sheetViews>
  <sheetFormatPr baseColWidth="10" defaultColWidth="11.42578125" defaultRowHeight="12.75" x14ac:dyDescent="0.2"/>
  <cols>
    <col min="2" max="2" width="34" customWidth="1"/>
    <col min="3" max="3" width="22.28515625" customWidth="1"/>
    <col min="4" max="4" width="28.5703125" customWidth="1"/>
    <col min="5" max="5" width="51.5703125" bestFit="1" customWidth="1"/>
    <col min="7" max="7" width="17.7109375" bestFit="1" customWidth="1"/>
  </cols>
  <sheetData>
    <row r="2" spans="2:9" x14ac:dyDescent="0.2">
      <c r="B2" s="62" t="s">
        <v>111</v>
      </c>
      <c r="C2" s="70"/>
    </row>
    <row r="3" spans="2:9" x14ac:dyDescent="0.2">
      <c r="C3" s="70"/>
    </row>
    <row r="4" spans="2:9" x14ac:dyDescent="0.2">
      <c r="B4" t="s">
        <v>233</v>
      </c>
      <c r="C4" s="70"/>
    </row>
    <row r="5" spans="2:9" x14ac:dyDescent="0.2">
      <c r="B5" s="71" t="s">
        <v>112</v>
      </c>
      <c r="C5" s="182" t="s">
        <v>113</v>
      </c>
      <c r="D5" s="72" t="s">
        <v>111</v>
      </c>
      <c r="E5" t="s">
        <v>234</v>
      </c>
      <c r="G5" s="186" t="s">
        <v>32</v>
      </c>
      <c r="H5" s="175">
        <v>30</v>
      </c>
      <c r="I5" s="187" t="s">
        <v>228</v>
      </c>
    </row>
    <row r="6" spans="2:9" x14ac:dyDescent="0.2">
      <c r="B6" s="123" t="s">
        <v>114</v>
      </c>
      <c r="C6" s="185">
        <v>330299.11</v>
      </c>
      <c r="D6" s="183" t="s">
        <v>115</v>
      </c>
      <c r="E6" s="120"/>
      <c r="G6" s="186" t="s">
        <v>33</v>
      </c>
      <c r="H6" s="175">
        <v>20</v>
      </c>
      <c r="I6" s="187" t="s">
        <v>228</v>
      </c>
    </row>
    <row r="7" spans="2:9" x14ac:dyDescent="0.2">
      <c r="B7" s="123" t="s">
        <v>116</v>
      </c>
      <c r="C7" s="185">
        <v>356329.6</v>
      </c>
      <c r="D7" s="183" t="s">
        <v>117</v>
      </c>
      <c r="E7" s="120"/>
      <c r="G7" s="186" t="s">
        <v>34</v>
      </c>
      <c r="H7" s="175">
        <v>10</v>
      </c>
      <c r="I7" s="187" t="s">
        <v>228</v>
      </c>
    </row>
    <row r="8" spans="2:9" x14ac:dyDescent="0.2">
      <c r="B8" s="123" t="s">
        <v>118</v>
      </c>
      <c r="C8" s="185">
        <v>371610.27</v>
      </c>
      <c r="D8" s="184" t="s">
        <v>119</v>
      </c>
      <c r="E8" s="120"/>
    </row>
    <row r="9" spans="2:9" x14ac:dyDescent="0.2">
      <c r="B9" s="123" t="s">
        <v>120</v>
      </c>
      <c r="C9" s="185">
        <v>389421.08</v>
      </c>
      <c r="D9" s="184" t="s">
        <v>121</v>
      </c>
      <c r="E9" s="120"/>
      <c r="G9" s="123" t="s">
        <v>224</v>
      </c>
      <c r="H9" s="175">
        <v>30</v>
      </c>
      <c r="I9" s="187" t="s">
        <v>228</v>
      </c>
    </row>
    <row r="10" spans="2:9" x14ac:dyDescent="0.2">
      <c r="B10" s="123" t="s">
        <v>122</v>
      </c>
      <c r="C10" s="185">
        <v>421970.02</v>
      </c>
      <c r="D10" s="183" t="s">
        <v>123</v>
      </c>
      <c r="E10" s="120"/>
      <c r="G10" s="123" t="s">
        <v>225</v>
      </c>
      <c r="H10" s="175">
        <v>20</v>
      </c>
      <c r="I10" s="187" t="s">
        <v>228</v>
      </c>
    </row>
    <row r="11" spans="2:9" x14ac:dyDescent="0.2">
      <c r="B11" s="123" t="s">
        <v>124</v>
      </c>
      <c r="C11" s="185">
        <v>479918.65</v>
      </c>
      <c r="D11" s="183" t="s">
        <v>125</v>
      </c>
      <c r="E11" s="120"/>
      <c r="G11" s="123" t="s">
        <v>226</v>
      </c>
      <c r="H11" s="175">
        <v>10</v>
      </c>
      <c r="I11" s="187" t="s">
        <v>228</v>
      </c>
    </row>
    <row r="12" spans="2:9" x14ac:dyDescent="0.2">
      <c r="B12" s="123" t="s">
        <v>126</v>
      </c>
      <c r="C12" s="185">
        <v>518330.07</v>
      </c>
      <c r="D12" s="183" t="s">
        <v>127</v>
      </c>
      <c r="E12" s="120"/>
    </row>
    <row r="13" spans="2:9" ht="25.5" x14ac:dyDescent="0.2">
      <c r="B13" s="123" t="s">
        <v>128</v>
      </c>
      <c r="C13" s="185">
        <v>587908.98</v>
      </c>
      <c r="D13" s="183" t="s">
        <v>129</v>
      </c>
      <c r="E13" s="120"/>
      <c r="G13" s="71" t="s">
        <v>70</v>
      </c>
    </row>
    <row r="14" spans="2:9" x14ac:dyDescent="0.2">
      <c r="B14" s="123" t="s">
        <v>66</v>
      </c>
      <c r="C14" s="185">
        <v>705514.95</v>
      </c>
      <c r="D14" s="183" t="s">
        <v>130</v>
      </c>
      <c r="E14" s="120"/>
      <c r="G14" s="183">
        <v>18</v>
      </c>
      <c r="H14" s="175">
        <v>30</v>
      </c>
      <c r="I14" s="187" t="s">
        <v>228</v>
      </c>
    </row>
    <row r="15" spans="2:9" ht="39.75" customHeight="1" x14ac:dyDescent="0.2">
      <c r="B15" s="423"/>
      <c r="C15" s="423"/>
      <c r="D15" s="423"/>
      <c r="G15" s="183">
        <f>1+G14</f>
        <v>19</v>
      </c>
      <c r="H15" s="175">
        <v>30</v>
      </c>
      <c r="I15" s="187" t="s">
        <v>228</v>
      </c>
    </row>
    <row r="16" spans="2:9" x14ac:dyDescent="0.2">
      <c r="G16" s="183">
        <f t="shared" ref="G16:G79" si="0">1+G15</f>
        <v>20</v>
      </c>
      <c r="H16" s="175">
        <v>30</v>
      </c>
      <c r="I16" s="187" t="s">
        <v>228</v>
      </c>
    </row>
    <row r="17" spans="1:9" x14ac:dyDescent="0.2">
      <c r="A17">
        <v>1</v>
      </c>
      <c r="B17" s="120" t="s">
        <v>145</v>
      </c>
      <c r="C17" s="120">
        <v>503170889</v>
      </c>
      <c r="D17" s="122" t="s">
        <v>131</v>
      </c>
      <c r="E17" s="121" t="s">
        <v>135</v>
      </c>
      <c r="G17" s="183">
        <f t="shared" si="0"/>
        <v>21</v>
      </c>
      <c r="H17" s="175">
        <v>30</v>
      </c>
      <c r="I17" s="187" t="s">
        <v>228</v>
      </c>
    </row>
    <row r="18" spans="1:9" x14ac:dyDescent="0.2">
      <c r="A18">
        <f>1+A17</f>
        <v>2</v>
      </c>
      <c r="B18" s="120" t="s">
        <v>140</v>
      </c>
      <c r="C18" s="120">
        <v>502140609</v>
      </c>
      <c r="D18" s="122" t="s">
        <v>131</v>
      </c>
      <c r="E18" s="121" t="s">
        <v>141</v>
      </c>
      <c r="G18" s="183">
        <f t="shared" si="0"/>
        <v>22</v>
      </c>
      <c r="H18" s="175">
        <v>30</v>
      </c>
      <c r="I18" s="187" t="s">
        <v>228</v>
      </c>
    </row>
    <row r="19" spans="1:9" x14ac:dyDescent="0.2">
      <c r="A19">
        <f t="shared" ref="A19:A34" si="1">1+A18</f>
        <v>3</v>
      </c>
      <c r="B19" s="120" t="s">
        <v>108</v>
      </c>
      <c r="C19" s="120">
        <v>603090875</v>
      </c>
      <c r="D19" s="122" t="s">
        <v>131</v>
      </c>
      <c r="E19" s="121" t="s">
        <v>142</v>
      </c>
      <c r="G19" s="183">
        <f t="shared" si="0"/>
        <v>23</v>
      </c>
      <c r="H19" s="175">
        <v>30</v>
      </c>
      <c r="I19" s="187" t="s">
        <v>228</v>
      </c>
    </row>
    <row r="20" spans="1:9" x14ac:dyDescent="0.2">
      <c r="A20">
        <f t="shared" si="1"/>
        <v>4</v>
      </c>
      <c r="B20" s="120" t="s">
        <v>87</v>
      </c>
      <c r="C20" s="120">
        <v>108770167</v>
      </c>
      <c r="D20" s="122" t="s">
        <v>139</v>
      </c>
      <c r="E20" s="121" t="s">
        <v>138</v>
      </c>
      <c r="G20" s="183">
        <f t="shared" si="0"/>
        <v>24</v>
      </c>
      <c r="H20" s="175">
        <v>30</v>
      </c>
      <c r="I20" s="187" t="s">
        <v>228</v>
      </c>
    </row>
    <row r="21" spans="1:9" x14ac:dyDescent="0.2">
      <c r="A21">
        <f t="shared" si="1"/>
        <v>5</v>
      </c>
      <c r="B21" s="120" t="s">
        <v>146</v>
      </c>
      <c r="C21" s="120">
        <v>109850926</v>
      </c>
      <c r="D21" s="122" t="s">
        <v>148</v>
      </c>
      <c r="E21" s="121" t="s">
        <v>147</v>
      </c>
      <c r="G21" s="183">
        <f t="shared" si="0"/>
        <v>25</v>
      </c>
      <c r="H21" s="175">
        <v>30</v>
      </c>
      <c r="I21" s="187" t="s">
        <v>228</v>
      </c>
    </row>
    <row r="22" spans="1:9" x14ac:dyDescent="0.2">
      <c r="A22">
        <f t="shared" si="1"/>
        <v>6</v>
      </c>
      <c r="B22" s="120" t="s">
        <v>149</v>
      </c>
      <c r="C22" s="120">
        <v>603970773</v>
      </c>
      <c r="D22" s="122" t="s">
        <v>151</v>
      </c>
      <c r="E22" s="121" t="s">
        <v>150</v>
      </c>
      <c r="G22" s="183">
        <f t="shared" si="0"/>
        <v>26</v>
      </c>
      <c r="H22" s="175">
        <v>30</v>
      </c>
      <c r="I22" s="187" t="s">
        <v>228</v>
      </c>
    </row>
    <row r="23" spans="1:9" x14ac:dyDescent="0.2">
      <c r="A23">
        <f t="shared" si="1"/>
        <v>7</v>
      </c>
      <c r="B23" s="120" t="s">
        <v>152</v>
      </c>
      <c r="C23" s="120">
        <v>109140785</v>
      </c>
      <c r="D23" s="122" t="s">
        <v>154</v>
      </c>
      <c r="E23" s="121" t="s">
        <v>153</v>
      </c>
      <c r="G23" s="183">
        <f t="shared" si="0"/>
        <v>27</v>
      </c>
      <c r="H23" s="175">
        <v>30</v>
      </c>
      <c r="I23" s="187" t="s">
        <v>228</v>
      </c>
    </row>
    <row r="24" spans="1:9" x14ac:dyDescent="0.2">
      <c r="A24">
        <f t="shared" si="1"/>
        <v>8</v>
      </c>
      <c r="B24" s="120" t="s">
        <v>136</v>
      </c>
      <c r="C24" s="120">
        <v>108440863</v>
      </c>
      <c r="D24" s="122" t="s">
        <v>155</v>
      </c>
      <c r="E24" s="121" t="s">
        <v>137</v>
      </c>
      <c r="G24" s="183">
        <f t="shared" si="0"/>
        <v>28</v>
      </c>
      <c r="H24" s="175">
        <v>30</v>
      </c>
      <c r="I24" s="187" t="s">
        <v>228</v>
      </c>
    </row>
    <row r="25" spans="1:9" x14ac:dyDescent="0.2">
      <c r="A25">
        <f t="shared" si="1"/>
        <v>9</v>
      </c>
      <c r="B25" s="120" t="s">
        <v>156</v>
      </c>
      <c r="C25" s="120">
        <v>207080293</v>
      </c>
      <c r="D25" s="122" t="s">
        <v>155</v>
      </c>
      <c r="E25" s="121" t="s">
        <v>157</v>
      </c>
      <c r="G25" s="183">
        <f t="shared" si="0"/>
        <v>29</v>
      </c>
      <c r="H25" s="175">
        <v>30</v>
      </c>
      <c r="I25" s="187" t="s">
        <v>228</v>
      </c>
    </row>
    <row r="26" spans="1:9" x14ac:dyDescent="0.2">
      <c r="A26">
        <f t="shared" si="1"/>
        <v>10</v>
      </c>
      <c r="B26" s="123" t="s">
        <v>158</v>
      </c>
      <c r="C26" s="120">
        <v>502950045</v>
      </c>
      <c r="D26" s="123" t="s">
        <v>155</v>
      </c>
      <c r="E26" s="121" t="s">
        <v>159</v>
      </c>
      <c r="G26" s="183">
        <f t="shared" si="0"/>
        <v>30</v>
      </c>
      <c r="H26" s="175">
        <v>30</v>
      </c>
      <c r="I26" s="187" t="s">
        <v>228</v>
      </c>
    </row>
    <row r="27" spans="1:9" x14ac:dyDescent="0.2">
      <c r="A27">
        <f t="shared" si="1"/>
        <v>11</v>
      </c>
      <c r="B27" s="120" t="s">
        <v>132</v>
      </c>
      <c r="C27" s="124">
        <v>502820803</v>
      </c>
      <c r="D27" s="122" t="s">
        <v>134</v>
      </c>
      <c r="E27" s="121" t="s">
        <v>133</v>
      </c>
      <c r="G27" s="183">
        <f t="shared" si="0"/>
        <v>31</v>
      </c>
      <c r="H27" s="175">
        <v>20</v>
      </c>
      <c r="I27" s="187" t="s">
        <v>228</v>
      </c>
    </row>
    <row r="28" spans="1:9" x14ac:dyDescent="0.2">
      <c r="A28">
        <f t="shared" si="1"/>
        <v>12</v>
      </c>
      <c r="B28" s="123" t="s">
        <v>160</v>
      </c>
      <c r="C28" s="124">
        <v>504270106</v>
      </c>
      <c r="D28" s="122" t="s">
        <v>134</v>
      </c>
      <c r="E28" s="121" t="s">
        <v>135</v>
      </c>
      <c r="G28" s="183">
        <f t="shared" si="0"/>
        <v>32</v>
      </c>
      <c r="H28" s="175">
        <v>20</v>
      </c>
      <c r="I28" s="187" t="s">
        <v>228</v>
      </c>
    </row>
    <row r="29" spans="1:9" x14ac:dyDescent="0.2">
      <c r="A29">
        <f t="shared" si="1"/>
        <v>13</v>
      </c>
      <c r="B29" s="123" t="s">
        <v>161</v>
      </c>
      <c r="C29" s="124">
        <v>116680794</v>
      </c>
      <c r="D29" s="122" t="s">
        <v>134</v>
      </c>
      <c r="E29" s="121" t="s">
        <v>162</v>
      </c>
      <c r="G29" s="183">
        <f t="shared" si="0"/>
        <v>33</v>
      </c>
      <c r="H29" s="175">
        <v>20</v>
      </c>
      <c r="I29" s="187" t="s">
        <v>228</v>
      </c>
    </row>
    <row r="30" spans="1:9" x14ac:dyDescent="0.2">
      <c r="A30">
        <f t="shared" si="1"/>
        <v>14</v>
      </c>
      <c r="B30" s="120" t="s">
        <v>143</v>
      </c>
      <c r="C30" s="120">
        <v>504100858</v>
      </c>
      <c r="D30" s="122" t="s">
        <v>134</v>
      </c>
      <c r="E30" s="125" t="s">
        <v>163</v>
      </c>
      <c r="G30" s="183">
        <f t="shared" si="0"/>
        <v>34</v>
      </c>
      <c r="H30" s="175">
        <v>20</v>
      </c>
      <c r="I30" s="187" t="s">
        <v>228</v>
      </c>
    </row>
    <row r="31" spans="1:9" x14ac:dyDescent="0.2">
      <c r="A31">
        <f t="shared" si="1"/>
        <v>15</v>
      </c>
      <c r="B31" s="120" t="s">
        <v>164</v>
      </c>
      <c r="C31" s="120">
        <v>504110305</v>
      </c>
      <c r="D31" s="122" t="s">
        <v>134</v>
      </c>
      <c r="E31" s="125" t="s">
        <v>165</v>
      </c>
      <c r="G31" s="183">
        <f t="shared" si="0"/>
        <v>35</v>
      </c>
      <c r="H31" s="175">
        <v>20</v>
      </c>
      <c r="I31" s="187" t="s">
        <v>228</v>
      </c>
    </row>
    <row r="32" spans="1:9" x14ac:dyDescent="0.2">
      <c r="A32">
        <f t="shared" si="1"/>
        <v>16</v>
      </c>
      <c r="B32" s="123"/>
      <c r="C32" s="120"/>
      <c r="D32" s="120"/>
      <c r="G32" s="183">
        <f t="shared" si="0"/>
        <v>36</v>
      </c>
      <c r="H32" s="175">
        <v>20</v>
      </c>
      <c r="I32" s="187" t="s">
        <v>228</v>
      </c>
    </row>
    <row r="33" spans="1:9" x14ac:dyDescent="0.2">
      <c r="A33">
        <f t="shared" si="1"/>
        <v>17</v>
      </c>
      <c r="B33" s="123"/>
      <c r="C33" s="120"/>
      <c r="D33" s="120"/>
      <c r="E33" s="120"/>
      <c r="G33" s="183">
        <f t="shared" si="0"/>
        <v>37</v>
      </c>
      <c r="H33" s="175">
        <v>20</v>
      </c>
      <c r="I33" s="187" t="s">
        <v>228</v>
      </c>
    </row>
    <row r="34" spans="1:9" x14ac:dyDescent="0.2">
      <c r="A34">
        <f t="shared" si="1"/>
        <v>18</v>
      </c>
      <c r="B34" s="123"/>
      <c r="C34" s="120"/>
      <c r="D34" s="120"/>
      <c r="E34" s="120"/>
      <c r="G34" s="183">
        <f t="shared" si="0"/>
        <v>38</v>
      </c>
      <c r="H34" s="175">
        <v>20</v>
      </c>
      <c r="I34" s="187" t="s">
        <v>228</v>
      </c>
    </row>
    <row r="35" spans="1:9" x14ac:dyDescent="0.2">
      <c r="G35" s="183">
        <f t="shared" si="0"/>
        <v>39</v>
      </c>
      <c r="H35" s="175">
        <v>20</v>
      </c>
      <c r="I35" s="187" t="s">
        <v>228</v>
      </c>
    </row>
    <row r="36" spans="1:9" x14ac:dyDescent="0.2">
      <c r="G36" s="183">
        <f t="shared" si="0"/>
        <v>40</v>
      </c>
      <c r="H36" s="175">
        <v>20</v>
      </c>
      <c r="I36" s="187" t="s">
        <v>228</v>
      </c>
    </row>
    <row r="37" spans="1:9" x14ac:dyDescent="0.2">
      <c r="G37" s="183">
        <f t="shared" si="0"/>
        <v>41</v>
      </c>
      <c r="H37" s="175">
        <v>20</v>
      </c>
      <c r="I37" s="187" t="s">
        <v>228</v>
      </c>
    </row>
    <row r="38" spans="1:9" x14ac:dyDescent="0.2">
      <c r="G38" s="183">
        <f t="shared" si="0"/>
        <v>42</v>
      </c>
      <c r="H38" s="175">
        <v>20</v>
      </c>
      <c r="I38" s="187" t="s">
        <v>228</v>
      </c>
    </row>
    <row r="39" spans="1:9" x14ac:dyDescent="0.2">
      <c r="G39" s="183">
        <f t="shared" si="0"/>
        <v>43</v>
      </c>
      <c r="H39" s="175">
        <v>20</v>
      </c>
      <c r="I39" s="187" t="s">
        <v>228</v>
      </c>
    </row>
    <row r="40" spans="1:9" x14ac:dyDescent="0.2">
      <c r="G40" s="183">
        <f t="shared" si="0"/>
        <v>44</v>
      </c>
      <c r="H40" s="175">
        <v>20</v>
      </c>
      <c r="I40" s="187" t="s">
        <v>228</v>
      </c>
    </row>
    <row r="41" spans="1:9" x14ac:dyDescent="0.2">
      <c r="G41" s="183">
        <f t="shared" si="0"/>
        <v>45</v>
      </c>
      <c r="H41" s="175">
        <v>20</v>
      </c>
      <c r="I41" s="187" t="s">
        <v>228</v>
      </c>
    </row>
    <row r="42" spans="1:9" x14ac:dyDescent="0.2">
      <c r="G42" s="183">
        <f t="shared" si="0"/>
        <v>46</v>
      </c>
      <c r="H42" s="175">
        <v>20</v>
      </c>
      <c r="I42" s="187" t="s">
        <v>228</v>
      </c>
    </row>
    <row r="43" spans="1:9" ht="15" customHeight="1" x14ac:dyDescent="0.2">
      <c r="C43" s="84" t="s">
        <v>36</v>
      </c>
      <c r="F43" s="73"/>
      <c r="G43" s="183">
        <f t="shared" si="0"/>
        <v>47</v>
      </c>
      <c r="H43" s="175">
        <v>20</v>
      </c>
      <c r="I43" s="187" t="s">
        <v>228</v>
      </c>
    </row>
    <row r="44" spans="1:9" ht="15" customHeight="1" x14ac:dyDescent="0.2">
      <c r="C44" s="84" t="s">
        <v>144</v>
      </c>
      <c r="F44" s="73"/>
      <c r="G44" s="183">
        <f t="shared" si="0"/>
        <v>48</v>
      </c>
      <c r="H44" s="175">
        <v>20</v>
      </c>
      <c r="I44" s="187" t="s">
        <v>228</v>
      </c>
    </row>
    <row r="45" spans="1:9" ht="15" customHeight="1" x14ac:dyDescent="0.2">
      <c r="C45" s="84"/>
      <c r="F45" s="73"/>
      <c r="G45" s="183">
        <f t="shared" si="0"/>
        <v>49</v>
      </c>
      <c r="H45" s="175">
        <v>20</v>
      </c>
      <c r="I45" s="187" t="s">
        <v>228</v>
      </c>
    </row>
    <row r="46" spans="1:9" x14ac:dyDescent="0.2">
      <c r="B46" t="s">
        <v>246</v>
      </c>
      <c r="C46" s="84"/>
      <c r="G46" s="183">
        <f t="shared" si="0"/>
        <v>50</v>
      </c>
      <c r="H46" s="175">
        <v>20</v>
      </c>
      <c r="I46" s="187" t="s">
        <v>228</v>
      </c>
    </row>
    <row r="47" spans="1:9" x14ac:dyDescent="0.2">
      <c r="B47" s="203" t="s">
        <v>251</v>
      </c>
      <c r="C47" s="203" t="s">
        <v>232</v>
      </c>
      <c r="G47" s="183">
        <f t="shared" si="0"/>
        <v>51</v>
      </c>
      <c r="H47" s="175">
        <v>20</v>
      </c>
      <c r="I47" s="187" t="s">
        <v>228</v>
      </c>
    </row>
    <row r="48" spans="1:9" x14ac:dyDescent="0.2">
      <c r="B48" s="203" t="s">
        <v>252</v>
      </c>
      <c r="C48" s="203" t="s">
        <v>253</v>
      </c>
      <c r="G48" s="183">
        <f t="shared" si="0"/>
        <v>52</v>
      </c>
      <c r="H48" s="175">
        <v>20</v>
      </c>
      <c r="I48" s="187" t="s">
        <v>228</v>
      </c>
    </row>
    <row r="49" spans="7:9" x14ac:dyDescent="0.2">
      <c r="G49" s="183">
        <f t="shared" si="0"/>
        <v>53</v>
      </c>
      <c r="H49" s="175">
        <v>20</v>
      </c>
      <c r="I49" s="187" t="s">
        <v>228</v>
      </c>
    </row>
    <row r="50" spans="7:9" x14ac:dyDescent="0.2">
      <c r="G50" s="183">
        <f t="shared" si="0"/>
        <v>54</v>
      </c>
      <c r="H50" s="175">
        <v>20</v>
      </c>
      <c r="I50" s="187" t="s">
        <v>228</v>
      </c>
    </row>
    <row r="51" spans="7:9" x14ac:dyDescent="0.2">
      <c r="G51" s="183">
        <f t="shared" si="0"/>
        <v>55</v>
      </c>
      <c r="H51" s="175">
        <v>20</v>
      </c>
      <c r="I51" s="187" t="s">
        <v>228</v>
      </c>
    </row>
    <row r="52" spans="7:9" x14ac:dyDescent="0.2">
      <c r="G52" s="183">
        <f t="shared" si="0"/>
        <v>56</v>
      </c>
      <c r="H52" s="175">
        <v>20</v>
      </c>
      <c r="I52" s="187" t="s">
        <v>228</v>
      </c>
    </row>
    <row r="53" spans="7:9" x14ac:dyDescent="0.2">
      <c r="G53" s="183">
        <f t="shared" si="0"/>
        <v>57</v>
      </c>
      <c r="H53" s="175">
        <v>20</v>
      </c>
      <c r="I53" s="187" t="s">
        <v>228</v>
      </c>
    </row>
    <row r="54" spans="7:9" x14ac:dyDescent="0.2">
      <c r="G54" s="183">
        <f t="shared" si="0"/>
        <v>58</v>
      </c>
      <c r="H54" s="175">
        <v>20</v>
      </c>
      <c r="I54" s="187" t="s">
        <v>228</v>
      </c>
    </row>
    <row r="55" spans="7:9" x14ac:dyDescent="0.2">
      <c r="G55" s="183">
        <f t="shared" si="0"/>
        <v>59</v>
      </c>
      <c r="H55" s="175">
        <v>20</v>
      </c>
      <c r="I55" s="187" t="s">
        <v>228</v>
      </c>
    </row>
    <row r="56" spans="7:9" x14ac:dyDescent="0.2">
      <c r="G56" s="183">
        <f t="shared" si="0"/>
        <v>60</v>
      </c>
      <c r="H56" s="175">
        <v>20</v>
      </c>
      <c r="I56" s="187" t="s">
        <v>228</v>
      </c>
    </row>
    <row r="57" spans="7:9" x14ac:dyDescent="0.2">
      <c r="G57" s="183">
        <f t="shared" si="0"/>
        <v>61</v>
      </c>
      <c r="H57" s="175">
        <v>10</v>
      </c>
      <c r="I57" s="187" t="s">
        <v>228</v>
      </c>
    </row>
    <row r="58" spans="7:9" x14ac:dyDescent="0.2">
      <c r="G58" s="183">
        <f t="shared" si="0"/>
        <v>62</v>
      </c>
      <c r="H58" s="175">
        <v>10</v>
      </c>
      <c r="I58" s="187" t="s">
        <v>228</v>
      </c>
    </row>
    <row r="59" spans="7:9" x14ac:dyDescent="0.2">
      <c r="G59" s="183">
        <f t="shared" si="0"/>
        <v>63</v>
      </c>
      <c r="H59" s="175">
        <v>10</v>
      </c>
      <c r="I59" s="187" t="s">
        <v>228</v>
      </c>
    </row>
    <row r="60" spans="7:9" x14ac:dyDescent="0.2">
      <c r="G60" s="183">
        <f t="shared" si="0"/>
        <v>64</v>
      </c>
      <c r="H60" s="175">
        <v>10</v>
      </c>
      <c r="I60" s="187" t="s">
        <v>228</v>
      </c>
    </row>
    <row r="61" spans="7:9" x14ac:dyDescent="0.2">
      <c r="G61" s="183">
        <f t="shared" si="0"/>
        <v>65</v>
      </c>
      <c r="H61" s="175">
        <v>10</v>
      </c>
      <c r="I61" s="187" t="s">
        <v>228</v>
      </c>
    </row>
    <row r="62" spans="7:9" x14ac:dyDescent="0.2">
      <c r="G62" s="183">
        <f t="shared" si="0"/>
        <v>66</v>
      </c>
      <c r="H62" s="175">
        <v>10</v>
      </c>
      <c r="I62" s="187" t="s">
        <v>228</v>
      </c>
    </row>
    <row r="63" spans="7:9" x14ac:dyDescent="0.2">
      <c r="G63" s="183">
        <f t="shared" si="0"/>
        <v>67</v>
      </c>
      <c r="H63" s="175">
        <v>10</v>
      </c>
      <c r="I63" s="187" t="s">
        <v>228</v>
      </c>
    </row>
    <row r="64" spans="7:9" x14ac:dyDescent="0.2">
      <c r="G64" s="183">
        <f t="shared" si="0"/>
        <v>68</v>
      </c>
      <c r="H64" s="175">
        <v>10</v>
      </c>
      <c r="I64" s="187" t="s">
        <v>228</v>
      </c>
    </row>
    <row r="65" spans="7:9" x14ac:dyDescent="0.2">
      <c r="G65" s="183">
        <f t="shared" si="0"/>
        <v>69</v>
      </c>
      <c r="H65" s="175">
        <v>10</v>
      </c>
      <c r="I65" s="187" t="s">
        <v>228</v>
      </c>
    </row>
    <row r="66" spans="7:9" x14ac:dyDescent="0.2">
      <c r="G66" s="183">
        <f t="shared" si="0"/>
        <v>70</v>
      </c>
      <c r="H66" s="175">
        <v>10</v>
      </c>
      <c r="I66" s="187" t="s">
        <v>228</v>
      </c>
    </row>
    <row r="67" spans="7:9" x14ac:dyDescent="0.2">
      <c r="G67" s="183">
        <f t="shared" si="0"/>
        <v>71</v>
      </c>
      <c r="H67" s="175">
        <v>10</v>
      </c>
      <c r="I67" s="187" t="s">
        <v>228</v>
      </c>
    </row>
    <row r="68" spans="7:9" x14ac:dyDescent="0.2">
      <c r="G68" s="183">
        <f t="shared" si="0"/>
        <v>72</v>
      </c>
      <c r="H68" s="175">
        <v>10</v>
      </c>
      <c r="I68" s="187" t="s">
        <v>228</v>
      </c>
    </row>
    <row r="69" spans="7:9" x14ac:dyDescent="0.2">
      <c r="G69" s="183">
        <f t="shared" si="0"/>
        <v>73</v>
      </c>
      <c r="H69" s="175">
        <v>10</v>
      </c>
      <c r="I69" s="187" t="s">
        <v>228</v>
      </c>
    </row>
    <row r="70" spans="7:9" x14ac:dyDescent="0.2">
      <c r="G70" s="183">
        <f t="shared" si="0"/>
        <v>74</v>
      </c>
      <c r="H70" s="175">
        <v>10</v>
      </c>
      <c r="I70" s="187" t="s">
        <v>228</v>
      </c>
    </row>
    <row r="71" spans="7:9" x14ac:dyDescent="0.2">
      <c r="G71" s="183">
        <f t="shared" si="0"/>
        <v>75</v>
      </c>
      <c r="H71" s="175">
        <v>10</v>
      </c>
      <c r="I71" s="187" t="s">
        <v>228</v>
      </c>
    </row>
    <row r="72" spans="7:9" x14ac:dyDescent="0.2">
      <c r="G72" s="183">
        <f t="shared" si="0"/>
        <v>76</v>
      </c>
      <c r="H72" s="175">
        <v>10</v>
      </c>
      <c r="I72" s="187" t="s">
        <v>228</v>
      </c>
    </row>
    <row r="73" spans="7:9" x14ac:dyDescent="0.2">
      <c r="G73" s="183">
        <f t="shared" si="0"/>
        <v>77</v>
      </c>
      <c r="H73" s="175">
        <v>10</v>
      </c>
      <c r="I73" s="187" t="s">
        <v>228</v>
      </c>
    </row>
    <row r="74" spans="7:9" x14ac:dyDescent="0.2">
      <c r="G74" s="183">
        <f t="shared" si="0"/>
        <v>78</v>
      </c>
      <c r="H74" s="175">
        <v>10</v>
      </c>
      <c r="I74" s="187" t="s">
        <v>228</v>
      </c>
    </row>
    <row r="75" spans="7:9" x14ac:dyDescent="0.2">
      <c r="G75" s="183">
        <f t="shared" si="0"/>
        <v>79</v>
      </c>
      <c r="H75" s="175">
        <v>10</v>
      </c>
      <c r="I75" s="187" t="s">
        <v>228</v>
      </c>
    </row>
    <row r="76" spans="7:9" x14ac:dyDescent="0.2">
      <c r="G76" s="183">
        <f t="shared" si="0"/>
        <v>80</v>
      </c>
      <c r="H76" s="175">
        <v>10</v>
      </c>
      <c r="I76" s="187" t="s">
        <v>228</v>
      </c>
    </row>
    <row r="77" spans="7:9" x14ac:dyDescent="0.2">
      <c r="G77" s="183">
        <f t="shared" si="0"/>
        <v>81</v>
      </c>
      <c r="H77" s="175">
        <v>10</v>
      </c>
      <c r="I77" s="187" t="s">
        <v>228</v>
      </c>
    </row>
    <row r="78" spans="7:9" x14ac:dyDescent="0.2">
      <c r="G78" s="183">
        <f t="shared" si="0"/>
        <v>82</v>
      </c>
      <c r="H78" s="175">
        <v>10</v>
      </c>
      <c r="I78" s="187" t="s">
        <v>228</v>
      </c>
    </row>
    <row r="79" spans="7:9" x14ac:dyDescent="0.2">
      <c r="G79" s="183">
        <f t="shared" si="0"/>
        <v>83</v>
      </c>
      <c r="H79" s="175">
        <v>10</v>
      </c>
      <c r="I79" s="187" t="s">
        <v>228</v>
      </c>
    </row>
    <row r="80" spans="7:9" x14ac:dyDescent="0.2">
      <c r="G80" s="183">
        <f t="shared" ref="G80:G82" si="2">1+G79</f>
        <v>84</v>
      </c>
      <c r="H80" s="175">
        <v>10</v>
      </c>
      <c r="I80" s="187" t="s">
        <v>228</v>
      </c>
    </row>
    <row r="81" spans="7:9" x14ac:dyDescent="0.2">
      <c r="G81" s="183">
        <f t="shared" si="2"/>
        <v>85</v>
      </c>
      <c r="H81" s="175">
        <v>10</v>
      </c>
      <c r="I81" s="187" t="s">
        <v>228</v>
      </c>
    </row>
    <row r="82" spans="7:9" x14ac:dyDescent="0.2">
      <c r="G82" s="183">
        <f t="shared" si="2"/>
        <v>86</v>
      </c>
      <c r="H82" s="175">
        <v>10</v>
      </c>
      <c r="I82" s="187" t="s">
        <v>228</v>
      </c>
    </row>
    <row r="112" spans="5:5" x14ac:dyDescent="0.2">
      <c r="E112" s="119"/>
    </row>
    <row r="113" spans="5:5" x14ac:dyDescent="0.2">
      <c r="E113" s="119"/>
    </row>
    <row r="114" spans="5:5" x14ac:dyDescent="0.2">
      <c r="E114" s="119"/>
    </row>
    <row r="115" spans="5:5" x14ac:dyDescent="0.2">
      <c r="E115" s="119"/>
    </row>
    <row r="116" spans="5:5" x14ac:dyDescent="0.2">
      <c r="E116" s="119"/>
    </row>
    <row r="117" spans="5:5" x14ac:dyDescent="0.2">
      <c r="E117" s="119"/>
    </row>
    <row r="118" spans="5:5" x14ac:dyDescent="0.2">
      <c r="E118" s="119"/>
    </row>
    <row r="119" spans="5:5" x14ac:dyDescent="0.2">
      <c r="E119" s="119"/>
    </row>
    <row r="120" spans="5:5" x14ac:dyDescent="0.2">
      <c r="E120" s="119"/>
    </row>
    <row r="121" spans="5:5" x14ac:dyDescent="0.2">
      <c r="E121" s="119"/>
    </row>
    <row r="122" spans="5:5" x14ac:dyDescent="0.2">
      <c r="E122" s="119"/>
    </row>
    <row r="123" spans="5:5" x14ac:dyDescent="0.2">
      <c r="E123" s="119"/>
    </row>
    <row r="124" spans="5:5" x14ac:dyDescent="0.2">
      <c r="E124" s="119"/>
    </row>
    <row r="125" spans="5:5" x14ac:dyDescent="0.2">
      <c r="E125" s="119"/>
    </row>
    <row r="126" spans="5:5" x14ac:dyDescent="0.2">
      <c r="E126" s="119"/>
    </row>
    <row r="127" spans="5:5" x14ac:dyDescent="0.2">
      <c r="E127" s="119"/>
    </row>
    <row r="128" spans="5:5" x14ac:dyDescent="0.2">
      <c r="E128" s="119"/>
    </row>
    <row r="129" spans="5:5" x14ac:dyDescent="0.2">
      <c r="E129" s="119"/>
    </row>
    <row r="130" spans="5:5" x14ac:dyDescent="0.2">
      <c r="E130" s="119"/>
    </row>
    <row r="131" spans="5:5" x14ac:dyDescent="0.2">
      <c r="E131" s="119"/>
    </row>
    <row r="132" spans="5:5" x14ac:dyDescent="0.2">
      <c r="E132" s="119"/>
    </row>
    <row r="133" spans="5:5" x14ac:dyDescent="0.2">
      <c r="E133" s="119"/>
    </row>
    <row r="134" spans="5:5" x14ac:dyDescent="0.2">
      <c r="E134" s="119"/>
    </row>
    <row r="135" spans="5:5" x14ac:dyDescent="0.2">
      <c r="E135" s="119"/>
    </row>
    <row r="136" spans="5:5" x14ac:dyDescent="0.2">
      <c r="E136" s="119"/>
    </row>
    <row r="137" spans="5:5" x14ac:dyDescent="0.2">
      <c r="E137" s="119"/>
    </row>
    <row r="138" spans="5:5" x14ac:dyDescent="0.2">
      <c r="E138" s="119"/>
    </row>
    <row r="139" spans="5:5" x14ac:dyDescent="0.2">
      <c r="E139" s="119"/>
    </row>
    <row r="140" spans="5:5" x14ac:dyDescent="0.2">
      <c r="E140" s="119"/>
    </row>
    <row r="141" spans="5:5" x14ac:dyDescent="0.2">
      <c r="E141" s="119"/>
    </row>
    <row r="142" spans="5:5" x14ac:dyDescent="0.2">
      <c r="E142" s="119"/>
    </row>
    <row r="143" spans="5:5" x14ac:dyDescent="0.2">
      <c r="E143" s="119"/>
    </row>
    <row r="144" spans="5:5" x14ac:dyDescent="0.2">
      <c r="E144" s="119"/>
    </row>
    <row r="145" spans="5:5" x14ac:dyDescent="0.2">
      <c r="E145" s="119"/>
    </row>
    <row r="146" spans="5:5" x14ac:dyDescent="0.2">
      <c r="E146" s="119"/>
    </row>
    <row r="147" spans="5:5" x14ac:dyDescent="0.2">
      <c r="E147" s="119"/>
    </row>
    <row r="148" spans="5:5" x14ac:dyDescent="0.2">
      <c r="E148" s="119"/>
    </row>
    <row r="149" spans="5:5" x14ac:dyDescent="0.2">
      <c r="E149" s="119"/>
    </row>
    <row r="150" spans="5:5" x14ac:dyDescent="0.2">
      <c r="E150" s="119"/>
    </row>
    <row r="151" spans="5:5" x14ac:dyDescent="0.2">
      <c r="E151" s="119"/>
    </row>
    <row r="152" spans="5:5" x14ac:dyDescent="0.2">
      <c r="E152" s="119"/>
    </row>
    <row r="153" spans="5:5" x14ac:dyDescent="0.2">
      <c r="E153" s="119"/>
    </row>
    <row r="154" spans="5:5" x14ac:dyDescent="0.2">
      <c r="E154" s="119"/>
    </row>
    <row r="155" spans="5:5" x14ac:dyDescent="0.2">
      <c r="E155" s="119"/>
    </row>
    <row r="156" spans="5:5" x14ac:dyDescent="0.2">
      <c r="E156" s="119"/>
    </row>
    <row r="157" spans="5:5" x14ac:dyDescent="0.2">
      <c r="E157" s="119"/>
    </row>
    <row r="158" spans="5:5" x14ac:dyDescent="0.2">
      <c r="E158" s="119"/>
    </row>
    <row r="159" spans="5:5" x14ac:dyDescent="0.2">
      <c r="E159" s="119"/>
    </row>
    <row r="160" spans="5:5" x14ac:dyDescent="0.2">
      <c r="E160" s="119"/>
    </row>
    <row r="161" spans="5:5" x14ac:dyDescent="0.2">
      <c r="E161" s="119"/>
    </row>
    <row r="162" spans="5:5" x14ac:dyDescent="0.2">
      <c r="E162" s="119"/>
    </row>
    <row r="163" spans="5:5" x14ac:dyDescent="0.2">
      <c r="E163" s="119"/>
    </row>
    <row r="164" spans="5:5" x14ac:dyDescent="0.2">
      <c r="E164" s="119"/>
    </row>
    <row r="165" spans="5:5" x14ac:dyDescent="0.2">
      <c r="E165" s="119"/>
    </row>
    <row r="166" spans="5:5" x14ac:dyDescent="0.2">
      <c r="E166" s="119"/>
    </row>
    <row r="167" spans="5:5" x14ac:dyDescent="0.2">
      <c r="E167" s="119"/>
    </row>
    <row r="168" spans="5:5" x14ac:dyDescent="0.2">
      <c r="E168" s="119"/>
    </row>
    <row r="169" spans="5:5" x14ac:dyDescent="0.2">
      <c r="E169" s="119"/>
    </row>
    <row r="170" spans="5:5" x14ac:dyDescent="0.2">
      <c r="E170" s="119"/>
    </row>
    <row r="171" spans="5:5" x14ac:dyDescent="0.2">
      <c r="E171" s="119"/>
    </row>
    <row r="172" spans="5:5" x14ac:dyDescent="0.2">
      <c r="E172" s="119"/>
    </row>
    <row r="173" spans="5:5" x14ac:dyDescent="0.2">
      <c r="E173" s="119"/>
    </row>
    <row r="174" spans="5:5" x14ac:dyDescent="0.2">
      <c r="E174" s="119"/>
    </row>
    <row r="175" spans="5:5" x14ac:dyDescent="0.2">
      <c r="E175" s="119"/>
    </row>
    <row r="176" spans="5:5" x14ac:dyDescent="0.2">
      <c r="E176" s="119"/>
    </row>
    <row r="177" spans="5:5" x14ac:dyDescent="0.2">
      <c r="E177" s="119"/>
    </row>
    <row r="178" spans="5:5" x14ac:dyDescent="0.2">
      <c r="E178" s="119"/>
    </row>
    <row r="179" spans="5:5" x14ac:dyDescent="0.2">
      <c r="E179" s="119"/>
    </row>
    <row r="180" spans="5:5" x14ac:dyDescent="0.2">
      <c r="E180" s="119"/>
    </row>
    <row r="181" spans="5:5" x14ac:dyDescent="0.2">
      <c r="E181" s="119"/>
    </row>
    <row r="182" spans="5:5" x14ac:dyDescent="0.2">
      <c r="E182" s="119"/>
    </row>
    <row r="183" spans="5:5" x14ac:dyDescent="0.2">
      <c r="E183" s="119"/>
    </row>
    <row r="184" spans="5:5" x14ac:dyDescent="0.2">
      <c r="E184" s="119"/>
    </row>
    <row r="185" spans="5:5" x14ac:dyDescent="0.2">
      <c r="E185" s="119"/>
    </row>
    <row r="186" spans="5:5" x14ac:dyDescent="0.2">
      <c r="E186" s="119"/>
    </row>
    <row r="187" spans="5:5" x14ac:dyDescent="0.2">
      <c r="E187" s="119"/>
    </row>
    <row r="188" spans="5:5" x14ac:dyDescent="0.2">
      <c r="E188" s="119"/>
    </row>
    <row r="189" spans="5:5" x14ac:dyDescent="0.2">
      <c r="E189" s="119"/>
    </row>
    <row r="190" spans="5:5" x14ac:dyDescent="0.2">
      <c r="E190" s="119"/>
    </row>
    <row r="191" spans="5:5" x14ac:dyDescent="0.2">
      <c r="E191" s="119"/>
    </row>
    <row r="192" spans="5:5" x14ac:dyDescent="0.2">
      <c r="E192" s="119"/>
    </row>
    <row r="193" spans="5:5" x14ac:dyDescent="0.2">
      <c r="E193" s="119"/>
    </row>
    <row r="194" spans="5:5" x14ac:dyDescent="0.2">
      <c r="E194" s="119"/>
    </row>
    <row r="195" spans="5:5" x14ac:dyDescent="0.2">
      <c r="E195" s="119"/>
    </row>
    <row r="196" spans="5:5" x14ac:dyDescent="0.2">
      <c r="E196" s="119"/>
    </row>
    <row r="197" spans="5:5" x14ac:dyDescent="0.2">
      <c r="E197" s="119"/>
    </row>
    <row r="198" spans="5:5" x14ac:dyDescent="0.2">
      <c r="E198" s="119"/>
    </row>
    <row r="199" spans="5:5" x14ac:dyDescent="0.2">
      <c r="E199" s="119"/>
    </row>
    <row r="200" spans="5:5" x14ac:dyDescent="0.2">
      <c r="E200" s="119"/>
    </row>
    <row r="201" spans="5:5" x14ac:dyDescent="0.2">
      <c r="E201" s="119"/>
    </row>
    <row r="202" spans="5:5" x14ac:dyDescent="0.2">
      <c r="E202" s="119"/>
    </row>
    <row r="203" spans="5:5" x14ac:dyDescent="0.2">
      <c r="E203" s="119"/>
    </row>
    <row r="204" spans="5:5" x14ac:dyDescent="0.2">
      <c r="E204" s="119"/>
    </row>
    <row r="205" spans="5:5" x14ac:dyDescent="0.2">
      <c r="E205" s="119"/>
    </row>
    <row r="206" spans="5:5" x14ac:dyDescent="0.2">
      <c r="E206" s="119"/>
    </row>
    <row r="207" spans="5:5" x14ac:dyDescent="0.2">
      <c r="E207" s="119"/>
    </row>
    <row r="208" spans="5:5" x14ac:dyDescent="0.2">
      <c r="E208" s="119"/>
    </row>
    <row r="209" spans="5:5" x14ac:dyDescent="0.2">
      <c r="E209" s="119"/>
    </row>
    <row r="210" spans="5:5" x14ac:dyDescent="0.2">
      <c r="E210" s="119"/>
    </row>
    <row r="211" spans="5:5" x14ac:dyDescent="0.2">
      <c r="E211" s="119"/>
    </row>
    <row r="212" spans="5:5" x14ac:dyDescent="0.2">
      <c r="E212" s="119"/>
    </row>
    <row r="213" spans="5:5" x14ac:dyDescent="0.2">
      <c r="E213" s="119"/>
    </row>
    <row r="214" spans="5:5" x14ac:dyDescent="0.2">
      <c r="E214" s="119"/>
    </row>
    <row r="215" spans="5:5" x14ac:dyDescent="0.2">
      <c r="E215" s="119"/>
    </row>
    <row r="216" spans="5:5" x14ac:dyDescent="0.2">
      <c r="E216" s="119"/>
    </row>
    <row r="217" spans="5:5" x14ac:dyDescent="0.2">
      <c r="E217" s="119"/>
    </row>
    <row r="218" spans="5:5" x14ac:dyDescent="0.2">
      <c r="E218" s="119"/>
    </row>
    <row r="219" spans="5:5" x14ac:dyDescent="0.2">
      <c r="E219" s="119"/>
    </row>
    <row r="220" spans="5:5" x14ac:dyDescent="0.2">
      <c r="E220" s="119"/>
    </row>
    <row r="221" spans="5:5" x14ac:dyDescent="0.2">
      <c r="E221" s="119"/>
    </row>
    <row r="222" spans="5:5" x14ac:dyDescent="0.2">
      <c r="E222" s="119"/>
    </row>
    <row r="223" spans="5:5" x14ac:dyDescent="0.2">
      <c r="E223" s="119"/>
    </row>
    <row r="224" spans="5:5" x14ac:dyDescent="0.2">
      <c r="E224" s="119"/>
    </row>
    <row r="225" spans="5:5" x14ac:dyDescent="0.2">
      <c r="E225" s="119"/>
    </row>
    <row r="226" spans="5:5" x14ac:dyDescent="0.2">
      <c r="E226" s="119"/>
    </row>
    <row r="227" spans="5:5" x14ac:dyDescent="0.2">
      <c r="E227" s="119"/>
    </row>
    <row r="228" spans="5:5" x14ac:dyDescent="0.2">
      <c r="E228" s="119"/>
    </row>
    <row r="229" spans="5:5" x14ac:dyDescent="0.2">
      <c r="E229" s="119"/>
    </row>
    <row r="230" spans="5:5" x14ac:dyDescent="0.2">
      <c r="E230" s="119"/>
    </row>
    <row r="231" spans="5:5" x14ac:dyDescent="0.2">
      <c r="E231" s="119"/>
    </row>
    <row r="232" spans="5:5" x14ac:dyDescent="0.2">
      <c r="E232" s="119"/>
    </row>
    <row r="233" spans="5:5" x14ac:dyDescent="0.2">
      <c r="E233" s="119"/>
    </row>
    <row r="234" spans="5:5" x14ac:dyDescent="0.2">
      <c r="E234" s="119"/>
    </row>
    <row r="235" spans="5:5" x14ac:dyDescent="0.2">
      <c r="E235" s="119"/>
    </row>
    <row r="236" spans="5:5" x14ac:dyDescent="0.2">
      <c r="E236" s="119"/>
    </row>
    <row r="237" spans="5:5" x14ac:dyDescent="0.2">
      <c r="E237" s="119"/>
    </row>
    <row r="238" spans="5:5" x14ac:dyDescent="0.2">
      <c r="E238" s="119"/>
    </row>
  </sheetData>
  <mergeCells count="1">
    <mergeCell ref="B15:D15"/>
  </mergeCells>
  <hyperlinks>
    <hyperlink ref="E25" r:id="rId1" xr:uid="{20C7A7FE-516E-4A97-8781-BBA114392C83}"/>
    <hyperlink ref="E27" r:id="rId2" xr:uid="{A7CCE946-544B-4422-B7C2-F10A63ECAAD1}"/>
    <hyperlink ref="D17" r:id="rId3" display="fperez@tilaran.go.cr" xr:uid="{447EC5DB-103C-44C4-802E-44431561BA43}"/>
    <hyperlink ref="E23" r:id="rId4" xr:uid="{B0654272-3377-439A-85BA-5D9D94C32296}"/>
    <hyperlink ref="E30" r:id="rId5" xr:uid="{EF6980F8-90DE-4513-9AC8-339FB15054DE}"/>
    <hyperlink ref="E31" r:id="rId6" xr:uid="{EF56D653-939E-4D33-B902-992D3A6E1F11}"/>
    <hyperlink ref="E28" r:id="rId7" xr:uid="{86936EC7-2519-4D55-8F1B-CEC48D7D092E}"/>
    <hyperlink ref="E26" r:id="rId8" xr:uid="{3BE3A73F-E117-4C42-908D-678BA902F2A0}"/>
    <hyperlink ref="E17" r:id="rId9" xr:uid="{0046291F-901E-4E6B-B4C1-6411A6889E23}"/>
  </hyperlinks>
  <pageMargins left="0.7" right="0.7" top="0.75" bottom="0.75" header="0.3" footer="0.3"/>
  <tableParts count="1">
    <tablePart r:id="rId10"/>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B0C48F5E6C48C8429C53784A83A47175" ma:contentTypeVersion="4" ma:contentTypeDescription="Crear nuevo documento." ma:contentTypeScope="" ma:versionID="6b4d5bc4a0029da8edc78b83a7b7f6c3">
  <xsd:schema xmlns:xsd="http://www.w3.org/2001/XMLSchema" xmlns:xs="http://www.w3.org/2001/XMLSchema" xmlns:p="http://schemas.microsoft.com/office/2006/metadata/properties" xmlns:ns2="f5c41171-a3da-41e9-83e6-55529f0e9053" targetNamespace="http://schemas.microsoft.com/office/2006/metadata/properties" ma:root="true" ma:fieldsID="e0ff76aeb7c824687948bd1ed1a16c5b" ns2:_="">
    <xsd:import namespace="f5c41171-a3da-41e9-83e6-55529f0e9053"/>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5c41171-a3da-41e9-83e6-55529f0e905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DF0CB02-2753-4B5D-92F7-DD2DE963C31B}">
  <ds:schemaRefs>
    <ds:schemaRef ds:uri="http://purl.org/dc/terms/"/>
    <ds:schemaRef ds:uri="http://schemas.microsoft.com/office/infopath/2007/PartnerControls"/>
    <ds:schemaRef ds:uri="http://schemas.microsoft.com/office/2006/metadata/properties"/>
    <ds:schemaRef ds:uri="http://www.w3.org/XML/1998/namespace"/>
    <ds:schemaRef ds:uri="http://purl.org/dc/dcmitype/"/>
    <ds:schemaRef ds:uri="http://purl.org/dc/elements/1.1/"/>
    <ds:schemaRef ds:uri="http://schemas.microsoft.com/office/2006/documentManagement/types"/>
    <ds:schemaRef ds:uri="http://schemas.openxmlformats.org/package/2006/metadata/core-properties"/>
    <ds:schemaRef ds:uri="4b721249-6b9c-466b-89ea-7c528d9c0725"/>
  </ds:schemaRefs>
</ds:datastoreItem>
</file>

<file path=customXml/itemProps2.xml><?xml version="1.0" encoding="utf-8"?>
<ds:datastoreItem xmlns:ds="http://schemas.openxmlformats.org/officeDocument/2006/customXml" ds:itemID="{4CBED1CF-10E7-4181-8A41-D3D0DBBF06F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5c41171-a3da-41e9-83e6-55529f0e905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19F9AC2-22EE-4B3C-A1CA-CD7E0855381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4</vt:i4>
      </vt:variant>
    </vt:vector>
  </HeadingPairs>
  <TitlesOfParts>
    <vt:vector size="11" baseType="lpstr">
      <vt:lpstr>FACTORES</vt:lpstr>
      <vt:lpstr>FORMULARIO</vt:lpstr>
      <vt:lpstr>EX INS-F-D0139</vt:lpstr>
      <vt:lpstr>CALCULO AMBULANTES</vt:lpstr>
      <vt:lpstr>RESOLUCION AMBULANTES</vt:lpstr>
      <vt:lpstr>CERTIFICADO</vt:lpstr>
      <vt:lpstr>PARAMETROS</vt:lpstr>
      <vt:lpstr>'CALCULO AMBULANTES'!Área_de_impresión</vt:lpstr>
      <vt:lpstr>CERTIFICADO!Área_de_impresión</vt:lpstr>
      <vt:lpstr>'EX INS-F-D0139'!Área_de_impresión</vt:lpstr>
      <vt:lpstr>FORMULARIO!Área_de_impresión</vt:lpstr>
    </vt:vector>
  </TitlesOfParts>
  <Manager/>
  <Company>Municipalidad de Tilarán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Onoris</dc:creator>
  <cp:keywords/>
  <dc:description/>
  <cp:lastModifiedBy>José Antonio Rodríguez Herrera</cp:lastModifiedBy>
  <cp:revision/>
  <cp:lastPrinted>2023-07-28T16:12:20Z</cp:lastPrinted>
  <dcterms:created xsi:type="dcterms:W3CDTF">2001-07-11T14:16:01Z</dcterms:created>
  <dcterms:modified xsi:type="dcterms:W3CDTF">2024-02-27T17:59:02Z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0x010100B0C48F5E6C48C8429C53784A83A47175</vt:lpwstr>
  </property>
</Properties>
</file>