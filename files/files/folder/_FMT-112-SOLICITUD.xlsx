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paldo Coordinación PSCT 07122023\PROYECTOS 2024\FORMULARIOS WEB\"/>
    </mc:Choice>
  </mc:AlternateContent>
  <xr:revisionPtr revIDLastSave="0" documentId="13_ncr:1_{6F9D49EE-2578-420B-9C77-D41CC0DECC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ULARIO" sheetId="2" r:id="rId1"/>
    <sheet name="RESOLUCIÓN" sheetId="5" state="hidden" r:id="rId2"/>
    <sheet name="PARÁMETROS" sheetId="3" state="hidden" r:id="rId3"/>
  </sheets>
  <externalReferences>
    <externalReference r:id="rId4"/>
  </externalReferences>
  <definedNames>
    <definedName name="_xlnm.Print_Area" localSheetId="0">FORMULARIO!$A$1:$W$42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" i="5" l="1"/>
  <c r="B18" i="5"/>
  <c r="T18" i="5"/>
  <c r="W18" i="5" s="1"/>
  <c r="T19" i="5"/>
  <c r="B19" i="5"/>
  <c r="R13" i="5"/>
  <c r="K13" i="5"/>
  <c r="E13" i="5"/>
  <c r="F11" i="5"/>
  <c r="U10" i="5"/>
  <c r="G10" i="5"/>
  <c r="U9" i="5"/>
  <c r="E9" i="5"/>
  <c r="P33" i="2" l="1"/>
  <c r="I39" i="2"/>
  <c r="I38" i="2"/>
  <c r="B34" i="2"/>
  <c r="D2" i="3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W19" i="5" l="1"/>
  <c r="W24" i="5" s="1"/>
  <c r="W25" i="5" l="1"/>
</calcChain>
</file>

<file path=xl/sharedStrings.xml><?xml version="1.0" encoding="utf-8"?>
<sst xmlns="http://schemas.openxmlformats.org/spreadsheetml/2006/main" count="155" uniqueCount="120">
  <si>
    <t>MUNICIPALIDAD DE TILARAN</t>
  </si>
  <si>
    <t>PROCESO DE SERVICIOS CIUDADANOS Y TÉCNICOS</t>
  </si>
  <si>
    <t>Unidad de Bienes Inmuebles y Valoración</t>
  </si>
  <si>
    <t xml:space="preserve">SOLICITUD DE NO AFECTACIÓN  IMPUESTO SOBRE BIENES INMUEBLES </t>
  </si>
  <si>
    <t>INFORMACIÓN GENERAL</t>
  </si>
  <si>
    <t>PROPIETARIO:</t>
  </si>
  <si>
    <t>N° CÉDULA:</t>
  </si>
  <si>
    <t>REPRESENTANTE LEGAL:</t>
  </si>
  <si>
    <t>DIRECCIÓN EXACTA:</t>
  </si>
  <si>
    <t>( Referencia, distrito, cantón y provincia )</t>
  </si>
  <si>
    <t>N° TELÉFONO:</t>
  </si>
  <si>
    <t>N° FAX:</t>
  </si>
  <si>
    <t>e-mail:</t>
  </si>
  <si>
    <t xml:space="preserve">De conformidad con el inciso b) del artículo 4° de la Ley del Impuesto Sobre Bienes Inmuebles n° 7509, solicito se revise y aplique no </t>
  </si>
  <si>
    <t>afectación al Impuesto Sobre Bienes Inmuebles, para las siguientes propiedades:</t>
  </si>
  <si>
    <t>N° FINCA</t>
  </si>
  <si>
    <t>N° PLANO</t>
  </si>
  <si>
    <t>DISTRITO</t>
  </si>
  <si>
    <t>CONDICIÓN</t>
  </si>
  <si>
    <t>Quebrada Grande</t>
  </si>
  <si>
    <t>Reserva forestal, indígena o biológica</t>
  </si>
  <si>
    <t>FIRMA SOLICITANTE</t>
  </si>
  <si>
    <t>PLATAFORMISTA</t>
  </si>
  <si>
    <t>FUNCIONARIO ASIGNADO</t>
  </si>
  <si>
    <t>PLAZO RESOLUCIÓN</t>
  </si>
  <si>
    <t>Graciela Lopez Granados</t>
  </si>
  <si>
    <t>Frayman Pérez Ramírez</t>
  </si>
  <si>
    <t>Artículo 262 LGAP</t>
  </si>
  <si>
    <t>FECHA DE RECEPCIÓN Y HORA</t>
  </si>
  <si>
    <t>Los dictámenes, peritajes, e informes técnicos similares, después de solicitados.</t>
  </si>
  <si>
    <t>FIRMA</t>
  </si>
  <si>
    <r>
      <rPr>
        <b/>
        <sz val="10"/>
        <rFont val="Arial"/>
        <family val="2"/>
      </rPr>
      <t>Original.</t>
    </r>
    <r>
      <rPr>
        <sz val="10"/>
        <rFont val="Arial"/>
        <family val="2"/>
      </rPr>
      <t xml:space="preserve"> Solicitante   </t>
    </r>
    <r>
      <rPr>
        <b/>
        <sz val="10"/>
        <rFont val="Arial"/>
        <family val="2"/>
      </rPr>
      <t>Copia 1.</t>
    </r>
    <r>
      <rPr>
        <sz val="10"/>
        <rFont val="Arial"/>
        <family val="2"/>
      </rPr>
      <t xml:space="preserve">  Expediente propiedades</t>
    </r>
  </si>
  <si>
    <t>DECLARATORIA DE NO AFECTACIÓN  IMPUESTO SOBRE BIENES INMUEBLES   (Para uso de la Administración)</t>
  </si>
  <si>
    <t>DETALLE DEL CÁLCULO</t>
  </si>
  <si>
    <t xml:space="preserve">ÁREA </t>
  </si>
  <si>
    <t>CONDICIÓN CONFIRMADA</t>
  </si>
  <si>
    <t>% DENTRO DE ÁREA CON BENEFICIO FISCAL</t>
  </si>
  <si>
    <t>VALOR TERRENO</t>
  </si>
  <si>
    <t>VALOR EDIFICIOS</t>
  </si>
  <si>
    <t>VALOR TERRENO NO AFECTO AL ISBI</t>
  </si>
  <si>
    <t>VALOR TOTAL</t>
  </si>
  <si>
    <t>Base Imponible con AFECTACIÓN al Impuesto Sobre Bienes Inmuebles, Ley n° 7509</t>
  </si>
  <si>
    <t>Impuesto anual sobre bienes inmuebles</t>
  </si>
  <si>
    <t>RESOLUCIÓN</t>
  </si>
  <si>
    <t>LA PRESENTE SOLICITUD RESULTÓ:</t>
  </si>
  <si>
    <t>APROBADA</t>
  </si>
  <si>
    <t>DENEGADA</t>
  </si>
  <si>
    <t>EL</t>
  </si>
  <si>
    <t>OBSERVACIONES:</t>
  </si>
  <si>
    <t>GESTOR MUNICIPAL</t>
  </si>
  <si>
    <t>Adrián Picado González</t>
  </si>
  <si>
    <t>apicado@tilaran.go.cr</t>
  </si>
  <si>
    <t>ASISTENTE TÉCNICO</t>
  </si>
  <si>
    <t>Ana Cecilia Cruz Mejías</t>
  </si>
  <si>
    <t>acruz@tilaran.go.cr</t>
  </si>
  <si>
    <t>COORDINADORA SERVICIOS JURÍDICOS</t>
  </si>
  <si>
    <t>X</t>
  </si>
  <si>
    <t>Annia Ramírez Rodríguez</t>
  </si>
  <si>
    <t>aramirez@tilaran.go.cr</t>
  </si>
  <si>
    <t>Los de méro trámite y la decisión de peticiones de ese carácter</t>
  </si>
  <si>
    <t>√</t>
  </si>
  <si>
    <t>Carolay Solera Calvo</t>
  </si>
  <si>
    <t>carolay.solera@tilaran.go.cr</t>
  </si>
  <si>
    <t>Las notificaciones,  a partir del acto de que se trate o de producidos los hechos que deben darse a conocer.</t>
  </si>
  <si>
    <t>NA</t>
  </si>
  <si>
    <t>Didier Fonseca Obando</t>
  </si>
  <si>
    <t>dfonseca@tilaran.go.cr</t>
  </si>
  <si>
    <t>COORDINADOR SERVICIOS DE INFRAESTRUCTURA</t>
  </si>
  <si>
    <t>fperez@tilaran.go.cr</t>
  </si>
  <si>
    <t>Los meros informes administrativos no técnicos,  después de solicitados.</t>
  </si>
  <si>
    <t>Gustavo Bogantes Morera</t>
  </si>
  <si>
    <t>gbogantes@tilaran.go.cr</t>
  </si>
  <si>
    <t>ENCARGADO DE CATASTRO</t>
  </si>
  <si>
    <t>glopez@tilaran.go.cr</t>
  </si>
  <si>
    <t>Tilarán</t>
  </si>
  <si>
    <t>Jimmy Espinoza Masis</t>
  </si>
  <si>
    <t>jespinoza@tilaran.go.cr</t>
  </si>
  <si>
    <t>INSPECTOR</t>
  </si>
  <si>
    <t>José Antonio Rodríguez Herrera</t>
  </si>
  <si>
    <t>jrodriguez@tilaran.go.cr</t>
  </si>
  <si>
    <t>COORDINADOR SERVICIOS CIUDADANOS Y TÉCNICOS</t>
  </si>
  <si>
    <t>Tronadora</t>
  </si>
  <si>
    <t>Juan Pablo Barquero Sánchez</t>
  </si>
  <si>
    <t>jbarquero@tilaran.go.cr</t>
  </si>
  <si>
    <t>ALCALDE MUNICIPAL</t>
  </si>
  <si>
    <t>Santa Rosa</t>
  </si>
  <si>
    <t>Katherine Alfaro lópez</t>
  </si>
  <si>
    <t>kalfaro@tilaran.go.cr</t>
  </si>
  <si>
    <t>VICEALCALDESA</t>
  </si>
  <si>
    <t>Líbano</t>
  </si>
  <si>
    <t>Katia Pérez Picado</t>
  </si>
  <si>
    <t>katia.perez@tilaran.go.cr</t>
  </si>
  <si>
    <t>Tierras Morenas</t>
  </si>
  <si>
    <t>Luz Mireya Herrera Campos</t>
  </si>
  <si>
    <t>lherrera@tilaran.go.cr</t>
  </si>
  <si>
    <t>Arenal</t>
  </si>
  <si>
    <t>María Cecilia Prendas Martínez</t>
  </si>
  <si>
    <t>cprendas@tilaran.go.cr</t>
  </si>
  <si>
    <t>Cabeceras</t>
  </si>
  <si>
    <t>Marlon Campos Castillo</t>
  </si>
  <si>
    <t>mcampos@tilaran.go.cr</t>
  </si>
  <si>
    <t>COORDINADOR SERVICIOS AMBIENTALES</t>
  </si>
  <si>
    <t>Meybelin Ramírez Méndez</t>
  </si>
  <si>
    <t>mramirez@tilaran.go.cr</t>
  </si>
  <si>
    <t>SECRETARÍA ALCALDÍA</t>
  </si>
  <si>
    <t>Rigoberto Hernández Quesada</t>
  </si>
  <si>
    <t>rhernandez@tilaran.go.cr</t>
  </si>
  <si>
    <t>ENCARGADO DE BIENES INMUEBLES Y VALORACIÓN</t>
  </si>
  <si>
    <t>Rose Mary Ruiz Soto</t>
  </si>
  <si>
    <t>rruiz@tilaran.go.cr</t>
  </si>
  <si>
    <t>COORDINADOR DE DESARROLLO Y CONTROL URBANO</t>
  </si>
  <si>
    <t>Cuencas hidrográficas</t>
  </si>
  <si>
    <t>Yamileth Carvajal Manzanares</t>
  </si>
  <si>
    <t>ycarvajal@tilaran.go.cr</t>
  </si>
  <si>
    <t>Zeidy Campos Artavia</t>
  </si>
  <si>
    <t>zcampos@tilaran.go.cr</t>
  </si>
  <si>
    <t>Parque nacional o similar</t>
  </si>
  <si>
    <t>Uber Masis Solis</t>
  </si>
  <si>
    <t>hmasis@tilaran.go.cr</t>
  </si>
  <si>
    <t>Gerald Vega 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</si>
</sst>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2"/>
      <color theme="1"/>
      <name val="Times New Roman"/>
      <family val="1"/>
    </font>
    <font>
      <sz val="10"/>
      <color theme="1"/>
      <name val="Courier New"/>
      <family val="3"/>
    </font>
    <font>
      <b/>
      <sz val="8"/>
      <color theme="1"/>
      <name val="Tahoma"/>
      <family val="2"/>
    </font>
    <font>
      <sz val="9"/>
      <color theme="1"/>
      <name val="Tahoma"/>
      <family val="2"/>
    </font>
    <font>
      <outline/>
      <sz val="11"/>
      <color theme="1"/>
      <name val="Tahoma"/>
      <family val="2"/>
    </font>
    <font>
      <outline/>
      <sz val="11"/>
      <color theme="1"/>
      <name val="Times New Roman"/>
      <family val="1"/>
    </font>
    <font>
      <sz val="18"/>
      <name val="Arial"/>
      <family val="2"/>
    </font>
    <font>
      <sz val="18"/>
      <name val="Agency FB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20"/>
      <color rgb="FFFF0000"/>
      <name val="Tahoma"/>
      <family val="2"/>
    </font>
    <font>
      <b/>
      <sz val="10"/>
      <color theme="0"/>
      <name val="Arial"/>
      <family val="2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5" fillId="0" borderId="0"/>
    <xf numFmtId="0" fontId="21" fillId="0" borderId="0" applyNumberFormat="0" applyFill="0" applyBorder="0" applyAlignment="0" applyProtection="0"/>
  </cellStyleXfs>
  <cellXfs count="167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6" fillId="2" borderId="5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2" fillId="2" borderId="5" xfId="0" applyFont="1" applyFill="1" applyBorder="1"/>
    <xf numFmtId="0" fontId="6" fillId="2" borderId="1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9" xfId="0" applyFont="1" applyFill="1" applyBorder="1"/>
    <xf numFmtId="0" fontId="5" fillId="2" borderId="5" xfId="0" applyFont="1" applyFill="1" applyBorder="1" applyAlignment="1">
      <alignment horizontal="left"/>
    </xf>
    <xf numFmtId="0" fontId="2" fillId="2" borderId="12" xfId="0" applyFont="1" applyFill="1" applyBorder="1"/>
    <xf numFmtId="0" fontId="6" fillId="2" borderId="10" xfId="0" applyFont="1" applyFill="1" applyBorder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5" fillId="2" borderId="1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0" xfId="0" applyFont="1" applyFill="1"/>
    <xf numFmtId="0" fontId="6" fillId="2" borderId="5" xfId="0" applyFont="1" applyFill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6" fillId="2" borderId="11" xfId="0" applyFont="1" applyFill="1" applyBorder="1"/>
    <xf numFmtId="0" fontId="5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/>
    <xf numFmtId="0" fontId="15" fillId="0" borderId="0" xfId="0" applyFont="1"/>
    <xf numFmtId="0" fontId="16" fillId="0" borderId="0" xfId="0" applyFont="1"/>
    <xf numFmtId="0" fontId="6" fillId="2" borderId="20" xfId="0" applyFont="1" applyFill="1" applyBorder="1" applyAlignment="1">
      <alignment horizontal="left"/>
    </xf>
    <xf numFmtId="0" fontId="2" fillId="2" borderId="20" xfId="0" applyFont="1" applyFill="1" applyBorder="1"/>
    <xf numFmtId="0" fontId="6" fillId="2" borderId="20" xfId="0" applyFont="1" applyFill="1" applyBorder="1" applyAlignment="1">
      <alignment horizontal="center"/>
    </xf>
    <xf numFmtId="0" fontId="2" fillId="2" borderId="24" xfId="0" applyFont="1" applyFill="1" applyBorder="1"/>
    <xf numFmtId="0" fontId="10" fillId="2" borderId="20" xfId="0" applyFont="1" applyFill="1" applyBorder="1" applyAlignment="1">
      <alignment horizontal="left"/>
    </xf>
    <xf numFmtId="0" fontId="5" fillId="2" borderId="24" xfId="0" applyFont="1" applyFill="1" applyBorder="1"/>
    <xf numFmtId="0" fontId="6" fillId="2" borderId="2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2" fillId="2" borderId="28" xfId="0" applyFont="1" applyFill="1" applyBorder="1"/>
    <xf numFmtId="0" fontId="2" fillId="2" borderId="29" xfId="0" applyFont="1" applyFill="1" applyBorder="1"/>
    <xf numFmtId="0" fontId="1" fillId="0" borderId="0" xfId="1" applyAlignment="1" applyProtection="1"/>
    <xf numFmtId="0" fontId="1" fillId="0" borderId="0" xfId="1" applyFill="1" applyBorder="1" applyAlignment="1" applyProtection="1"/>
    <xf numFmtId="0" fontId="0" fillId="2" borderId="0" xfId="0" applyFill="1"/>
    <xf numFmtId="0" fontId="1" fillId="0" borderId="0" xfId="1"/>
    <xf numFmtId="0" fontId="15" fillId="2" borderId="0" xfId="0" applyFont="1" applyFill="1"/>
    <xf numFmtId="0" fontId="18" fillId="2" borderId="0" xfId="0" applyFont="1" applyFill="1" applyAlignment="1">
      <alignment horizontal="left"/>
    </xf>
    <xf numFmtId="0" fontId="17" fillId="2" borderId="20" xfId="0" applyFont="1" applyFill="1" applyBorder="1" applyAlignment="1">
      <alignment horizontal="left"/>
    </xf>
    <xf numFmtId="0" fontId="17" fillId="2" borderId="0" xfId="0" applyFont="1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0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24" xfId="0" applyFill="1" applyBorder="1" applyAlignment="1">
      <alignment horizontal="left"/>
    </xf>
    <xf numFmtId="0" fontId="17" fillId="2" borderId="27" xfId="0" applyFont="1" applyFill="1" applyBorder="1" applyAlignment="1">
      <alignment horizontal="left"/>
    </xf>
    <xf numFmtId="0" fontId="17" fillId="2" borderId="28" xfId="0" applyFont="1" applyFill="1" applyBorder="1" applyAlignment="1">
      <alignment horizontal="left"/>
    </xf>
    <xf numFmtId="0" fontId="17" fillId="2" borderId="29" xfId="0" applyFont="1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15" fillId="0" borderId="4" xfId="0" applyFont="1" applyBorder="1" applyAlignment="1">
      <alignment horizontal="left" vertical="center"/>
    </xf>
    <xf numFmtId="0" fontId="0" fillId="0" borderId="4" xfId="0" applyBorder="1"/>
    <xf numFmtId="0" fontId="15" fillId="0" borderId="4" xfId="0" applyFont="1" applyBorder="1" applyAlignment="1">
      <alignment horizontal="left"/>
    </xf>
    <xf numFmtId="0" fontId="19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21" fillId="0" borderId="0" xfId="3" applyAlignment="1" applyProtection="1"/>
    <xf numFmtId="0" fontId="17" fillId="2" borderId="16" xfId="0" applyFont="1" applyFill="1" applyBorder="1" applyAlignment="1">
      <alignment horizontal="center"/>
    </xf>
    <xf numFmtId="0" fontId="17" fillId="2" borderId="17" xfId="0" applyFont="1" applyFill="1" applyBorder="1" applyAlignment="1">
      <alignment horizontal="center"/>
    </xf>
    <xf numFmtId="0" fontId="17" fillId="2" borderId="30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24" xfId="0" applyFont="1" applyFill="1" applyBorder="1" applyAlignment="1">
      <alignment horizontal="center"/>
    </xf>
    <xf numFmtId="0" fontId="17" fillId="2" borderId="20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24" xfId="0" applyFont="1" applyFill="1" applyBorder="1" applyAlignment="1">
      <alignment horizontal="center"/>
    </xf>
    <xf numFmtId="22" fontId="0" fillId="2" borderId="20" xfId="0" applyNumberFormat="1" applyFill="1" applyBorder="1" applyAlignment="1">
      <alignment horizontal="center" vertical="center"/>
    </xf>
    <xf numFmtId="22" fontId="0" fillId="2" borderId="0" xfId="0" applyNumberFormat="1" applyFill="1" applyAlignment="1">
      <alignment horizontal="center" vertical="center"/>
    </xf>
    <xf numFmtId="22" fontId="0" fillId="2" borderId="24" xfId="0" applyNumberForma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/>
    </xf>
    <xf numFmtId="0" fontId="18" fillId="2" borderId="28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justify" vertical="center"/>
    </xf>
    <xf numFmtId="0" fontId="17" fillId="2" borderId="2" xfId="0" applyFont="1" applyFill="1" applyBorder="1" applyAlignment="1">
      <alignment horizontal="justify" vertical="center"/>
    </xf>
    <xf numFmtId="0" fontId="17" fillId="2" borderId="23" xfId="0" applyFont="1" applyFill="1" applyBorder="1" applyAlignment="1">
      <alignment horizontal="justify" vertical="center"/>
    </xf>
    <xf numFmtId="0" fontId="17" fillId="2" borderId="20" xfId="0" applyFont="1" applyFill="1" applyBorder="1" applyAlignment="1">
      <alignment horizontal="justify" vertical="center"/>
    </xf>
    <xf numFmtId="0" fontId="17" fillId="2" borderId="0" xfId="0" applyFont="1" applyFill="1" applyAlignment="1">
      <alignment horizontal="justify" vertical="center"/>
    </xf>
    <xf numFmtId="0" fontId="17" fillId="2" borderId="24" xfId="0" applyFont="1" applyFill="1" applyBorder="1" applyAlignment="1">
      <alignment horizontal="justify" vertical="center"/>
    </xf>
    <xf numFmtId="0" fontId="17" fillId="2" borderId="27" xfId="0" applyFont="1" applyFill="1" applyBorder="1" applyAlignment="1">
      <alignment horizontal="justify" vertical="center"/>
    </xf>
    <xf numFmtId="0" fontId="17" fillId="2" borderId="28" xfId="0" applyFont="1" applyFill="1" applyBorder="1" applyAlignment="1">
      <alignment horizontal="justify" vertical="center"/>
    </xf>
    <xf numFmtId="0" fontId="17" fillId="2" borderId="29" xfId="0" applyFont="1" applyFill="1" applyBorder="1" applyAlignment="1">
      <alignment horizontal="justify" vertical="center"/>
    </xf>
    <xf numFmtId="0" fontId="8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2" borderId="2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21" fillId="2" borderId="1" xfId="3" applyFill="1" applyBorder="1" applyAlignment="1">
      <alignment horizontal="center"/>
    </xf>
    <xf numFmtId="0" fontId="21" fillId="2" borderId="22" xfId="3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16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left"/>
    </xf>
    <xf numFmtId="14" fontId="5" fillId="2" borderId="0" xfId="0" applyNumberFormat="1" applyFont="1" applyFill="1" applyAlignment="1">
      <alignment horizontal="center" vertical="center"/>
    </xf>
    <xf numFmtId="14" fontId="5" fillId="2" borderId="1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5" fillId="2" borderId="12" xfId="0" applyFont="1" applyFill="1" applyBorder="1" applyAlignment="1">
      <alignment horizontal="justify" vertical="center"/>
    </xf>
    <xf numFmtId="0" fontId="5" fillId="2" borderId="11" xfId="0" applyFont="1" applyFill="1" applyBorder="1" applyAlignment="1">
      <alignment horizontal="justify" vertical="center"/>
    </xf>
    <xf numFmtId="0" fontId="5" fillId="2" borderId="1" xfId="0" applyFont="1" applyFill="1" applyBorder="1" applyAlignment="1">
      <alignment horizontal="justify" vertical="center"/>
    </xf>
    <xf numFmtId="0" fontId="5" fillId="2" borderId="9" xfId="0" applyFont="1" applyFill="1" applyBorder="1" applyAlignment="1">
      <alignment horizontal="justify" vertical="center"/>
    </xf>
    <xf numFmtId="4" fontId="12" fillId="2" borderId="7" xfId="0" applyNumberFormat="1" applyFont="1" applyFill="1" applyBorder="1" applyAlignment="1">
      <alignment horizontal="center" vertical="center"/>
    </xf>
    <xf numFmtId="4" fontId="12" fillId="2" borderId="3" xfId="0" applyNumberFormat="1" applyFont="1" applyFill="1" applyBorder="1" applyAlignment="1">
      <alignment horizontal="center" vertical="center"/>
    </xf>
    <xf numFmtId="4" fontId="12" fillId="2" borderId="6" xfId="0" applyNumberFormat="1" applyFont="1" applyFill="1" applyBorder="1" applyAlignment="1">
      <alignment horizontal="center" vertical="center"/>
    </xf>
    <xf numFmtId="4" fontId="12" fillId="2" borderId="8" xfId="0" applyNumberFormat="1" applyFont="1" applyFill="1" applyBorder="1" applyAlignment="1">
      <alignment horizontal="center" vertical="center"/>
    </xf>
    <xf numFmtId="4" fontId="12" fillId="2" borderId="2" xfId="0" applyNumberFormat="1" applyFont="1" applyFill="1" applyBorder="1" applyAlignment="1">
      <alignment horizontal="center" vertical="center"/>
    </xf>
    <xf numFmtId="4" fontId="12" fillId="2" borderId="10" xfId="0" applyNumberFormat="1" applyFont="1" applyFill="1" applyBorder="1" applyAlignment="1">
      <alignment horizontal="center" vertical="center"/>
    </xf>
    <xf numFmtId="4" fontId="12" fillId="2" borderId="13" xfId="0" applyNumberFormat="1" applyFont="1" applyFill="1" applyBorder="1" applyAlignment="1">
      <alignment horizontal="center" vertical="center"/>
    </xf>
    <xf numFmtId="4" fontId="12" fillId="2" borderId="14" xfId="0" applyNumberFormat="1" applyFont="1" applyFill="1" applyBorder="1" applyAlignment="1">
      <alignment horizontal="center" vertical="center"/>
    </xf>
    <xf numFmtId="4" fontId="12" fillId="2" borderId="15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" fontId="12" fillId="2" borderId="7" xfId="0" applyNumberFormat="1" applyFont="1" applyFill="1" applyBorder="1" applyAlignment="1">
      <alignment horizontal="center" vertical="center" wrapText="1"/>
    </xf>
    <xf numFmtId="4" fontId="12" fillId="2" borderId="3" xfId="0" applyNumberFormat="1" applyFont="1" applyFill="1" applyBorder="1" applyAlignment="1">
      <alignment horizontal="center" vertical="center" wrapText="1"/>
    </xf>
    <xf numFmtId="4" fontId="12" fillId="2" borderId="6" xfId="0" applyNumberFormat="1" applyFont="1" applyFill="1" applyBorder="1" applyAlignment="1">
      <alignment horizontal="center" vertical="center" wrapText="1"/>
    </xf>
    <xf numFmtId="10" fontId="2" fillId="2" borderId="7" xfId="0" applyNumberFormat="1" applyFont="1" applyFill="1" applyBorder="1" applyAlignment="1">
      <alignment horizontal="center" vertical="center"/>
    </xf>
    <xf numFmtId="10" fontId="2" fillId="2" borderId="3" xfId="0" applyNumberFormat="1" applyFont="1" applyFill="1" applyBorder="1" applyAlignment="1">
      <alignment horizontal="center" vertical="center"/>
    </xf>
    <xf numFmtId="10" fontId="2" fillId="2" borderId="6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0" fillId="3" borderId="0" xfId="2" applyFont="1" applyFill="1" applyAlignment="1">
      <alignment horizontal="center"/>
    </xf>
  </cellXfs>
  <cellStyles count="4">
    <cellStyle name="Hipervínculo" xfId="1" builtinId="8"/>
    <cellStyle name="Hyperlink" xfId="3" xr:uid="{00000000-000B-0000-0000-000008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95250</xdr:rowOff>
    </xdr:from>
    <xdr:to>
      <xdr:col>5</xdr:col>
      <xdr:colOff>9525</xdr:colOff>
      <xdr:row>4</xdr:row>
      <xdr:rowOff>9525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247650"/>
          <a:ext cx="12287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95250</xdr:rowOff>
    </xdr:from>
    <xdr:to>
      <xdr:col>5</xdr:col>
      <xdr:colOff>9525</xdr:colOff>
      <xdr:row>4</xdr:row>
      <xdr:rowOff>9525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247650"/>
          <a:ext cx="12287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27</xdr:row>
          <xdr:rowOff>219075</xdr:rowOff>
        </xdr:from>
        <xdr:to>
          <xdr:col>11</xdr:col>
          <xdr:colOff>19050</xdr:colOff>
          <xdr:row>29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266700</xdr:colOff>
          <xdr:row>27</xdr:row>
          <xdr:rowOff>219075</xdr:rowOff>
        </xdr:from>
        <xdr:to>
          <xdr:col>16</xdr:col>
          <xdr:colOff>180975</xdr:colOff>
          <xdr:row>29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3\respaldos\Proceso%20Servicios%20Ciudadanos%20y%20T&#233;cnicos\2021\Respaldo%20Requerimientos%20Internos\REQUERIMIENTOS%20INTERNOS\FMT%20111%20008%202021\FMT%20111%20008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O"/>
      <sheetName val="PARÁMETROS"/>
    </sheetNames>
    <sheetDataSet>
      <sheetData sheetId="0"/>
      <sheetData sheetId="1">
        <row r="5">
          <cell r="B5" t="str">
            <v>Annia Ramírez Rodríguez</v>
          </cell>
          <cell r="C5" t="str">
            <v>aramirez@tilaran.go.cr</v>
          </cell>
          <cell r="D5" t="str">
            <v>PLATAFORMISTA</v>
          </cell>
          <cell r="E5">
            <v>26952410</v>
          </cell>
        </row>
        <row r="6">
          <cell r="B6" t="str">
            <v>Carolay Solera Calvo</v>
          </cell>
          <cell r="C6" t="str">
            <v>carolay.solera@tilaran.go.cr</v>
          </cell>
          <cell r="D6" t="str">
            <v>PLATAFORMISTA</v>
          </cell>
          <cell r="E6">
            <v>26952410</v>
          </cell>
        </row>
        <row r="7">
          <cell r="B7" t="str">
            <v>Didier Fonseca Obando</v>
          </cell>
          <cell r="C7" t="str">
            <v>dfonseca@tilaran.go.cr</v>
          </cell>
          <cell r="D7" t="str">
            <v>COORDINADOR SERVICIOS DE INFRAESTRUCTURA</v>
          </cell>
          <cell r="E7">
            <v>26952428</v>
          </cell>
        </row>
        <row r="8">
          <cell r="B8" t="str">
            <v>Frayman Pérez Ramírez</v>
          </cell>
          <cell r="C8" t="str">
            <v>fperez@tilaran.go.cr</v>
          </cell>
          <cell r="D8" t="str">
            <v>PLATAFORMISTA</v>
          </cell>
          <cell r="E8">
            <v>26952409</v>
          </cell>
        </row>
        <row r="9">
          <cell r="B9" t="str">
            <v>Gustavo Bogantes Morera</v>
          </cell>
          <cell r="C9" t="str">
            <v>gbogantes@tilaran.go.cr</v>
          </cell>
          <cell r="D9" t="str">
            <v>ENCARGADO DE CATASTRO</v>
          </cell>
          <cell r="E9">
            <v>26952404</v>
          </cell>
        </row>
        <row r="10">
          <cell r="B10" t="str">
            <v>Hugo Rodríguez Barquero</v>
          </cell>
          <cell r="C10" t="str">
            <v>hrodriguez@tilaran.go.cr</v>
          </cell>
          <cell r="D10" t="str">
            <v>ASISTENTE TÉCNICO</v>
          </cell>
          <cell r="E10">
            <v>26952411</v>
          </cell>
        </row>
        <row r="11">
          <cell r="B11" t="str">
            <v>Jimmy Espinoza Masis</v>
          </cell>
          <cell r="C11" t="str">
            <v>jespinoza@tilaran.go.cr</v>
          </cell>
          <cell r="D11" t="str">
            <v>INSPECTOR</v>
          </cell>
          <cell r="E11">
            <v>26952444</v>
          </cell>
        </row>
        <row r="12">
          <cell r="B12" t="str">
            <v>José Antonio Rodríguez Herrera</v>
          </cell>
          <cell r="C12" t="str">
            <v>jrodriguez@tilaran.go.cr</v>
          </cell>
          <cell r="D12" t="str">
            <v>COORDINADOR SERVICIOS CIUDADANOS Y TÉCNICOS</v>
          </cell>
          <cell r="E12">
            <v>26952414</v>
          </cell>
        </row>
        <row r="13">
          <cell r="B13" t="str">
            <v>Juan Pablo Barquero Sánchez</v>
          </cell>
          <cell r="C13" t="str">
            <v>jbarquero@tilaran.go.cr</v>
          </cell>
          <cell r="D13" t="str">
            <v>ALCALDE MUNICIPAL</v>
          </cell>
          <cell r="E13">
            <v>26952401</v>
          </cell>
        </row>
        <row r="14">
          <cell r="B14" t="str">
            <v>Katherine Alfaro lópez</v>
          </cell>
          <cell r="C14" t="str">
            <v>kalfaro@tilaran.go.cr</v>
          </cell>
          <cell r="D14" t="str">
            <v>VICEALCALDESA</v>
          </cell>
          <cell r="E14">
            <v>26952402</v>
          </cell>
        </row>
        <row r="15">
          <cell r="B15" t="str">
            <v>Katia Pérez Picado</v>
          </cell>
          <cell r="C15" t="str">
            <v>katia.perez@tilaran.go.cr</v>
          </cell>
          <cell r="D15" t="str">
            <v>PLATAFORMISTA</v>
          </cell>
          <cell r="E15">
            <v>26952410</v>
          </cell>
        </row>
        <row r="16">
          <cell r="B16" t="str">
            <v>Luz Mireya Herrera Campos</v>
          </cell>
          <cell r="C16" t="str">
            <v>lherrera@tilaran.go.cr</v>
          </cell>
          <cell r="D16" t="str">
            <v>PLATAFORMISTA</v>
          </cell>
          <cell r="E16">
            <v>26952412</v>
          </cell>
        </row>
        <row r="17">
          <cell r="B17" t="str">
            <v>María Cecilia Prendas Martínez</v>
          </cell>
          <cell r="C17" t="str">
            <v>cprendas@tilaran.go.cr</v>
          </cell>
          <cell r="D17" t="str">
            <v>ASISTENTE TÉCNICO</v>
          </cell>
          <cell r="E17">
            <v>26952408</v>
          </cell>
        </row>
        <row r="18">
          <cell r="B18" t="str">
            <v>Marlon Campos Castillo</v>
          </cell>
          <cell r="C18" t="str">
            <v>mcampos@tilaran.go.cr</v>
          </cell>
          <cell r="D18" t="str">
            <v>COORDINADOR SERVICIOS AMBIENTALES</v>
          </cell>
          <cell r="E18">
            <v>26952416</v>
          </cell>
        </row>
        <row r="19">
          <cell r="B19" t="str">
            <v>Meybelin Ramírez Méndez</v>
          </cell>
          <cell r="C19" t="str">
            <v>mramirez@tilaran.go.cr</v>
          </cell>
          <cell r="D19" t="str">
            <v>SECRETARÍA ALCALDÍA</v>
          </cell>
          <cell r="E19">
            <v>26952403</v>
          </cell>
        </row>
        <row r="20">
          <cell r="B20" t="str">
            <v>Rigoberto Hernández Quesada</v>
          </cell>
          <cell r="C20" t="str">
            <v>rhernandez@tilaran.go.cr</v>
          </cell>
          <cell r="D20" t="str">
            <v>ENCARGADO DE BIENES INMUEBLES Y VALORACIÓN</v>
          </cell>
          <cell r="E20">
            <v>26952434</v>
          </cell>
        </row>
        <row r="21">
          <cell r="B21" t="str">
            <v>Rose Mary Ruiz Soto</v>
          </cell>
          <cell r="C21" t="str">
            <v>rruiz@tilaran.go.cr</v>
          </cell>
          <cell r="D21" t="str">
            <v>COORDINADOR DE DESARROLLO Y CONTROL URBANO</v>
          </cell>
          <cell r="E21">
            <v>26952427</v>
          </cell>
        </row>
        <row r="22">
          <cell r="B22" t="str">
            <v>Yamileth Carvajal Manzanares</v>
          </cell>
          <cell r="C22" t="str">
            <v>ycarvajal@tilaran.go.cr</v>
          </cell>
          <cell r="D22" t="str">
            <v>ASISTENTE TÉCNICO</v>
          </cell>
          <cell r="E22">
            <v>26952406</v>
          </cell>
        </row>
        <row r="23">
          <cell r="B23" t="str">
            <v>Zeidy Campos Artavia</v>
          </cell>
          <cell r="C23" t="str">
            <v>zcampos@tilaran.go.cr</v>
          </cell>
          <cell r="D23" t="str">
            <v>ASISTENTE TÉCNICO</v>
          </cell>
          <cell r="E23">
            <v>26952405</v>
          </cell>
        </row>
        <row r="24">
          <cell r="B24" t="str">
            <v>Uber Masis Solis</v>
          </cell>
          <cell r="C24" t="str">
            <v>hmasis@tilaran.go.cr</v>
          </cell>
          <cell r="D24" t="str">
            <v>INSPECTOR</v>
          </cell>
          <cell r="E24">
            <v>26952411</v>
          </cell>
        </row>
        <row r="25">
          <cell r="B25" t="str">
            <v>Gerald Vega Zamora</v>
          </cell>
          <cell r="D25" t="str">
            <v>PLATAFORMISTA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barquero@tilaran.go.cr" TargetMode="External"/><Relationship Id="rId13" Type="http://schemas.openxmlformats.org/officeDocument/2006/relationships/hyperlink" Target="mailto:glopez@tilaran.go.cr" TargetMode="External"/><Relationship Id="rId3" Type="http://schemas.openxmlformats.org/officeDocument/2006/relationships/hyperlink" Target="mailto:aramirez@tilaran.go.cr" TargetMode="External"/><Relationship Id="rId7" Type="http://schemas.openxmlformats.org/officeDocument/2006/relationships/hyperlink" Target="mailto:acruz@tilaran.go.cr" TargetMode="External"/><Relationship Id="rId12" Type="http://schemas.openxmlformats.org/officeDocument/2006/relationships/hyperlink" Target="mailto:hmasis@tilaran.go.cr" TargetMode="External"/><Relationship Id="rId2" Type="http://schemas.openxmlformats.org/officeDocument/2006/relationships/hyperlink" Target="mailto:fperez@tilaran.go.cr" TargetMode="External"/><Relationship Id="rId1" Type="http://schemas.openxmlformats.org/officeDocument/2006/relationships/hyperlink" Target="mailto:gbogantes@tilaran.go.cr" TargetMode="External"/><Relationship Id="rId6" Type="http://schemas.openxmlformats.org/officeDocument/2006/relationships/hyperlink" Target="mailto:dfonseca@tilaran.go.cr" TargetMode="External"/><Relationship Id="rId11" Type="http://schemas.openxmlformats.org/officeDocument/2006/relationships/hyperlink" Target="mailto:mcampos@tilaran.go.cr" TargetMode="External"/><Relationship Id="rId5" Type="http://schemas.openxmlformats.org/officeDocument/2006/relationships/hyperlink" Target="mailto:carolay.solera@tilaran.go.cr" TargetMode="External"/><Relationship Id="rId10" Type="http://schemas.openxmlformats.org/officeDocument/2006/relationships/hyperlink" Target="mailto:mramirez@tilaran.go.cr" TargetMode="External"/><Relationship Id="rId4" Type="http://schemas.openxmlformats.org/officeDocument/2006/relationships/hyperlink" Target="mailto:apicado@tilaran.go.cr" TargetMode="External"/><Relationship Id="rId9" Type="http://schemas.openxmlformats.org/officeDocument/2006/relationships/hyperlink" Target="mailto:kalfaro@tilaran.go.cr" TargetMode="External"/><Relationship Id="rId1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1"/>
  <sheetViews>
    <sheetView tabSelected="1" topLeftCell="A19" workbookViewId="0">
      <selection activeCell="I32" sqref="I32:O32"/>
    </sheetView>
  </sheetViews>
  <sheetFormatPr baseColWidth="10" defaultColWidth="4.7109375" defaultRowHeight="20.100000000000001" customHeight="1" x14ac:dyDescent="0.2"/>
  <cols>
    <col min="1" max="1" width="6" style="1" customWidth="1"/>
    <col min="2" max="7" width="4.7109375" style="1"/>
    <col min="8" max="10" width="5.7109375" style="1" customWidth="1"/>
    <col min="11" max="12" width="5.28515625" style="1" customWidth="1"/>
    <col min="13" max="16384" width="4.7109375" style="1"/>
  </cols>
  <sheetData>
    <row r="1" spans="2:23" ht="12" customHeight="1" x14ac:dyDescent="0.2"/>
    <row r="2" spans="2:23" ht="12" customHeight="1" x14ac:dyDescent="0.2">
      <c r="B2" s="122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</row>
    <row r="3" spans="2:23" ht="12" customHeight="1" x14ac:dyDescent="0.2">
      <c r="B3" s="123" t="s">
        <v>1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</row>
    <row r="4" spans="2:23" ht="12" customHeight="1" x14ac:dyDescent="0.2">
      <c r="B4" s="124" t="s">
        <v>2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</row>
    <row r="5" spans="2:23" ht="12" customHeight="1" x14ac:dyDescent="0.2">
      <c r="B5" s="2"/>
      <c r="C5" s="2"/>
      <c r="D5" s="2"/>
      <c r="E5" s="2"/>
      <c r="F5" s="2"/>
      <c r="G5" s="2"/>
      <c r="H5" s="2"/>
      <c r="I5" s="2"/>
    </row>
    <row r="6" spans="2:23" ht="12" customHeight="1" x14ac:dyDescent="0.2">
      <c r="B6" s="124" t="s">
        <v>3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</row>
    <row r="7" spans="2:23" ht="12" customHeight="1" x14ac:dyDescent="0.2">
      <c r="B7" s="3"/>
      <c r="M7" s="3"/>
    </row>
    <row r="8" spans="2:23" ht="20.100000000000001" customHeight="1" thickBot="1" x14ac:dyDescent="0.25">
      <c r="B8" s="125" t="s">
        <v>4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</row>
    <row r="9" spans="2:23" ht="20.100000000000001" customHeight="1" x14ac:dyDescent="0.25">
      <c r="B9" s="126" t="s">
        <v>5</v>
      </c>
      <c r="C9" s="127"/>
      <c r="D9" s="127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19" t="s">
        <v>6</v>
      </c>
      <c r="Q9" s="119"/>
      <c r="R9" s="119"/>
      <c r="S9" s="120"/>
      <c r="T9" s="120"/>
      <c r="U9" s="120"/>
      <c r="V9" s="120"/>
      <c r="W9" s="121"/>
    </row>
    <row r="10" spans="2:23" ht="20.100000000000001" customHeight="1" x14ac:dyDescent="0.25">
      <c r="B10" s="35" t="s">
        <v>7</v>
      </c>
      <c r="C10" s="5"/>
      <c r="D10" s="6"/>
      <c r="E10" s="6"/>
      <c r="F10" s="7"/>
      <c r="G10" s="111"/>
      <c r="H10" s="111"/>
      <c r="I10" s="111"/>
      <c r="J10" s="111"/>
      <c r="K10" s="111"/>
      <c r="L10" s="111"/>
      <c r="M10" s="111"/>
      <c r="N10" s="111"/>
      <c r="O10" s="111"/>
      <c r="P10" s="109" t="s">
        <v>6</v>
      </c>
      <c r="Q10" s="109"/>
      <c r="R10" s="109"/>
      <c r="S10" s="111"/>
      <c r="T10" s="111"/>
      <c r="U10" s="111"/>
      <c r="V10" s="111"/>
      <c r="W10" s="112"/>
    </row>
    <row r="11" spans="2:23" ht="20.100000000000001" customHeight="1" x14ac:dyDescent="0.25">
      <c r="B11" s="35" t="s">
        <v>8</v>
      </c>
      <c r="C11" s="5"/>
      <c r="D11" s="5"/>
      <c r="E11" s="5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4"/>
    </row>
    <row r="12" spans="2:23" ht="15" customHeight="1" x14ac:dyDescent="0.2">
      <c r="B12" s="36"/>
      <c r="C12" s="5"/>
      <c r="D12" s="5"/>
      <c r="E12" s="5"/>
      <c r="F12" s="115" t="s">
        <v>9</v>
      </c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6"/>
    </row>
    <row r="13" spans="2:23" ht="20.100000000000001" customHeight="1" x14ac:dyDescent="0.25">
      <c r="B13" s="35" t="s">
        <v>10</v>
      </c>
      <c r="C13" s="5"/>
      <c r="D13" s="5"/>
      <c r="E13" s="103"/>
      <c r="F13" s="103"/>
      <c r="G13" s="103"/>
      <c r="H13" s="103"/>
      <c r="I13" s="109" t="s">
        <v>11</v>
      </c>
      <c r="J13" s="109"/>
      <c r="K13" s="103"/>
      <c r="L13" s="103"/>
      <c r="M13" s="103"/>
      <c r="N13" s="109" t="s">
        <v>12</v>
      </c>
      <c r="O13" s="109"/>
      <c r="P13" s="117"/>
      <c r="Q13" s="117"/>
      <c r="R13" s="117"/>
      <c r="S13" s="117"/>
      <c r="T13" s="117"/>
      <c r="U13" s="117"/>
      <c r="V13" s="117"/>
      <c r="W13" s="118"/>
    </row>
    <row r="14" spans="2:23" ht="15" customHeight="1" x14ac:dyDescent="0.2">
      <c r="B14" s="37"/>
      <c r="C14" s="5"/>
      <c r="D14" s="5"/>
      <c r="E14" s="5"/>
      <c r="F14" s="5"/>
      <c r="G14" s="5"/>
      <c r="H14" s="5"/>
      <c r="I14" s="5"/>
      <c r="W14" s="38"/>
    </row>
    <row r="15" spans="2:23" ht="20.100000000000001" customHeight="1" x14ac:dyDescent="0.25">
      <c r="B15" s="39" t="s">
        <v>13</v>
      </c>
      <c r="C15" s="5"/>
      <c r="D15" s="5"/>
      <c r="E15" s="5"/>
      <c r="F15" s="5"/>
      <c r="G15" s="5"/>
      <c r="H15" s="5"/>
      <c r="I15" s="5"/>
      <c r="P15" s="32"/>
      <c r="Q15" s="32"/>
      <c r="R15" s="32"/>
      <c r="S15" s="21"/>
      <c r="T15" s="21"/>
      <c r="U15" s="21"/>
      <c r="V15" s="21"/>
      <c r="W15" s="40"/>
    </row>
    <row r="16" spans="2:23" ht="20.100000000000001" customHeight="1" x14ac:dyDescent="0.25">
      <c r="B16" s="39" t="s">
        <v>14</v>
      </c>
      <c r="C16" s="5"/>
      <c r="D16" s="5"/>
      <c r="E16" s="5"/>
      <c r="F16" s="5"/>
      <c r="G16" s="5"/>
      <c r="H16" s="5"/>
      <c r="I16" s="5"/>
      <c r="P16" s="32"/>
      <c r="Q16" s="32"/>
      <c r="R16" s="32"/>
      <c r="S16" s="21"/>
      <c r="T16" s="21"/>
      <c r="U16" s="21"/>
      <c r="V16" s="21"/>
      <c r="W16" s="40"/>
    </row>
    <row r="17" spans="2:24" ht="15" customHeight="1" x14ac:dyDescent="0.2">
      <c r="B17" s="37"/>
      <c r="C17" s="5"/>
      <c r="D17" s="5"/>
      <c r="E17" s="5"/>
      <c r="F17" s="5"/>
      <c r="G17" s="5"/>
      <c r="H17" s="5"/>
      <c r="I17" s="5"/>
      <c r="W17" s="38"/>
    </row>
    <row r="18" spans="2:24" ht="15" customHeight="1" x14ac:dyDescent="0.2">
      <c r="B18" s="108" t="s">
        <v>15</v>
      </c>
      <c r="C18" s="109"/>
      <c r="D18" s="109"/>
      <c r="E18" s="109" t="s">
        <v>16</v>
      </c>
      <c r="F18" s="109"/>
      <c r="G18" s="109"/>
      <c r="H18" s="109"/>
      <c r="I18" s="109" t="s">
        <v>17</v>
      </c>
      <c r="J18" s="109"/>
      <c r="K18" s="109"/>
      <c r="L18" s="109"/>
      <c r="M18" s="109" t="s">
        <v>18</v>
      </c>
      <c r="N18" s="109"/>
      <c r="O18" s="109"/>
      <c r="P18" s="109"/>
      <c r="Q18" s="109"/>
      <c r="R18" s="109"/>
      <c r="S18" s="109"/>
      <c r="T18" s="109"/>
      <c r="U18" s="109"/>
      <c r="V18" s="109"/>
      <c r="W18" s="110"/>
    </row>
    <row r="19" spans="2:24" ht="20.100000000000001" customHeight="1" x14ac:dyDescent="0.2">
      <c r="B19" s="107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6"/>
    </row>
    <row r="20" spans="2:24" ht="20.100000000000001" customHeight="1" x14ac:dyDescent="0.2">
      <c r="B20" s="107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6"/>
    </row>
    <row r="21" spans="2:24" ht="20.100000000000001" customHeight="1" x14ac:dyDescent="0.2">
      <c r="B21" s="107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6"/>
    </row>
    <row r="22" spans="2:24" ht="20.100000000000001" customHeight="1" x14ac:dyDescent="0.2">
      <c r="B22" s="107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6"/>
    </row>
    <row r="23" spans="2:24" ht="20.100000000000001" customHeight="1" x14ac:dyDescent="0.2">
      <c r="B23" s="107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6"/>
    </row>
    <row r="24" spans="2:24" ht="20.100000000000001" customHeight="1" x14ac:dyDescent="0.2">
      <c r="B24" s="107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6"/>
    </row>
    <row r="25" spans="2:24" ht="20.100000000000001" customHeight="1" x14ac:dyDescent="0.2">
      <c r="B25" s="107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6"/>
    </row>
    <row r="26" spans="2:24" ht="20.100000000000001" customHeight="1" x14ac:dyDescent="0.2">
      <c r="B26" s="107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6"/>
    </row>
    <row r="27" spans="2:24" ht="20.100000000000001" customHeight="1" x14ac:dyDescent="0.2">
      <c r="B27" s="37"/>
      <c r="C27" s="5"/>
      <c r="D27" s="5"/>
      <c r="E27" s="5"/>
      <c r="F27" s="5"/>
      <c r="G27" s="5"/>
      <c r="H27" s="10"/>
      <c r="I27" s="10"/>
      <c r="J27" s="27"/>
      <c r="K27" s="27"/>
      <c r="L27" s="27"/>
      <c r="M27" s="27"/>
      <c r="N27" s="11"/>
      <c r="O27" s="11"/>
      <c r="P27" s="11"/>
      <c r="W27" s="38"/>
    </row>
    <row r="28" spans="2:24" ht="20.100000000000001" customHeight="1" x14ac:dyDescent="0.2">
      <c r="B28" s="37"/>
      <c r="C28" s="5"/>
      <c r="D28" s="5"/>
      <c r="E28" s="5"/>
      <c r="F28" s="5"/>
      <c r="G28" s="5"/>
      <c r="H28" s="115" t="s">
        <v>21</v>
      </c>
      <c r="I28" s="115"/>
      <c r="J28" s="115"/>
      <c r="K28" s="115"/>
      <c r="L28" s="115"/>
      <c r="M28" s="115"/>
      <c r="N28" s="115"/>
      <c r="O28" s="115"/>
      <c r="P28" s="115"/>
      <c r="W28" s="38"/>
    </row>
    <row r="29" spans="2:24" ht="20.100000000000001" customHeight="1" thickBot="1" x14ac:dyDescent="0.25">
      <c r="B29" s="41"/>
      <c r="C29" s="42"/>
      <c r="D29" s="42"/>
      <c r="E29" s="42"/>
      <c r="F29" s="42"/>
      <c r="G29" s="42"/>
      <c r="H29" s="42"/>
      <c r="I29" s="42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</row>
    <row r="30" spans="2:24" ht="20.100000000000001" customHeight="1" thickBot="1" x14ac:dyDescent="0.25">
      <c r="B30" s="5"/>
      <c r="C30" s="5"/>
      <c r="D30" s="5"/>
      <c r="E30" s="5"/>
      <c r="F30" s="5"/>
      <c r="G30" s="5"/>
      <c r="H30" s="5"/>
      <c r="I30" s="5"/>
    </row>
    <row r="31" spans="2:24" ht="20.100000000000001" customHeight="1" x14ac:dyDescent="0.2">
      <c r="B31" s="70" t="s">
        <v>22</v>
      </c>
      <c r="C31" s="71"/>
      <c r="D31" s="71"/>
      <c r="E31" s="71"/>
      <c r="F31" s="71"/>
      <c r="G31" s="71"/>
      <c r="H31" s="72"/>
      <c r="I31" s="70" t="s">
        <v>23</v>
      </c>
      <c r="J31" s="71"/>
      <c r="K31" s="71"/>
      <c r="L31" s="71"/>
      <c r="M31" s="71"/>
      <c r="N31" s="71"/>
      <c r="O31" s="72"/>
      <c r="P31" s="70" t="s">
        <v>24</v>
      </c>
      <c r="Q31" s="71"/>
      <c r="R31" s="71"/>
      <c r="S31" s="71"/>
      <c r="T31" s="71"/>
      <c r="U31" s="71"/>
      <c r="V31" s="71"/>
      <c r="W31" s="72"/>
      <c r="X31" s="52"/>
    </row>
    <row r="32" spans="2:24" ht="20.100000000000001" customHeight="1" thickBot="1" x14ac:dyDescent="0.25">
      <c r="B32" s="73"/>
      <c r="C32" s="74"/>
      <c r="D32" s="74"/>
      <c r="E32" s="74"/>
      <c r="F32" s="74"/>
      <c r="G32" s="74"/>
      <c r="H32" s="75"/>
      <c r="I32" s="73" t="s">
        <v>105</v>
      </c>
      <c r="J32" s="74"/>
      <c r="K32" s="74"/>
      <c r="L32" s="74"/>
      <c r="M32" s="74"/>
      <c r="N32" s="74"/>
      <c r="O32" s="75"/>
      <c r="P32" s="82" t="s">
        <v>27</v>
      </c>
      <c r="Q32" s="83"/>
      <c r="R32" s="83"/>
      <c r="S32" s="83"/>
      <c r="T32" s="83"/>
      <c r="U32" s="83"/>
      <c r="V32" s="83"/>
      <c r="W32" s="84"/>
      <c r="X32" s="50"/>
    </row>
    <row r="33" spans="2:24" ht="20.100000000000001" customHeight="1" x14ac:dyDescent="0.2">
      <c r="B33" s="76" t="s">
        <v>28</v>
      </c>
      <c r="C33" s="77"/>
      <c r="D33" s="77"/>
      <c r="E33" s="77"/>
      <c r="F33" s="77"/>
      <c r="G33" s="77"/>
      <c r="H33" s="78"/>
      <c r="I33" s="76" t="s">
        <v>28</v>
      </c>
      <c r="J33" s="77"/>
      <c r="K33" s="77"/>
      <c r="L33" s="77"/>
      <c r="M33" s="77"/>
      <c r="N33" s="77"/>
      <c r="O33" s="78"/>
      <c r="P33" s="85">
        <f>VLOOKUP(P36,PARÁMETROS!J3:K6,2,FALSE)</f>
        <v>10</v>
      </c>
      <c r="Q33" s="86"/>
      <c r="R33" s="86"/>
      <c r="S33" s="86"/>
      <c r="T33" s="86"/>
      <c r="U33" s="86"/>
      <c r="V33" s="86"/>
      <c r="W33" s="87"/>
      <c r="X33" s="67"/>
    </row>
    <row r="34" spans="2:24" ht="20.100000000000001" customHeight="1" x14ac:dyDescent="0.2">
      <c r="B34" s="79">
        <f ca="1">NOW()</f>
        <v>45349.515075578704</v>
      </c>
      <c r="C34" s="80"/>
      <c r="D34" s="80"/>
      <c r="E34" s="80"/>
      <c r="F34" s="80"/>
      <c r="G34" s="80"/>
      <c r="H34" s="81"/>
      <c r="I34" s="55"/>
      <c r="J34" s="56"/>
      <c r="K34" s="56"/>
      <c r="L34" s="56"/>
      <c r="M34" s="56"/>
      <c r="N34" s="56"/>
      <c r="O34" s="57"/>
      <c r="P34" s="88"/>
      <c r="Q34" s="89"/>
      <c r="R34" s="89"/>
      <c r="S34" s="89"/>
      <c r="T34" s="89"/>
      <c r="U34" s="89"/>
      <c r="V34" s="89"/>
      <c r="W34" s="90"/>
      <c r="X34" s="67"/>
    </row>
    <row r="35" spans="2:24" ht="20.100000000000001" customHeight="1" x14ac:dyDescent="0.2">
      <c r="B35" s="54"/>
      <c r="C35" s="53"/>
      <c r="D35" s="53"/>
      <c r="E35" s="53"/>
      <c r="F35" s="53"/>
      <c r="G35" s="53"/>
      <c r="H35" s="53"/>
      <c r="I35" s="61"/>
      <c r="J35" s="62"/>
      <c r="K35" s="62"/>
      <c r="L35" s="62"/>
      <c r="M35" s="62"/>
      <c r="N35" s="62"/>
      <c r="O35" s="63"/>
      <c r="P35" s="91"/>
      <c r="Q35" s="92"/>
      <c r="R35" s="92"/>
      <c r="S35" s="92"/>
      <c r="T35" s="92"/>
      <c r="U35" s="92"/>
      <c r="V35" s="92"/>
      <c r="W35" s="93"/>
      <c r="X35" s="67"/>
    </row>
    <row r="36" spans="2:24" ht="20.100000000000001" customHeight="1" x14ac:dyDescent="0.2">
      <c r="B36" s="55"/>
      <c r="C36" s="56"/>
      <c r="D36" s="56"/>
      <c r="E36" s="56"/>
      <c r="F36" s="56"/>
      <c r="G36" s="56"/>
      <c r="H36" s="56"/>
      <c r="I36" s="55"/>
      <c r="J36" s="56"/>
      <c r="K36" s="56"/>
      <c r="L36" s="56"/>
      <c r="M36" s="56"/>
      <c r="N36" s="56"/>
      <c r="O36" s="57"/>
      <c r="P36" s="94" t="s">
        <v>29</v>
      </c>
      <c r="Q36" s="95"/>
      <c r="R36" s="95"/>
      <c r="S36" s="95"/>
      <c r="T36" s="95"/>
      <c r="U36" s="95"/>
      <c r="V36" s="95"/>
      <c r="W36" s="96"/>
      <c r="X36" s="68"/>
    </row>
    <row r="37" spans="2:24" ht="20.100000000000001" customHeight="1" x14ac:dyDescent="0.2">
      <c r="B37" s="76" t="s">
        <v>30</v>
      </c>
      <c r="C37" s="77"/>
      <c r="D37" s="77"/>
      <c r="E37" s="77"/>
      <c r="F37" s="77"/>
      <c r="G37" s="77"/>
      <c r="H37" s="78"/>
      <c r="I37" s="76" t="s">
        <v>30</v>
      </c>
      <c r="J37" s="77"/>
      <c r="K37" s="77"/>
      <c r="L37" s="77"/>
      <c r="M37" s="77"/>
      <c r="N37" s="77"/>
      <c r="O37" s="78"/>
      <c r="P37" s="97"/>
      <c r="Q37" s="98"/>
      <c r="R37" s="98"/>
      <c r="S37" s="98"/>
      <c r="T37" s="98"/>
      <c r="U37" s="98"/>
      <c r="V37" s="98"/>
      <c r="W37" s="99"/>
      <c r="X37" s="68"/>
    </row>
    <row r="38" spans="2:24" ht="20.100000000000001" customHeight="1" x14ac:dyDescent="0.2">
      <c r="B38" s="51"/>
      <c r="C38" s="52"/>
      <c r="D38" s="52"/>
      <c r="E38" s="52"/>
      <c r="F38" s="52"/>
      <c r="G38" s="52"/>
      <c r="H38" s="52"/>
      <c r="I38" s="73" t="str">
        <f>VLOOKUP(I32,[1]PARÁMETROS!B5:D30,2,FALSE)</f>
        <v>rhernandez@tilaran.go.cr</v>
      </c>
      <c r="J38" s="74"/>
      <c r="K38" s="74"/>
      <c r="L38" s="74"/>
      <c r="M38" s="74"/>
      <c r="N38" s="74"/>
      <c r="O38" s="75"/>
      <c r="P38" s="97"/>
      <c r="Q38" s="98"/>
      <c r="R38" s="98"/>
      <c r="S38" s="98"/>
      <c r="T38" s="98"/>
      <c r="U38" s="98"/>
      <c r="V38" s="98"/>
      <c r="W38" s="99"/>
      <c r="X38" s="68"/>
    </row>
    <row r="39" spans="2:24" ht="20.100000000000001" customHeight="1" x14ac:dyDescent="0.2">
      <c r="B39" s="51"/>
      <c r="C39" s="52"/>
      <c r="D39" s="52"/>
      <c r="E39" s="52"/>
      <c r="F39" s="52"/>
      <c r="G39" s="52"/>
      <c r="H39" s="52"/>
      <c r="I39" s="73">
        <f>VLOOKUP(I32,[1]PARÁMETROS!B5:E30,4,FALSE)</f>
        <v>26952434</v>
      </c>
      <c r="J39" s="74"/>
      <c r="K39" s="74"/>
      <c r="L39" s="74"/>
      <c r="M39" s="74"/>
      <c r="N39" s="74"/>
      <c r="O39" s="75"/>
      <c r="P39" s="97"/>
      <c r="Q39" s="98"/>
      <c r="R39" s="98"/>
      <c r="S39" s="98"/>
      <c r="T39" s="98"/>
      <c r="U39" s="98"/>
      <c r="V39" s="98"/>
      <c r="W39" s="99"/>
      <c r="X39" s="68"/>
    </row>
    <row r="40" spans="2:24" ht="20.100000000000001" customHeight="1" thickBot="1" x14ac:dyDescent="0.25">
      <c r="B40" s="58"/>
      <c r="C40" s="59"/>
      <c r="D40" s="59"/>
      <c r="E40" s="59"/>
      <c r="F40" s="59"/>
      <c r="G40" s="59"/>
      <c r="H40" s="59"/>
      <c r="I40" s="58"/>
      <c r="J40" s="59"/>
      <c r="K40" s="59"/>
      <c r="L40" s="59"/>
      <c r="M40" s="59"/>
      <c r="N40" s="59"/>
      <c r="O40" s="60"/>
      <c r="P40" s="100"/>
      <c r="Q40" s="101"/>
      <c r="R40" s="101"/>
      <c r="S40" s="101"/>
      <c r="T40" s="101"/>
      <c r="U40" s="101"/>
      <c r="V40" s="101"/>
      <c r="W40" s="102"/>
      <c r="X40" s="68"/>
    </row>
    <row r="41" spans="2:24" ht="20.100000000000001" customHeight="1" x14ac:dyDescent="0.2">
      <c r="B41" s="49" t="s">
        <v>31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</sheetData>
  <protectedRanges>
    <protectedRange sqref="E9 G10 S9:S10 F11 E13 K13 R13 P15:P16" name="Rango1"/>
    <protectedRange sqref="B32 I32" name="Rango1_1"/>
    <protectedRange sqref="P36" name="Rango1_2"/>
  </protectedRanges>
  <mergeCells count="71">
    <mergeCell ref="P9:R9"/>
    <mergeCell ref="S9:W9"/>
    <mergeCell ref="B2:W2"/>
    <mergeCell ref="B3:W3"/>
    <mergeCell ref="B4:W4"/>
    <mergeCell ref="B6:W6"/>
    <mergeCell ref="B8:W8"/>
    <mergeCell ref="B9:D9"/>
    <mergeCell ref="E9:O9"/>
    <mergeCell ref="E13:H13"/>
    <mergeCell ref="I13:J13"/>
    <mergeCell ref="N13:O13"/>
    <mergeCell ref="P13:W13"/>
    <mergeCell ref="H28:P28"/>
    <mergeCell ref="G10:O10"/>
    <mergeCell ref="P10:R10"/>
    <mergeCell ref="S10:W10"/>
    <mergeCell ref="F11:W11"/>
    <mergeCell ref="F12:W12"/>
    <mergeCell ref="B21:D21"/>
    <mergeCell ref="E21:H21"/>
    <mergeCell ref="I21:L21"/>
    <mergeCell ref="M21:W21"/>
    <mergeCell ref="B18:D18"/>
    <mergeCell ref="B19:D19"/>
    <mergeCell ref="E19:H19"/>
    <mergeCell ref="E18:H18"/>
    <mergeCell ref="I18:L18"/>
    <mergeCell ref="I19:L19"/>
    <mergeCell ref="M18:W18"/>
    <mergeCell ref="M19:W19"/>
    <mergeCell ref="B20:D20"/>
    <mergeCell ref="E20:H20"/>
    <mergeCell ref="B22:D22"/>
    <mergeCell ref="E22:H22"/>
    <mergeCell ref="I22:L22"/>
    <mergeCell ref="M22:W22"/>
    <mergeCell ref="B23:D23"/>
    <mergeCell ref="E23:H23"/>
    <mergeCell ref="I23:L23"/>
    <mergeCell ref="M23:W23"/>
    <mergeCell ref="B26:D26"/>
    <mergeCell ref="E26:H26"/>
    <mergeCell ref="I26:L26"/>
    <mergeCell ref="M26:W26"/>
    <mergeCell ref="B24:D24"/>
    <mergeCell ref="E24:H24"/>
    <mergeCell ref="I24:L24"/>
    <mergeCell ref="M24:W24"/>
    <mergeCell ref="B25:D25"/>
    <mergeCell ref="E25:H25"/>
    <mergeCell ref="I25:L25"/>
    <mergeCell ref="M25:W25"/>
    <mergeCell ref="P31:W31"/>
    <mergeCell ref="P32:W32"/>
    <mergeCell ref="P33:W35"/>
    <mergeCell ref="P36:W40"/>
    <mergeCell ref="K13:M13"/>
    <mergeCell ref="I31:O31"/>
    <mergeCell ref="I32:O32"/>
    <mergeCell ref="I33:O33"/>
    <mergeCell ref="I37:O37"/>
    <mergeCell ref="I38:O38"/>
    <mergeCell ref="I39:O39"/>
    <mergeCell ref="I20:L20"/>
    <mergeCell ref="M20:W20"/>
    <mergeCell ref="B31:H31"/>
    <mergeCell ref="B32:H32"/>
    <mergeCell ref="B33:H33"/>
    <mergeCell ref="B34:H34"/>
    <mergeCell ref="B37:H37"/>
  </mergeCells>
  <pageMargins left="0" right="0" top="0.39370078740157483" bottom="0.98425196850393704" header="0.39370078740157483" footer="0"/>
  <pageSetup scale="90" orientation="portrait" horizontalDpi="120" verticalDpi="144" r:id="rId1"/>
  <headerFooter alignWithMargins="0">
    <oddHeader>&amp;L&amp;F&amp;C&amp;A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PARÁMETROS!$B$9:$B$17</xm:f>
          </x14:formula1>
          <xm:sqref>I19:L26</xm:sqref>
        </x14:dataValidation>
        <x14:dataValidation type="list" allowBlank="1" showInputMessage="1" showErrorMessage="1" xr:uid="{00000000-0002-0000-0000-000001000000}">
          <x14:formula1>
            <xm:f>PARÁMETROS!$B$20:$B$23</xm:f>
          </x14:formula1>
          <xm:sqref>M19:W26</xm:sqref>
        </x14:dataValidation>
        <x14:dataValidation type="list" allowBlank="1" showInputMessage="1" showErrorMessage="1" xr:uid="{00000000-0002-0000-0000-000002000000}">
          <x14:formula1>
            <xm:f>PARÁMETROS!$E$1:$E$29</xm:f>
          </x14:formula1>
          <xm:sqref>B32 I32</xm:sqref>
        </x14:dataValidation>
        <x14:dataValidation type="list" allowBlank="1" showInputMessage="1" showErrorMessage="1" xr:uid="{00000000-0002-0000-0000-000003000000}">
          <x14:formula1>
            <xm:f>PARÁMETROS!$J$3:$J$6</xm:f>
          </x14:formula1>
          <xm:sqref>X36:X40 P36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B38"/>
  <sheetViews>
    <sheetView zoomScaleNormal="100" workbookViewId="0">
      <selection activeCell="W19" sqref="W19:Y19"/>
    </sheetView>
  </sheetViews>
  <sheetFormatPr baseColWidth="10" defaultColWidth="4.7109375" defaultRowHeight="20.100000000000001" customHeight="1" x14ac:dyDescent="0.2"/>
  <cols>
    <col min="1" max="7" width="4.7109375" style="1"/>
    <col min="8" max="10" width="5.7109375" style="1" customWidth="1"/>
    <col min="11" max="13" width="5.28515625" style="1" customWidth="1"/>
    <col min="14" max="16384" width="4.7109375" style="1"/>
  </cols>
  <sheetData>
    <row r="1" spans="2:25" ht="12" customHeight="1" x14ac:dyDescent="0.2"/>
    <row r="2" spans="2:25" ht="12" customHeight="1" x14ac:dyDescent="0.2">
      <c r="B2" s="122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2:25" ht="12" customHeight="1" x14ac:dyDescent="0.2">
      <c r="B3" s="123" t="s">
        <v>1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</row>
    <row r="4" spans="2:25" ht="12" customHeight="1" x14ac:dyDescent="0.2">
      <c r="B4" s="124" t="s">
        <v>2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</row>
    <row r="5" spans="2:25" ht="12" customHeight="1" x14ac:dyDescent="0.2">
      <c r="B5" s="2"/>
      <c r="C5" s="2"/>
      <c r="D5" s="2"/>
      <c r="E5" s="2"/>
      <c r="F5" s="2"/>
      <c r="G5" s="2"/>
      <c r="H5" s="2"/>
      <c r="I5" s="2"/>
    </row>
    <row r="6" spans="2:25" ht="12" customHeight="1" x14ac:dyDescent="0.2">
      <c r="B6" s="124" t="s">
        <v>32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</row>
    <row r="7" spans="2:25" ht="12" customHeight="1" x14ac:dyDescent="0.2">
      <c r="B7" s="3"/>
      <c r="O7" s="3"/>
    </row>
    <row r="8" spans="2:25" ht="20.100000000000001" customHeight="1" x14ac:dyDescent="0.2">
      <c r="B8" s="125" t="s">
        <v>4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</row>
    <row r="9" spans="2:25" ht="20.100000000000001" customHeight="1" x14ac:dyDescent="0.25">
      <c r="B9" s="164" t="s">
        <v>5</v>
      </c>
      <c r="C9" s="165"/>
      <c r="D9" s="165"/>
      <c r="E9" s="111">
        <f>+FORMULARIO!E9</f>
        <v>0</v>
      </c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65" t="s">
        <v>6</v>
      </c>
      <c r="S9" s="165"/>
      <c r="T9" s="165"/>
      <c r="U9" s="111">
        <f>+FORMULARIO!S9</f>
        <v>0</v>
      </c>
      <c r="V9" s="111"/>
      <c r="W9" s="111"/>
      <c r="X9" s="111"/>
      <c r="Y9" s="159"/>
    </row>
    <row r="10" spans="2:25" ht="20.100000000000001" customHeight="1" x14ac:dyDescent="0.25">
      <c r="B10" s="4" t="s">
        <v>7</v>
      </c>
      <c r="C10" s="5"/>
      <c r="D10" s="6"/>
      <c r="E10" s="6"/>
      <c r="F10" s="7"/>
      <c r="G10" s="111">
        <f>+FORMULARIO!G10</f>
        <v>0</v>
      </c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09" t="s">
        <v>6</v>
      </c>
      <c r="S10" s="109"/>
      <c r="T10" s="109"/>
      <c r="U10" s="111">
        <f>+FORMULARIO!S10</f>
        <v>0</v>
      </c>
      <c r="V10" s="111"/>
      <c r="W10" s="111"/>
      <c r="X10" s="111"/>
      <c r="Y10" s="159"/>
    </row>
    <row r="11" spans="2:25" ht="20.100000000000001" customHeight="1" x14ac:dyDescent="0.25">
      <c r="B11" s="4" t="s">
        <v>8</v>
      </c>
      <c r="C11" s="5"/>
      <c r="D11" s="5"/>
      <c r="E11" s="5"/>
      <c r="F11" s="113">
        <f>+FORMULARIO!F11</f>
        <v>0</v>
      </c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60"/>
    </row>
    <row r="12" spans="2:25" ht="15" customHeight="1" x14ac:dyDescent="0.2">
      <c r="B12" s="8"/>
      <c r="C12" s="5"/>
      <c r="D12" s="5"/>
      <c r="E12" s="5"/>
      <c r="F12" s="115" t="s">
        <v>9</v>
      </c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61"/>
    </row>
    <row r="13" spans="2:25" ht="20.100000000000001" customHeight="1" x14ac:dyDescent="0.25">
      <c r="B13" s="4" t="s">
        <v>10</v>
      </c>
      <c r="C13" s="5"/>
      <c r="D13" s="5"/>
      <c r="E13" s="103">
        <f>+FORMULARIO!E13</f>
        <v>0</v>
      </c>
      <c r="F13" s="103"/>
      <c r="G13" s="103"/>
      <c r="H13" s="103"/>
      <c r="I13" s="109" t="s">
        <v>11</v>
      </c>
      <c r="J13" s="109"/>
      <c r="K13" s="103">
        <f>+FORMULARIO!K13</f>
        <v>0</v>
      </c>
      <c r="L13" s="103"/>
      <c r="M13" s="103"/>
      <c r="N13" s="103"/>
      <c r="P13" s="109" t="s">
        <v>12</v>
      </c>
      <c r="Q13" s="109"/>
      <c r="R13" s="162">
        <f>+FORMULARIO!P13</f>
        <v>0</v>
      </c>
      <c r="S13" s="162"/>
      <c r="T13" s="162"/>
      <c r="U13" s="162"/>
      <c r="V13" s="162"/>
      <c r="W13" s="162"/>
      <c r="X13" s="162"/>
      <c r="Y13" s="163"/>
    </row>
    <row r="14" spans="2:25" ht="15" customHeight="1" x14ac:dyDescent="0.2">
      <c r="B14" s="9"/>
      <c r="C14" s="10"/>
      <c r="D14" s="10"/>
      <c r="E14" s="10"/>
      <c r="F14" s="10"/>
      <c r="G14" s="10"/>
      <c r="H14" s="10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"/>
    </row>
    <row r="15" spans="2:25" ht="15" customHeight="1" x14ac:dyDescent="0.2">
      <c r="B15" s="5"/>
      <c r="C15" s="5"/>
      <c r="D15" s="5"/>
      <c r="E15" s="5"/>
      <c r="F15" s="5"/>
      <c r="G15" s="5"/>
      <c r="H15" s="5"/>
      <c r="I15" s="5"/>
    </row>
    <row r="16" spans="2:25" ht="20.100000000000001" customHeight="1" x14ac:dyDescent="0.2">
      <c r="B16" s="125" t="s">
        <v>33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</row>
    <row r="17" spans="2:54" ht="41.25" customHeight="1" x14ac:dyDescent="0.2">
      <c r="B17" s="147" t="s">
        <v>15</v>
      </c>
      <c r="C17" s="148"/>
      <c r="D17" s="149"/>
      <c r="E17" s="156" t="s">
        <v>34</v>
      </c>
      <c r="F17" s="157"/>
      <c r="G17" s="158"/>
      <c r="H17" s="156" t="s">
        <v>35</v>
      </c>
      <c r="I17" s="157"/>
      <c r="J17" s="158"/>
      <c r="K17" s="156" t="s">
        <v>36</v>
      </c>
      <c r="L17" s="157"/>
      <c r="M17" s="158"/>
      <c r="N17" s="156" t="s">
        <v>37</v>
      </c>
      <c r="O17" s="157"/>
      <c r="P17" s="158"/>
      <c r="Q17" s="156" t="s">
        <v>38</v>
      </c>
      <c r="R17" s="157"/>
      <c r="S17" s="158"/>
      <c r="T17" s="156" t="s">
        <v>39</v>
      </c>
      <c r="U17" s="157"/>
      <c r="V17" s="158"/>
      <c r="W17" s="156" t="s">
        <v>40</v>
      </c>
      <c r="X17" s="157"/>
      <c r="Y17" s="158"/>
    </row>
    <row r="18" spans="2:54" ht="35.1" customHeight="1" x14ac:dyDescent="0.2">
      <c r="B18" s="147">
        <f>+FORMULARIO!B19</f>
        <v>0</v>
      </c>
      <c r="C18" s="148"/>
      <c r="D18" s="149"/>
      <c r="E18" s="138">
        <v>221874.83</v>
      </c>
      <c r="F18" s="139"/>
      <c r="G18" s="140"/>
      <c r="H18" s="150" t="s">
        <v>20</v>
      </c>
      <c r="I18" s="151"/>
      <c r="J18" s="152"/>
      <c r="K18" s="153">
        <v>1</v>
      </c>
      <c r="L18" s="154"/>
      <c r="M18" s="155"/>
      <c r="N18" s="138">
        <v>10000000</v>
      </c>
      <c r="O18" s="139"/>
      <c r="P18" s="140"/>
      <c r="Q18" s="138">
        <v>0</v>
      </c>
      <c r="R18" s="139"/>
      <c r="S18" s="140"/>
      <c r="T18" s="138">
        <f>+N18*K18</f>
        <v>10000000</v>
      </c>
      <c r="U18" s="139"/>
      <c r="V18" s="140"/>
      <c r="W18" s="138">
        <f>+(N18-T18)+Q18</f>
        <v>0</v>
      </c>
      <c r="X18" s="139"/>
      <c r="Y18" s="140"/>
    </row>
    <row r="19" spans="2:54" ht="35.1" customHeight="1" x14ac:dyDescent="0.2">
      <c r="B19" s="147">
        <f>+FORMULARIO!B20</f>
        <v>0</v>
      </c>
      <c r="C19" s="148"/>
      <c r="D19" s="149"/>
      <c r="E19" s="138">
        <v>550373.69999999995</v>
      </c>
      <c r="F19" s="139"/>
      <c r="G19" s="140"/>
      <c r="H19" s="150" t="s">
        <v>20</v>
      </c>
      <c r="I19" s="151"/>
      <c r="J19" s="152"/>
      <c r="K19" s="153">
        <v>1</v>
      </c>
      <c r="L19" s="154"/>
      <c r="M19" s="155"/>
      <c r="N19" s="138">
        <v>25000000</v>
      </c>
      <c r="O19" s="139"/>
      <c r="P19" s="140"/>
      <c r="Q19" s="138">
        <v>52225000</v>
      </c>
      <c r="R19" s="139"/>
      <c r="S19" s="140"/>
      <c r="T19" s="138">
        <f t="shared" ref="T19" si="0">IFERROR(N19*K19,"")</f>
        <v>25000000</v>
      </c>
      <c r="U19" s="139"/>
      <c r="V19" s="140"/>
      <c r="W19" s="138">
        <f t="shared" ref="W19" si="1">IFERROR((N19-T19)+Q19,"")</f>
        <v>52225000</v>
      </c>
      <c r="X19" s="139"/>
      <c r="Y19" s="140"/>
    </row>
    <row r="20" spans="2:54" ht="35.1" customHeight="1" x14ac:dyDescent="0.2">
      <c r="B20" s="147"/>
      <c r="C20" s="148"/>
      <c r="D20" s="149"/>
      <c r="E20" s="138"/>
      <c r="F20" s="139"/>
      <c r="G20" s="140"/>
      <c r="H20" s="150"/>
      <c r="I20" s="151"/>
      <c r="J20" s="152"/>
      <c r="K20" s="153"/>
      <c r="L20" s="154"/>
      <c r="M20" s="155"/>
      <c r="N20" s="138"/>
      <c r="O20" s="139"/>
      <c r="P20" s="140"/>
      <c r="Q20" s="138"/>
      <c r="R20" s="139"/>
      <c r="S20" s="140"/>
      <c r="T20" s="138"/>
      <c r="U20" s="139"/>
      <c r="V20" s="140"/>
      <c r="W20" s="138"/>
      <c r="X20" s="139"/>
      <c r="Y20" s="140"/>
    </row>
    <row r="21" spans="2:54" ht="35.1" customHeight="1" x14ac:dyDescent="0.2">
      <c r="B21" s="147"/>
      <c r="C21" s="148"/>
      <c r="D21" s="149"/>
      <c r="E21" s="138"/>
      <c r="F21" s="139"/>
      <c r="G21" s="140"/>
      <c r="H21" s="150"/>
      <c r="I21" s="151"/>
      <c r="J21" s="152"/>
      <c r="K21" s="153"/>
      <c r="L21" s="154"/>
      <c r="M21" s="155"/>
      <c r="N21" s="138"/>
      <c r="O21" s="139"/>
      <c r="P21" s="140"/>
      <c r="Q21" s="138"/>
      <c r="R21" s="139"/>
      <c r="S21" s="140"/>
      <c r="T21" s="138"/>
      <c r="U21" s="139"/>
      <c r="V21" s="140"/>
      <c r="W21" s="138"/>
      <c r="X21" s="139"/>
      <c r="Y21" s="140"/>
    </row>
    <row r="22" spans="2:54" ht="35.1" customHeight="1" x14ac:dyDescent="0.2">
      <c r="B22" s="147"/>
      <c r="C22" s="148"/>
      <c r="D22" s="149"/>
      <c r="E22" s="138"/>
      <c r="F22" s="139"/>
      <c r="G22" s="140"/>
      <c r="H22" s="150"/>
      <c r="I22" s="151"/>
      <c r="J22" s="152"/>
      <c r="K22" s="153"/>
      <c r="L22" s="154"/>
      <c r="M22" s="155"/>
      <c r="N22" s="138"/>
      <c r="O22" s="139"/>
      <c r="P22" s="140"/>
      <c r="Q22" s="138"/>
      <c r="R22" s="139"/>
      <c r="S22" s="140"/>
      <c r="T22" s="138"/>
      <c r="U22" s="139"/>
      <c r="V22" s="140"/>
      <c r="W22" s="138"/>
      <c r="X22" s="139"/>
      <c r="Y22" s="140"/>
      <c r="AF22" s="105"/>
      <c r="AG22" s="105"/>
      <c r="AH22" s="105"/>
    </row>
    <row r="23" spans="2:54" ht="15" customHeight="1" x14ac:dyDescent="0.25">
      <c r="B23" s="13"/>
      <c r="C23" s="5"/>
      <c r="D23" s="16"/>
      <c r="E23" s="17"/>
      <c r="F23" s="5"/>
      <c r="G23" s="5"/>
      <c r="H23" s="5"/>
      <c r="I23" s="5"/>
      <c r="Y23" s="14"/>
    </row>
    <row r="24" spans="2:54" ht="20.100000000000001" customHeight="1" thickBot="1" x14ac:dyDescent="0.3">
      <c r="B24" s="13" t="s">
        <v>41</v>
      </c>
      <c r="C24" s="5"/>
      <c r="D24" s="16"/>
      <c r="E24" s="17"/>
      <c r="F24" s="5"/>
      <c r="G24" s="5"/>
      <c r="H24" s="5"/>
      <c r="I24" s="5"/>
      <c r="W24" s="141">
        <f>SUM(W18:Y23)</f>
        <v>52225000</v>
      </c>
      <c r="X24" s="142"/>
      <c r="Y24" s="143"/>
    </row>
    <row r="25" spans="2:54" ht="20.100000000000001" customHeight="1" thickBot="1" x14ac:dyDescent="0.3">
      <c r="B25" s="13" t="s">
        <v>42</v>
      </c>
      <c r="C25" s="5"/>
      <c r="D25" s="16"/>
      <c r="E25" s="17"/>
      <c r="F25" s="5"/>
      <c r="G25" s="5"/>
      <c r="H25" s="5"/>
      <c r="I25" s="5"/>
      <c r="W25" s="144">
        <f>+W24*0.25%</f>
        <v>130562.5</v>
      </c>
      <c r="X25" s="145"/>
      <c r="Y25" s="146"/>
    </row>
    <row r="26" spans="2:54" ht="20.100000000000001" customHeight="1" x14ac:dyDescent="0.2">
      <c r="B26" s="18"/>
      <c r="C26" s="10"/>
      <c r="D26" s="19"/>
      <c r="E26" s="10"/>
      <c r="F26" s="10"/>
      <c r="G26" s="10"/>
      <c r="H26" s="10"/>
      <c r="I26" s="10"/>
      <c r="J26" s="130"/>
      <c r="K26" s="130"/>
      <c r="L26" s="130"/>
      <c r="M26" s="130"/>
      <c r="N26" s="130"/>
      <c r="O26" s="130"/>
      <c r="P26" s="11"/>
      <c r="Q26" s="11"/>
      <c r="R26" s="11"/>
      <c r="S26" s="130"/>
      <c r="T26" s="130"/>
      <c r="U26" s="130"/>
      <c r="V26" s="11"/>
      <c r="W26" s="11"/>
      <c r="X26" s="11"/>
      <c r="Y26" s="12"/>
    </row>
    <row r="27" spans="2:54" ht="20.100000000000001" customHeight="1" x14ac:dyDescent="0.2">
      <c r="B27" s="125" t="s">
        <v>43</v>
      </c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</row>
    <row r="28" spans="2:54" s="21" customFormat="1" ht="20.100000000000001" customHeight="1" x14ac:dyDescent="0.2"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15"/>
      <c r="AV28" s="1"/>
      <c r="AW28" s="1"/>
      <c r="AX28" s="1"/>
      <c r="AY28" s="1"/>
      <c r="AZ28" s="1"/>
      <c r="BA28" s="1"/>
      <c r="BB28" s="1"/>
    </row>
    <row r="29" spans="2:54" s="21" customFormat="1" ht="20.100000000000001" customHeight="1" x14ac:dyDescent="0.2">
      <c r="B29" s="13" t="s">
        <v>44</v>
      </c>
      <c r="C29" s="5"/>
      <c r="D29" s="5"/>
      <c r="E29" s="5"/>
      <c r="F29" s="30"/>
      <c r="G29" s="30"/>
      <c r="H29" s="30"/>
      <c r="I29" s="30"/>
      <c r="J29" s="123" t="s">
        <v>45</v>
      </c>
      <c r="K29" s="123"/>
      <c r="L29" s="123"/>
      <c r="M29" s="123"/>
      <c r="N29" s="123"/>
      <c r="O29" s="123"/>
      <c r="P29" s="30"/>
      <c r="Q29" s="123" t="s">
        <v>46</v>
      </c>
      <c r="R29" s="123"/>
      <c r="S29" s="123"/>
      <c r="T29" s="31" t="s">
        <v>47</v>
      </c>
      <c r="U29" s="128">
        <f ca="1">NOW()</f>
        <v>45349.515075578704</v>
      </c>
      <c r="V29" s="128"/>
      <c r="W29" s="128"/>
      <c r="X29" s="128"/>
      <c r="Y29" s="129"/>
    </row>
    <row r="30" spans="2:54" s="21" customFormat="1" ht="20.100000000000001" customHeight="1" x14ac:dyDescent="0.2">
      <c r="B30" s="26" t="s">
        <v>48</v>
      </c>
      <c r="C30" s="10"/>
      <c r="D30" s="10"/>
      <c r="E30" s="27"/>
      <c r="F30" s="27"/>
      <c r="G30" s="10"/>
      <c r="H30" s="10"/>
      <c r="I30" s="10"/>
      <c r="J30" s="20"/>
      <c r="K30" s="20"/>
      <c r="L30" s="20"/>
      <c r="M30" s="20"/>
      <c r="N30" s="20"/>
      <c r="O30" s="20"/>
      <c r="P30" s="20"/>
      <c r="Q30" s="130"/>
      <c r="R30" s="130"/>
      <c r="S30" s="130"/>
      <c r="T30" s="130"/>
      <c r="U30" s="130"/>
      <c r="V30" s="130"/>
      <c r="W30" s="130"/>
      <c r="X30" s="130"/>
      <c r="Y30" s="131"/>
    </row>
    <row r="31" spans="2:54" s="21" customFormat="1" ht="20.100000000000001" customHeight="1" x14ac:dyDescent="0.2">
      <c r="B31" s="132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4"/>
    </row>
    <row r="32" spans="2:54" s="21" customFormat="1" ht="20.100000000000001" customHeight="1" x14ac:dyDescent="0.2">
      <c r="B32" s="132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4"/>
    </row>
    <row r="33" spans="2:54" ht="20.100000000000001" customHeight="1" x14ac:dyDescent="0.2">
      <c r="B33" s="135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7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2:54" ht="20.100000000000001" customHeight="1" x14ac:dyDescent="0.2">
      <c r="B34" s="22"/>
      <c r="C34" s="5"/>
      <c r="D34" s="5"/>
      <c r="E34" s="5"/>
      <c r="F34" s="5"/>
      <c r="G34" s="5"/>
      <c r="H34" s="10"/>
      <c r="I34" s="10"/>
      <c r="J34" s="27"/>
      <c r="K34" s="27"/>
      <c r="L34" s="27"/>
      <c r="M34" s="27"/>
      <c r="N34" s="27"/>
      <c r="O34" s="27"/>
      <c r="P34" s="11"/>
      <c r="Q34" s="11"/>
      <c r="R34" s="11"/>
      <c r="Y34" s="14"/>
    </row>
    <row r="35" spans="2:54" ht="20.100000000000001" customHeight="1" x14ac:dyDescent="0.2">
      <c r="B35" s="22"/>
      <c r="C35" s="5"/>
      <c r="D35" s="5"/>
      <c r="E35" s="5"/>
      <c r="F35" s="5"/>
      <c r="G35" s="5"/>
      <c r="H35" s="115" t="s">
        <v>49</v>
      </c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Y35" s="14"/>
    </row>
    <row r="36" spans="2:54" ht="20.100000000000001" customHeight="1" x14ac:dyDescent="0.2">
      <c r="B36" s="9"/>
      <c r="C36" s="10"/>
      <c r="D36" s="10"/>
      <c r="E36" s="10"/>
      <c r="F36" s="10"/>
      <c r="G36" s="10"/>
      <c r="H36" s="10"/>
      <c r="I36" s="1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</row>
    <row r="37" spans="2:54" ht="20.100000000000001" customHeight="1" x14ac:dyDescent="0.2">
      <c r="B37" s="5"/>
      <c r="C37" s="5"/>
      <c r="D37" s="5"/>
      <c r="E37" s="5"/>
      <c r="F37" s="5"/>
      <c r="G37" s="5"/>
      <c r="H37" s="5"/>
      <c r="I37" s="5"/>
    </row>
    <row r="38" spans="2:54" ht="20.100000000000001" customHeight="1" x14ac:dyDescent="0.2">
      <c r="B38" s="5"/>
      <c r="C38" s="5"/>
      <c r="D38" s="5"/>
      <c r="E38" s="5"/>
      <c r="F38" s="5"/>
      <c r="G38" s="5"/>
      <c r="H38" s="5"/>
      <c r="I38" s="5"/>
    </row>
  </sheetData>
  <protectedRanges>
    <protectedRange sqref="E9 G10 U9:U10 F11 E13 K13 T13 U29 B31 B18:B22 E18:E22 H18:H22 N18:N22 Q18:Q22 W19:W22" name="Rango1"/>
  </protectedRanges>
  <mergeCells count="80">
    <mergeCell ref="B9:D9"/>
    <mergeCell ref="E9:Q9"/>
    <mergeCell ref="R9:T9"/>
    <mergeCell ref="U9:Y9"/>
    <mergeCell ref="AF22:AH22"/>
    <mergeCell ref="B20:D20"/>
    <mergeCell ref="B21:D21"/>
    <mergeCell ref="E20:G20"/>
    <mergeCell ref="E21:G21"/>
    <mergeCell ref="H20:J20"/>
    <mergeCell ref="H21:J21"/>
    <mergeCell ref="K20:M20"/>
    <mergeCell ref="K21:M21"/>
    <mergeCell ref="N20:P20"/>
    <mergeCell ref="N21:P21"/>
    <mergeCell ref="Q20:S20"/>
    <mergeCell ref="B2:Y2"/>
    <mergeCell ref="B3:Y3"/>
    <mergeCell ref="B4:Y4"/>
    <mergeCell ref="B6:Y6"/>
    <mergeCell ref="B8:Y8"/>
    <mergeCell ref="E13:H13"/>
    <mergeCell ref="I13:J13"/>
    <mergeCell ref="K13:N13"/>
    <mergeCell ref="P13:Q13"/>
    <mergeCell ref="R13:Y13"/>
    <mergeCell ref="G10:Q10"/>
    <mergeCell ref="R10:T10"/>
    <mergeCell ref="U10:Y10"/>
    <mergeCell ref="F11:Y11"/>
    <mergeCell ref="F12:Y12"/>
    <mergeCell ref="B16:Y16"/>
    <mergeCell ref="B17:D17"/>
    <mergeCell ref="E17:G17"/>
    <mergeCell ref="H17:J17"/>
    <mergeCell ref="K17:M17"/>
    <mergeCell ref="N17:P17"/>
    <mergeCell ref="Q17:S17"/>
    <mergeCell ref="T17:V17"/>
    <mergeCell ref="W17:Y17"/>
    <mergeCell ref="Q21:S21"/>
    <mergeCell ref="T20:V20"/>
    <mergeCell ref="T21:V21"/>
    <mergeCell ref="W20:Y20"/>
    <mergeCell ref="W21:Y21"/>
    <mergeCell ref="T18:V18"/>
    <mergeCell ref="W18:Y18"/>
    <mergeCell ref="B19:D19"/>
    <mergeCell ref="E19:G19"/>
    <mergeCell ref="H19:J19"/>
    <mergeCell ref="K19:M19"/>
    <mergeCell ref="N19:P19"/>
    <mergeCell ref="Q19:S19"/>
    <mergeCell ref="T19:V19"/>
    <mergeCell ref="W19:Y19"/>
    <mergeCell ref="B18:D18"/>
    <mergeCell ref="E18:G18"/>
    <mergeCell ref="H18:J18"/>
    <mergeCell ref="K18:M18"/>
    <mergeCell ref="N18:P18"/>
    <mergeCell ref="Q18:S18"/>
    <mergeCell ref="B22:D22"/>
    <mergeCell ref="E22:G22"/>
    <mergeCell ref="H22:J22"/>
    <mergeCell ref="K22:M22"/>
    <mergeCell ref="N22:P22"/>
    <mergeCell ref="T22:V22"/>
    <mergeCell ref="W22:Y22"/>
    <mergeCell ref="W24:Y24"/>
    <mergeCell ref="W25:Y25"/>
    <mergeCell ref="J26:O26"/>
    <mergeCell ref="S26:U26"/>
    <mergeCell ref="Q22:S22"/>
    <mergeCell ref="H35:R35"/>
    <mergeCell ref="B27:Y27"/>
    <mergeCell ref="J29:O29"/>
    <mergeCell ref="Q29:S29"/>
    <mergeCell ref="U29:Y29"/>
    <mergeCell ref="Q30:Y30"/>
    <mergeCell ref="B31:Y33"/>
  </mergeCells>
  <pageMargins left="0" right="0" top="0.39370078740157483" bottom="0.98425196850393704" header="0.39370078740157483" footer="0"/>
  <pageSetup scale="85" orientation="portrait" horizontalDpi="120" verticalDpi="144" r:id="rId1"/>
  <headerFooter alignWithMargins="0">
    <oddHeader>&amp;L&amp;F&amp;C&amp;A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10</xdr:col>
                    <xdr:colOff>142875</xdr:colOff>
                    <xdr:row>27</xdr:row>
                    <xdr:rowOff>219075</xdr:rowOff>
                  </from>
                  <to>
                    <xdr:col>11</xdr:col>
                    <xdr:colOff>19050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15</xdr:col>
                    <xdr:colOff>266700</xdr:colOff>
                    <xdr:row>27</xdr:row>
                    <xdr:rowOff>219075</xdr:rowOff>
                  </from>
                  <to>
                    <xdr:col>16</xdr:col>
                    <xdr:colOff>180975</xdr:colOff>
                    <xdr:row>29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PARÁMETROS!$B$20:$B$24</xm:f>
          </x14:formula1>
          <xm:sqref>H18:J22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9"/>
  <sheetViews>
    <sheetView workbookViewId="0">
      <selection activeCell="G6" sqref="G6"/>
    </sheetView>
  </sheetViews>
  <sheetFormatPr baseColWidth="10" defaultColWidth="11.42578125" defaultRowHeight="12.75" x14ac:dyDescent="0.2"/>
  <cols>
    <col min="5" max="5" width="27.5703125" bestFit="1" customWidth="1"/>
    <col min="6" max="6" width="24.42578125" bestFit="1" customWidth="1"/>
    <col min="7" max="7" width="51.5703125" bestFit="1" customWidth="1"/>
    <col min="10" max="10" width="92.42578125" bestFit="1" customWidth="1"/>
  </cols>
  <sheetData>
    <row r="1" spans="2:11" x14ac:dyDescent="0.2">
      <c r="D1">
        <v>1</v>
      </c>
      <c r="E1" t="s">
        <v>50</v>
      </c>
      <c r="F1" s="45" t="s">
        <v>51</v>
      </c>
      <c r="G1" s="45" t="s">
        <v>52</v>
      </c>
      <c r="H1">
        <v>26952437</v>
      </c>
    </row>
    <row r="2" spans="2:11" x14ac:dyDescent="0.2">
      <c r="D2">
        <f>1+D1</f>
        <v>2</v>
      </c>
      <c r="E2" t="s">
        <v>53</v>
      </c>
      <c r="F2" s="46" t="s">
        <v>54</v>
      </c>
      <c r="G2" s="45" t="s">
        <v>55</v>
      </c>
      <c r="H2">
        <v>26952415</v>
      </c>
      <c r="J2" s="166" t="s">
        <v>24</v>
      </c>
      <c r="K2" s="166"/>
    </row>
    <row r="3" spans="2:11" ht="20.100000000000001" customHeight="1" x14ac:dyDescent="0.2">
      <c r="B3" s="23" t="s">
        <v>56</v>
      </c>
      <c r="D3">
        <f t="shared" ref="D3:D29" si="0">1+D2</f>
        <v>3</v>
      </c>
      <c r="E3" t="s">
        <v>57</v>
      </c>
      <c r="F3" s="45" t="s">
        <v>58</v>
      </c>
      <c r="G3" s="45" t="s">
        <v>22</v>
      </c>
      <c r="H3">
        <v>26952410</v>
      </c>
      <c r="J3" s="64" t="s">
        <v>59</v>
      </c>
      <c r="K3" s="65">
        <v>3</v>
      </c>
    </row>
    <row r="4" spans="2:11" ht="20.100000000000001" customHeight="1" x14ac:dyDescent="0.2">
      <c r="B4" s="24" t="s">
        <v>60</v>
      </c>
      <c r="D4">
        <f t="shared" si="0"/>
        <v>4</v>
      </c>
      <c r="E4" t="s">
        <v>61</v>
      </c>
      <c r="F4" s="45" t="s">
        <v>62</v>
      </c>
      <c r="G4" s="45" t="s">
        <v>22</v>
      </c>
      <c r="H4">
        <v>26952410</v>
      </c>
      <c r="J4" s="64" t="s">
        <v>63</v>
      </c>
      <c r="K4" s="65">
        <v>3</v>
      </c>
    </row>
    <row r="5" spans="2:11" ht="20.100000000000001" customHeight="1" x14ac:dyDescent="0.2">
      <c r="B5" s="23" t="s">
        <v>64</v>
      </c>
      <c r="D5">
        <f t="shared" si="0"/>
        <v>5</v>
      </c>
      <c r="E5" t="s">
        <v>65</v>
      </c>
      <c r="F5" s="46" t="s">
        <v>66</v>
      </c>
      <c r="G5" s="45" t="s">
        <v>67</v>
      </c>
      <c r="H5">
        <v>26952428</v>
      </c>
      <c r="J5" s="64" t="s">
        <v>29</v>
      </c>
      <c r="K5" s="65">
        <v>10</v>
      </c>
    </row>
    <row r="6" spans="2:11" ht="20.100000000000001" customHeight="1" x14ac:dyDescent="0.2">
      <c r="B6" s="25"/>
      <c r="D6">
        <f t="shared" si="0"/>
        <v>6</v>
      </c>
      <c r="E6" t="s">
        <v>26</v>
      </c>
      <c r="F6" s="45" t="s">
        <v>68</v>
      </c>
      <c r="G6" s="45" t="s">
        <v>52</v>
      </c>
      <c r="H6">
        <v>26952409</v>
      </c>
      <c r="J6" s="66" t="s">
        <v>69</v>
      </c>
      <c r="K6" s="65">
        <v>3</v>
      </c>
    </row>
    <row r="7" spans="2:11" x14ac:dyDescent="0.2">
      <c r="D7">
        <f t="shared" si="0"/>
        <v>7</v>
      </c>
      <c r="E7" t="s">
        <v>70</v>
      </c>
      <c r="F7" s="45" t="s">
        <v>71</v>
      </c>
      <c r="G7" s="45" t="s">
        <v>72</v>
      </c>
      <c r="H7">
        <v>26952404</v>
      </c>
    </row>
    <row r="8" spans="2:11" x14ac:dyDescent="0.2">
      <c r="B8" s="34" t="s">
        <v>17</v>
      </c>
      <c r="D8">
        <f t="shared" si="0"/>
        <v>8</v>
      </c>
      <c r="E8" t="s">
        <v>25</v>
      </c>
      <c r="F8" s="69" t="s">
        <v>73</v>
      </c>
      <c r="G8" s="45" t="s">
        <v>22</v>
      </c>
      <c r="H8">
        <v>26952411</v>
      </c>
    </row>
    <row r="9" spans="2:11" x14ac:dyDescent="0.2">
      <c r="B9" t="s">
        <v>74</v>
      </c>
      <c r="D9">
        <f t="shared" si="0"/>
        <v>9</v>
      </c>
      <c r="E9" t="s">
        <v>75</v>
      </c>
      <c r="F9" s="45" t="s">
        <v>76</v>
      </c>
      <c r="G9" s="45" t="s">
        <v>77</v>
      </c>
      <c r="H9" s="47">
        <v>26952444</v>
      </c>
    </row>
    <row r="10" spans="2:11" x14ac:dyDescent="0.2">
      <c r="B10" t="s">
        <v>19</v>
      </c>
      <c r="D10">
        <f t="shared" si="0"/>
        <v>10</v>
      </c>
      <c r="E10" t="s">
        <v>78</v>
      </c>
      <c r="F10" s="45" t="s">
        <v>79</v>
      </c>
      <c r="G10" s="45" t="s">
        <v>80</v>
      </c>
      <c r="H10">
        <v>26952414</v>
      </c>
    </row>
    <row r="11" spans="2:11" x14ac:dyDescent="0.2">
      <c r="B11" t="s">
        <v>81</v>
      </c>
      <c r="D11">
        <f t="shared" si="0"/>
        <v>11</v>
      </c>
      <c r="E11" t="s">
        <v>82</v>
      </c>
      <c r="F11" s="48" t="s">
        <v>83</v>
      </c>
      <c r="G11" s="45" t="s">
        <v>84</v>
      </c>
      <c r="H11">
        <v>26952401</v>
      </c>
    </row>
    <row r="12" spans="2:11" x14ac:dyDescent="0.2">
      <c r="B12" t="s">
        <v>85</v>
      </c>
      <c r="D12">
        <f t="shared" si="0"/>
        <v>12</v>
      </c>
      <c r="E12" t="s">
        <v>86</v>
      </c>
      <c r="F12" s="48" t="s">
        <v>87</v>
      </c>
      <c r="G12" s="45" t="s">
        <v>88</v>
      </c>
      <c r="H12">
        <v>26952402</v>
      </c>
    </row>
    <row r="13" spans="2:11" x14ac:dyDescent="0.2">
      <c r="B13" t="s">
        <v>89</v>
      </c>
      <c r="D13">
        <f t="shared" si="0"/>
        <v>13</v>
      </c>
      <c r="E13" s="33" t="s">
        <v>90</v>
      </c>
      <c r="F13" s="45" t="s">
        <v>91</v>
      </c>
      <c r="G13" s="45" t="s">
        <v>22</v>
      </c>
      <c r="H13">
        <v>26952410</v>
      </c>
    </row>
    <row r="14" spans="2:11" x14ac:dyDescent="0.2">
      <c r="B14" t="s">
        <v>92</v>
      </c>
      <c r="D14">
        <f t="shared" si="0"/>
        <v>14</v>
      </c>
      <c r="E14" t="s">
        <v>93</v>
      </c>
      <c r="F14" s="45" t="s">
        <v>94</v>
      </c>
      <c r="G14" s="45" t="s">
        <v>22</v>
      </c>
      <c r="H14">
        <v>26952412</v>
      </c>
    </row>
    <row r="15" spans="2:11" x14ac:dyDescent="0.2">
      <c r="B15" t="s">
        <v>95</v>
      </c>
      <c r="D15">
        <f t="shared" si="0"/>
        <v>15</v>
      </c>
      <c r="E15" t="s">
        <v>96</v>
      </c>
      <c r="F15" s="45" t="s">
        <v>97</v>
      </c>
      <c r="G15" s="45" t="s">
        <v>52</v>
      </c>
      <c r="H15">
        <v>26952408</v>
      </c>
    </row>
    <row r="16" spans="2:11" x14ac:dyDescent="0.2">
      <c r="B16" t="s">
        <v>98</v>
      </c>
      <c r="D16">
        <f t="shared" si="0"/>
        <v>16</v>
      </c>
      <c r="E16" s="33" t="s">
        <v>99</v>
      </c>
      <c r="F16" s="48" t="s">
        <v>100</v>
      </c>
      <c r="G16" s="45" t="s">
        <v>101</v>
      </c>
      <c r="H16">
        <v>26952416</v>
      </c>
    </row>
    <row r="17" spans="2:8" x14ac:dyDescent="0.2">
      <c r="D17">
        <f t="shared" si="0"/>
        <v>17</v>
      </c>
      <c r="E17" t="s">
        <v>102</v>
      </c>
      <c r="F17" s="48" t="s">
        <v>103</v>
      </c>
      <c r="G17" s="45" t="s">
        <v>104</v>
      </c>
      <c r="H17">
        <v>26952403</v>
      </c>
    </row>
    <row r="18" spans="2:8" x14ac:dyDescent="0.2">
      <c r="D18">
        <f t="shared" si="0"/>
        <v>18</v>
      </c>
      <c r="E18" t="s">
        <v>105</v>
      </c>
      <c r="F18" s="45" t="s">
        <v>106</v>
      </c>
      <c r="G18" s="45" t="s">
        <v>107</v>
      </c>
      <c r="H18">
        <v>26952434</v>
      </c>
    </row>
    <row r="19" spans="2:8" x14ac:dyDescent="0.2">
      <c r="B19" s="34" t="s">
        <v>18</v>
      </c>
      <c r="D19">
        <f t="shared" si="0"/>
        <v>19</v>
      </c>
      <c r="E19" t="s">
        <v>108</v>
      </c>
      <c r="F19" s="45" t="s">
        <v>109</v>
      </c>
      <c r="G19" s="45" t="s">
        <v>110</v>
      </c>
      <c r="H19">
        <v>26952427</v>
      </c>
    </row>
    <row r="20" spans="2:8" x14ac:dyDescent="0.2">
      <c r="B20" s="33" t="s">
        <v>111</v>
      </c>
      <c r="D20">
        <f t="shared" si="0"/>
        <v>20</v>
      </c>
      <c r="E20" t="s">
        <v>112</v>
      </c>
      <c r="F20" s="45" t="s">
        <v>113</v>
      </c>
      <c r="G20" s="45" t="s">
        <v>52</v>
      </c>
      <c r="H20">
        <v>26952406</v>
      </c>
    </row>
    <row r="21" spans="2:8" x14ac:dyDescent="0.2">
      <c r="B21" s="33" t="s">
        <v>20</v>
      </c>
      <c r="D21">
        <f t="shared" si="0"/>
        <v>21</v>
      </c>
      <c r="E21" t="s">
        <v>114</v>
      </c>
      <c r="F21" s="45" t="s">
        <v>115</v>
      </c>
      <c r="G21" s="45" t="s">
        <v>52</v>
      </c>
      <c r="H21">
        <v>26952405</v>
      </c>
    </row>
    <row r="22" spans="2:8" x14ac:dyDescent="0.2">
      <c r="B22" s="33" t="s">
        <v>116</v>
      </c>
      <c r="D22">
        <f t="shared" si="0"/>
        <v>22</v>
      </c>
      <c r="E22" s="33" t="s">
        <v>117</v>
      </c>
      <c r="F22" s="45" t="s">
        <v>118</v>
      </c>
      <c r="G22" s="45" t="s">
        <v>77</v>
      </c>
      <c r="H22">
        <v>26952411</v>
      </c>
    </row>
    <row r="23" spans="2:8" x14ac:dyDescent="0.2">
      <c r="B23" s="33"/>
      <c r="D23">
        <f t="shared" si="0"/>
        <v>23</v>
      </c>
      <c r="E23" s="33" t="s">
        <v>119</v>
      </c>
      <c r="G23" s="45" t="s">
        <v>22</v>
      </c>
    </row>
    <row r="24" spans="2:8" x14ac:dyDescent="0.2">
      <c r="D24">
        <f t="shared" si="0"/>
        <v>24</v>
      </c>
    </row>
    <row r="25" spans="2:8" x14ac:dyDescent="0.2">
      <c r="D25">
        <f t="shared" si="0"/>
        <v>25</v>
      </c>
    </row>
    <row r="26" spans="2:8" x14ac:dyDescent="0.2">
      <c r="D26">
        <f t="shared" si="0"/>
        <v>26</v>
      </c>
    </row>
    <row r="27" spans="2:8" x14ac:dyDescent="0.2">
      <c r="D27">
        <f t="shared" si="0"/>
        <v>27</v>
      </c>
    </row>
    <row r="28" spans="2:8" x14ac:dyDescent="0.2">
      <c r="D28">
        <f t="shared" si="0"/>
        <v>28</v>
      </c>
    </row>
    <row r="29" spans="2:8" x14ac:dyDescent="0.2">
      <c r="D29">
        <f t="shared" si="0"/>
        <v>29</v>
      </c>
    </row>
  </sheetData>
  <mergeCells count="1">
    <mergeCell ref="J2:K2"/>
  </mergeCells>
  <hyperlinks>
    <hyperlink ref="F7" r:id="rId1" xr:uid="{00000000-0004-0000-0200-000000000000}"/>
    <hyperlink ref="F6" r:id="rId2" xr:uid="{00000000-0004-0000-0200-000001000000}"/>
    <hyperlink ref="F3" r:id="rId3" xr:uid="{00000000-0004-0000-0200-000002000000}"/>
    <hyperlink ref="F1" r:id="rId4" xr:uid="{00000000-0004-0000-0200-000003000000}"/>
    <hyperlink ref="F4" r:id="rId5" xr:uid="{00000000-0004-0000-0200-000004000000}"/>
    <hyperlink ref="F5" r:id="rId6" xr:uid="{00000000-0004-0000-0200-000005000000}"/>
    <hyperlink ref="F2" r:id="rId7" xr:uid="{00000000-0004-0000-0200-000006000000}"/>
    <hyperlink ref="F11" r:id="rId8" xr:uid="{00000000-0004-0000-0200-000007000000}"/>
    <hyperlink ref="F12" r:id="rId9" xr:uid="{00000000-0004-0000-0200-000008000000}"/>
    <hyperlink ref="F17" r:id="rId10" xr:uid="{00000000-0004-0000-0200-000009000000}"/>
    <hyperlink ref="F16" r:id="rId11" xr:uid="{00000000-0004-0000-0200-00000A000000}"/>
    <hyperlink ref="F22" r:id="rId12" xr:uid="{00000000-0004-0000-0200-00000B000000}"/>
    <hyperlink ref="F8" r:id="rId13" xr:uid="{7876EDA9-EFF4-491D-97E0-3299EBDA5D39}"/>
  </hyperlinks>
  <pageMargins left="0.7" right="0.7" top="0.75" bottom="0.75" header="0.3" footer="0.3"/>
  <pageSetup orientation="portrait"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C48F5E6C48C8429C53784A83A47175" ma:contentTypeVersion="4" ma:contentTypeDescription="Crear nuevo documento." ma:contentTypeScope="" ma:versionID="6b4d5bc4a0029da8edc78b83a7b7f6c3">
  <xsd:schema xmlns:xsd="http://www.w3.org/2001/XMLSchema" xmlns:xs="http://www.w3.org/2001/XMLSchema" xmlns:p="http://schemas.microsoft.com/office/2006/metadata/properties" xmlns:ns2="f5c41171-a3da-41e9-83e6-55529f0e9053" targetNamespace="http://schemas.microsoft.com/office/2006/metadata/properties" ma:root="true" ma:fieldsID="e0ff76aeb7c824687948bd1ed1a16c5b" ns2:_="">
    <xsd:import namespace="f5c41171-a3da-41e9-83e6-55529f0e90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41171-a3da-41e9-83e6-55529f0e9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589E7B-877E-4DD5-B9D1-BB4540703A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4C65BB-45F3-4522-854C-9093E302B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c41171-a3da-41e9-83e6-55529f0e9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5DCB8F-BB0D-470D-81E1-765A6914348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FORMULARIO</vt:lpstr>
      <vt:lpstr>RESOLUCIÓN</vt:lpstr>
      <vt:lpstr>PARÁMETROS</vt:lpstr>
      <vt:lpstr>FORMULARIO!Área_de_impresión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Antonio Rodriguez Herrera</dc:creator>
  <cp:keywords/>
  <dc:description/>
  <cp:lastModifiedBy>José Antonio Rodríguez Herrera</cp:lastModifiedBy>
  <cp:revision/>
  <dcterms:created xsi:type="dcterms:W3CDTF">2012-01-31T15:33:17Z</dcterms:created>
  <dcterms:modified xsi:type="dcterms:W3CDTF">2024-02-27T18:21:47Z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0x010100B0C48F5E6C48C8429C53784A83A47175</vt:lpwstr>
  </property>
</Properties>
</file>